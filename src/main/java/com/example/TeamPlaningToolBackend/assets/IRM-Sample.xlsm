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comments2.xml" ContentType="application/vnd.openxmlformats-officedocument.spreadsheetml.comment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te" sheetId="1" state="visible" r:id="rId3"/>
    <sheet name="Resource_Planning" sheetId="2" state="visible" r:id="rId4"/>
  </sheets>
  <definedNames>
    <definedName function="false" hidden="true" localSheetId="1" name="_xlnm._FilterDatabase" vbProcedure="false">Resource_Planning!$B$49:$BB$356</definedName>
    <definedName function="false" hidden="false" name="capa_sums" vbProcedure="false">Resource_Planning!$S$380:$BB$380</definedName>
    <definedName function="false" hidden="false" name="Domain" vbProcedure="false">Site!$B$10:$B$18</definedName>
    <definedName function="false" hidden="false" name="HighProdFac" vbProcedure="false">Site!$B$29</definedName>
    <definedName function="false" hidden="false" name="Member" vbProcedure="false">Site!$I$10:$I$111</definedName>
    <definedName function="false" hidden="false" name="Member_Tab" vbProcedure="false">Site!$I$10:$P$111</definedName>
    <definedName function="false" hidden="false" name="OrderType" vbProcedure="false">Site!$C$10:$C$18</definedName>
    <definedName function="false" hidden="false" name="ProdFac" vbProcedure="false">Site!$B$24</definedName>
    <definedName function="false" hidden="false" name="Projects" vbProcedure="false">Resource_Planning!$B$50:$B$250</definedName>
    <definedName function="false" hidden="false" name="Roles" vbProcedure="false">Site!$E$10:$E$111</definedName>
    <definedName function="false" hidden="false" name="Running" vbProcedure="false">Site!$D$10:$D$15</definedName>
    <definedName function="false" hidden="false" name="team_dropdown" vbProcedure="false">Site!$B$32:$B$59</definedName>
    <definedName function="false" hidden="false" name="yn_dropdown" vbProcedure="false">Site!$A$1:$A$2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O10" authorId="0">
      <text>
        <r>
          <rPr>
            <sz val="10"/>
            <rFont val="Arial"/>
            <family val="0"/>
            <charset val="1"/>
          </rPr>
          <t xml:space="preserve">contract approved until 31-03-23 so far
</t>
        </r>
      </text>
    </comment>
  </commentList>
</comments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362" authorId="0">
      <text>
        <r>
          <rPr>
            <sz val="10"/>
            <rFont val="Arial"/>
            <family val="0"/>
            <charset val="1"/>
          </rPr>
          <t xml:space="preserve">"allocation game"</t>
        </r>
      </text>
    </comment>
    <comment ref="B373" authorId="0">
      <text>
        <r>
          <rPr>
            <sz val="10"/>
            <rFont val="Arial"/>
            <family val="0"/>
            <charset val="1"/>
          </rPr>
          <t xml:space="preserve">Do not change; name is a reference and used for automatic calculation.</t>
        </r>
      </text>
    </comment>
    <comment ref="P10" authorId="0">
      <text>
        <r>
          <rPr>
            <sz val="10"/>
            <rFont val="Arial"/>
            <family val="0"/>
            <charset val="1"/>
          </rPr>
          <t xml:space="preserve">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<sst xmlns="http://schemas.openxmlformats.org/spreadsheetml/2006/main" count="934" uniqueCount="239">
  <si>
    <t xml:space="preserve">y</t>
  </si>
  <si>
    <t xml:space="preserve">n</t>
  </si>
  <si>
    <t xml:space="preserve">Roles and Definitions</t>
  </si>
  <si>
    <t xml:space="preserve">Team Members</t>
  </si>
  <si>
    <t xml:space="preserve">R&amp;D Defines</t>
  </si>
  <si>
    <t xml:space="preserve">Site:</t>
  </si>
  <si>
    <t xml:space="preserve">DCN</t>
  </si>
  <si>
    <t xml:space="preserve">IRM Group:</t>
  </si>
  <si>
    <t xml:space="preserve">DCN4</t>
  </si>
  <si>
    <t xml:space="preserve">Domains</t>
  </si>
  <si>
    <t xml:space="preserve">Order Types</t>
  </si>
  <si>
    <t xml:space="preserve">Running</t>
  </si>
  <si>
    <t xml:space="preserve">R&amp;D Roles</t>
  </si>
  <si>
    <t xml:space="preserve">Team Member</t>
  </si>
  <si>
    <t xml:space="preserve">Team</t>
  </si>
  <si>
    <t xml:space="preserve">Standard Role</t>
  </si>
  <si>
    <t xml:space="preserve">Hour/ 
Week</t>
  </si>
  <si>
    <t xml:space="preserve">FTE</t>
  </si>
  <si>
    <t xml:space="preserve">Contract
start</t>
  </si>
  <si>
    <t xml:space="preserve">Contract 
until </t>
  </si>
  <si>
    <t xml:space="preserve">Org</t>
  </si>
  <si>
    <t xml:space="preserve">STS</t>
  </si>
  <si>
    <t xml:space="preserve">Customer Project</t>
  </si>
  <si>
    <t xml:space="preserve">running</t>
  </si>
  <si>
    <t xml:space="preserve">Any Role</t>
  </si>
  <si>
    <t xml:space="preserve"> </t>
  </si>
  <si>
    <t xml:space="preserve">Lastname1,  Firstname1 (ext.)</t>
  </si>
  <si>
    <t xml:space="preserve">AirOn360_Team18</t>
  </si>
  <si>
    <t xml:space="preserve">DEVELOPMENT_ENGINEER/</t>
  </si>
  <si>
    <t xml:space="preserve">DCNTCRD4</t>
  </si>
  <si>
    <t xml:space="preserve">TCD</t>
  </si>
  <si>
    <t xml:space="preserve">Maintenance</t>
  </si>
  <si>
    <t xml:space="preserve">upcoming</t>
  </si>
  <si>
    <t xml:space="preserve">Configuration Manager</t>
  </si>
  <si>
    <t xml:space="preserve">Lastname10,  Firstname10</t>
  </si>
  <si>
    <t xml:space="preserve">AirOn360_Team99</t>
  </si>
  <si>
    <t xml:space="preserve">Others</t>
  </si>
  <si>
    <t xml:space="preserve">Project</t>
  </si>
  <si>
    <t xml:space="preserve">on hold</t>
  </si>
  <si>
    <t xml:space="preserve">Development Engineer (Client/Server SW)</t>
  </si>
  <si>
    <t xml:space="preserve">Lastname11,  Firstname11</t>
  </si>
  <si>
    <t xml:space="preserve">Project Type Order</t>
  </si>
  <si>
    <t xml:space="preserve">stopped</t>
  </si>
  <si>
    <t xml:space="preserve">Development Engineer (Embedded SW)</t>
  </si>
  <si>
    <t xml:space="preserve">Lastname12,  Firstname12</t>
  </si>
  <si>
    <t xml:space="preserve">AirOn360_Team04</t>
  </si>
  <si>
    <t xml:space="preserve">Recurrent Project</t>
  </si>
  <si>
    <t xml:space="preserve">pre_alloc</t>
  </si>
  <si>
    <t xml:space="preserve">Development Engineer (HW)</t>
  </si>
  <si>
    <t xml:space="preserve">Lastname13,  Firstname13</t>
  </si>
  <si>
    <t xml:space="preserve">AirOn360_Team07</t>
  </si>
  <si>
    <t xml:space="preserve">Sales Support</t>
  </si>
  <si>
    <t xml:space="preserve">closed</t>
  </si>
  <si>
    <t xml:space="preserve">IP Rigths Coordinator</t>
  </si>
  <si>
    <t xml:space="preserve">Lastname15,  Firstname15</t>
  </si>
  <si>
    <t xml:space="preserve">REQUIREMENTS_ENGINEER_SYSTEMS_ARCHITECT/</t>
  </si>
  <si>
    <t xml:space="preserve">Line Manager</t>
  </si>
  <si>
    <t xml:space="preserve">Lastname16,  Firstname16</t>
  </si>
  <si>
    <t xml:space="preserve">LINE_MANAGER/</t>
  </si>
  <si>
    <t xml:space="preserve">Department</t>
  </si>
  <si>
    <t xml:space="preserve">Project Manager</t>
  </si>
  <si>
    <t xml:space="preserve">Lastname17,  Firstname17 (ext.)</t>
  </si>
  <si>
    <t xml:space="preserve">SCRUM_MASTER/</t>
  </si>
  <si>
    <t xml:space="preserve">Quality Manager</t>
  </si>
  <si>
    <t xml:space="preserve">Lastname2,  Firstname2</t>
  </si>
  <si>
    <t xml:space="preserve">AirOn360_Team01</t>
  </si>
  <si>
    <t xml:space="preserve">R&amp;D Expert Cryptology</t>
  </si>
  <si>
    <t xml:space="preserve"> Lastname3,  Firstname3</t>
  </si>
  <si>
    <t xml:space="preserve">AirOn360_Team05</t>
  </si>
  <si>
    <t xml:space="preserve">TECHNICAL_PRODUCT_OWNER/</t>
  </si>
  <si>
    <t xml:space="preserve">R&amp;D Expert Evaluation/Certification</t>
  </si>
  <si>
    <t xml:space="preserve">Lastname4,  Firstname4</t>
  </si>
  <si>
    <t xml:space="preserve">R&amp;D Expert HW Technology</t>
  </si>
  <si>
    <t xml:space="preserve">Lastname5,  Firstname5</t>
  </si>
  <si>
    <t xml:space="preserve">Productivity</t>
  </si>
  <si>
    <t xml:space="preserve">R&amp;D Expert Security Examination</t>
  </si>
  <si>
    <t xml:space="preserve">Lastname6,  Firstname6</t>
  </si>
  <si>
    <t xml:space="preserve">Factor</t>
  </si>
  <si>
    <t xml:space="preserve">Requirements Engineer/Systems Architect</t>
  </si>
  <si>
    <t xml:space="preserve">Lastname7,  Firstname7</t>
  </si>
  <si>
    <t xml:space="preserve">Scrum Master</t>
  </si>
  <si>
    <t xml:space="preserve">Lastname8,  Firstname8</t>
  </si>
  <si>
    <t xml:space="preserve">DCNTCRD</t>
  </si>
  <si>
    <t xml:space="preserve">Technical Writer</t>
  </si>
  <si>
    <t xml:space="preserve">Lastname9,  Firstname9</t>
  </si>
  <si>
    <t xml:space="preserve">AirOn360_Team09</t>
  </si>
  <si>
    <t xml:space="preserve">High</t>
  </si>
  <si>
    <t xml:space="preserve">Test Engineer (HW)</t>
  </si>
  <si>
    <t xml:space="preserve">Johansson, Benim</t>
  </si>
  <si>
    <t xml:space="preserve">Test Engineer (SW)</t>
  </si>
  <si>
    <t xml:space="preserve">DevOps Engineer</t>
  </si>
  <si>
    <t xml:space="preserve">Technical Product Owner</t>
  </si>
  <si>
    <t xml:space="preserve">Team Dropdown:</t>
  </si>
  <si>
    <t xml:space="preserve">TCD_Server_DCN4</t>
  </si>
  <si>
    <t xml:space="preserve">Open_TCD_Server_DCN4</t>
  </si>
  <si>
    <t xml:space="preserve">AirOn360_Team02</t>
  </si>
  <si>
    <t xml:space="preserve">AirOn360_Team03</t>
  </si>
  <si>
    <t xml:space="preserve">AirOn360_Team06</t>
  </si>
  <si>
    <t xml:space="preserve">AirOn360_Team08</t>
  </si>
  <si>
    <t xml:space="preserve">AirOn360_Team10</t>
  </si>
  <si>
    <t xml:space="preserve">AirOn360_Team11</t>
  </si>
  <si>
    <t xml:space="preserve">AirOn360_Team12</t>
  </si>
  <si>
    <t xml:space="preserve">AirOn360_Team13</t>
  </si>
  <si>
    <t xml:space="preserve">AirOn360_Team14</t>
  </si>
  <si>
    <t xml:space="preserve">AirOn360_Team15</t>
  </si>
  <si>
    <t xml:space="preserve">AirOn360_Team16</t>
  </si>
  <si>
    <t xml:space="preserve">AirOn360_Team17</t>
  </si>
  <si>
    <t xml:space="preserve">AirOn360_Team19</t>
  </si>
  <si>
    <t xml:space="preserve">AirOn360_Team20</t>
  </si>
  <si>
    <t xml:space="preserve">AirOn360_Team21</t>
  </si>
  <si>
    <t xml:space="preserve">AirOn360_Team22</t>
  </si>
  <si>
    <t xml:space="preserve">AirOn360_Team23</t>
  </si>
  <si>
    <t xml:space="preserve">AirOn360_Team24</t>
  </si>
  <si>
    <t xml:space="preserve">AirOn360_Team25</t>
  </si>
  <si>
    <t xml:space="preserve">Dept_DCN4_Role</t>
  </si>
  <si>
    <t xml:space="preserve"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</si>
  <si>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</si>
  <si>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</si>
  <si>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</si>
  <si>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</si>
  <si>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</si>
  <si>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</si>
  <si>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</si>
  <si>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</si>
  <si>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</si>
  <si>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</si>
  <si>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</si>
  <si>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</si>
  <si>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</si>
  <si>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</si>
  <si>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</si>
  <si>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</si>
  <si>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 xml:space="preserve">January</t>
  </si>
  <si>
    <t xml:space="preserve">February</t>
  </si>
  <si>
    <t xml:space="preserve">March</t>
  </si>
  <si>
    <t xml:space="preserve">April</t>
  </si>
  <si>
    <t xml:space="preserve">May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</si>
  <si>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</si>
  <si>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</si>
  <si>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</si>
  <si>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</si>
  <si>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</si>
  <si>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</si>
  <si>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</si>
  <si>
    <t xml:space="preserve">mandatory</t>
  </si>
  <si>
    <t xml:space="preserve">optional</t>
  </si>
  <si>
    <t xml:space="preserve">special</t>
  </si>
  <si>
    <t xml:space="preserve"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</si>
  <si>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</si>
  <si>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</si>
  <si>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</si>
  <si>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</si>
  <si>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</si>
  <si>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 xml:space="preserve">Domain</t>
  </si>
  <si>
    <t xml:space="preserve">Type</t>
  </si>
  <si>
    <t xml:space="preserve">Running ?</t>
  </si>
  <si>
    <t xml:space="preserve">SAP Number</t>
  </si>
  <si>
    <t xml:space="preserve">WP</t>
  </si>
  <si>
    <t xml:space="preserve">Start Date</t>
  </si>
  <si>
    <t xml:space="preserve">End Date</t>
  </si>
  <si>
    <t xml:space="preserve">Demand</t>
  </si>
  <si>
    <t xml:space="preserve">Booked</t>
  </si>
  <si>
    <t xml:space="preserve">n.a.</t>
  </si>
  <si>
    <t xml:space="preserve">Demanding Person</t>
  </si>
  <si>
    <t xml:space="preserve">Comment</t>
  </si>
  <si>
    <t xml:space="preserve">… make sure that this line is line 13</t>
  </si>
  <si>
    <t xml:space="preserve">Check Project</t>
  </si>
  <si>
    <t xml:space="preserve"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</si>
  <si>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</si>
  <si>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</si>
  <si>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</si>
  <si>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 xml:space="preserve"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</si>
  <si>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</si>
  <si>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</si>
  <si>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</si>
  <si>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</si>
  <si>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</si>
  <si>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</si>
  <si>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</si>
  <si>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 xml:space="preserve">Rank</t>
  </si>
  <si>
    <t xml:space="preserve">UIDG</t>
  </si>
  <si>
    <t xml:space="preserve">Special 1</t>
  </si>
  <si>
    <t xml:space="preserve">Special 2</t>
  </si>
  <si>
    <t xml:space="preserve">Allocated</t>
  </si>
  <si>
    <t xml:space="preserve">RFU</t>
  </si>
  <si>
    <t xml:space="preserve">Role</t>
  </si>
  <si>
    <t xml:space="preserve">… this line is line 49</t>
  </si>
  <si>
    <t xml:space="preserve">Project ABC - v2.0</t>
  </si>
  <si>
    <t xml:space="preserve">I-24-00002125</t>
  </si>
  <si>
    <t xml:space="preserve">Lastname1, Firstname1 (ext.)</t>
  </si>
  <si>
    <t xml:space="preserve">Lastname2, Firstname2</t>
  </si>
  <si>
    <t xml:space="preserve">Project XYZ 5.2</t>
  </si>
  <si>
    <t xml:space="preserve">I-24-00002294</t>
  </si>
  <si>
    <t xml:space="preserve"> Lastname3, Firstname3</t>
  </si>
  <si>
    <t xml:space="preserve">Project ABC future releases</t>
  </si>
  <si>
    <t xml:space="preserve"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</si>
  <si>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</si>
  <si>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</si>
  <si>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</si>
  <si>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</si>
  <si>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</si>
  <si>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</si>
  <si>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</si>
  <si>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</si>
  <si>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</si>
  <si>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</si>
  <si>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</si>
  <si>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</si>
  <si>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</si>
  <si>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</si>
  <si>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</si>
  <si>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</si>
  <si>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</si>
  <si>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 xml:space="preserve">G&amp;A</t>
  </si>
  <si>
    <t xml:space="preserve">Pre-allocation / Overload</t>
  </si>
  <si>
    <t xml:space="preserve">Pre-allocation on productline budget</t>
  </si>
  <si>
    <t xml:space="preserve">Upcoming / Overload</t>
  </si>
  <si>
    <t xml:space="preserve">Upcoming</t>
  </si>
  <si>
    <t xml:space="preserve">Running / Overload</t>
  </si>
  <si>
    <t xml:space="preserve">Other</t>
  </si>
  <si>
    <t xml:space="preserve">PRODUCTIVE / EXCL. PRE-ALLOC</t>
  </si>
  <si>
    <t xml:space="preserve"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</si>
  <si>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</si>
  <si>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</si>
  <si>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</si>
  <si>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</si>
  <si>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</si>
  <si>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</si>
  <si>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</si>
  <si>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</si>
  <si>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 xml:space="preserve">Capacity</t>
  </si>
  <si>
    <t xml:space="preserve">TOTAL Capa : </t>
  </si>
  <si>
    <t xml:space="preserve">PRODUCTIVE Capa : </t>
  </si>
  <si>
    <t xml:space="preserve">FTE : </t>
  </si>
  <si>
    <t xml:space="preserve">TOTAL</t>
  </si>
  <si>
    <t xml:space="preserve">Domain Allocation</t>
  </si>
  <si>
    <t xml:space="preserve">SUMME</t>
  </si>
  <si>
    <t xml:space="preserve">Project Type</t>
  </si>
  <si>
    <t xml:space="preserve">You may want to create your own summaries below this line.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</si>
</sst>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[$-407]mmm/\ yy;@"/>
    <numFmt numFmtId="166" formatCode="_(\€* #,##0.00_);_(\€* \(#,##0.00\);_(\€* \-??_);_(@_)"/>
    <numFmt numFmtId="167" formatCode="@"/>
    <numFmt numFmtId="168" formatCode="0.0"/>
    <numFmt numFmtId="169" formatCode="0.00"/>
    <numFmt numFmtId="170" formatCode="m/d/yyyy"/>
    <numFmt numFmtId="171" formatCode="_-* #,##0.00\ _D_M_-;\-* #,##0.00\ _D_M_-;_-* \-??\ _D_M_-;_-@_-"/>
    <numFmt numFmtId="172" formatCode="0%"/>
    <numFmt numFmtId="173" formatCode="General"/>
    <numFmt numFmtId="174" formatCode="0"/>
    <numFmt numFmtId="175" formatCode="#,##0"/>
  </numFmts>
  <fonts count="6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b val="true"/>
      <sz val="11"/>
      <color rgb="FFD1E2EC"/>
      <name val="Calibri"/>
      <family val="2"/>
      <charset val="1"/>
    </font>
    <font>
      <b val="true"/>
      <sz val="11"/>
      <color rgb="FF008000"/>
      <name val="Calibri"/>
      <family val="2"/>
      <charset val="1"/>
    </font>
    <font>
      <sz val="11"/>
      <color rgb="FF3366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8000"/>
      <name val="Calibri"/>
      <family val="2"/>
      <charset val="1"/>
    </font>
    <font>
      <sz val="8"/>
      <name val="Arial"/>
      <family val="2"/>
      <charset val="1"/>
    </font>
    <font>
      <sz val="8"/>
      <color rgb="FF8BC0E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sz val="10"/>
      <name val="Arial"/>
      <family val="2"/>
      <charset val="1"/>
    </font>
    <font>
      <b val="true"/>
      <sz val="8"/>
      <name val="Arial"/>
      <family val="2"/>
      <charset val="1"/>
    </font>
    <font>
      <sz val="8"/>
      <color rgb="FF000000"/>
      <name val="Arial"/>
      <family val="2"/>
      <charset val="1"/>
    </font>
    <font>
      <sz val="19"/>
      <name val="Arial"/>
      <family val="2"/>
      <charset val="1"/>
    </font>
    <font>
      <sz val="8"/>
      <color rgb="FFFF00FF"/>
      <name val="Arial"/>
      <family val="2"/>
      <charset val="1"/>
    </font>
    <font>
      <sz val="8"/>
      <color rgb="FF1F497D"/>
      <name val="Verdana"/>
      <family val="2"/>
      <charset val="1"/>
    </font>
    <font>
      <b val="true"/>
      <sz val="8"/>
      <color rgb="FF1F497D"/>
      <name val="Verdana"/>
      <family val="2"/>
      <charset val="1"/>
    </font>
    <font>
      <sz val="8"/>
      <color rgb="FF000000"/>
      <name val="Verdana"/>
      <family val="2"/>
      <charset val="1"/>
    </font>
    <font>
      <i val="true"/>
      <sz val="8"/>
      <color rgb="FF000000"/>
      <name val="Verdana"/>
      <family val="2"/>
      <charset val="1"/>
    </font>
    <font>
      <i val="true"/>
      <sz val="8"/>
      <color rgb="FF1F497D"/>
      <name val="Verdana"/>
      <family val="2"/>
      <charset val="1"/>
    </font>
    <font>
      <b val="true"/>
      <i val="true"/>
      <sz val="8"/>
      <color rgb="FF1F497D"/>
      <name val="Verdana"/>
      <family val="2"/>
      <charset val="1"/>
    </font>
    <font>
      <b val="true"/>
      <i val="true"/>
      <sz val="8"/>
      <color rgb="FF000000"/>
      <name val="Verdana"/>
      <family val="2"/>
      <charset val="1"/>
    </font>
    <font>
      <b val="true"/>
      <sz val="8"/>
      <color rgb="FF00CC00"/>
      <name val="Verdana"/>
      <family val="2"/>
      <charset val="1"/>
    </font>
    <font>
      <b val="true"/>
      <sz val="8"/>
      <color rgb="FF33CC33"/>
      <name val="Verdana"/>
      <family val="2"/>
      <charset val="1"/>
    </font>
    <font>
      <b val="true"/>
      <sz val="8"/>
      <color rgb="FFFF9900"/>
      <name val="Verdana"/>
      <family val="2"/>
      <charset val="1"/>
    </font>
    <font>
      <b val="true"/>
      <sz val="8"/>
      <color rgb="FFFF0000"/>
      <name val="Verdana"/>
      <family val="2"/>
      <charset val="1"/>
    </font>
    <font>
      <sz val="11"/>
      <color rgb="FF529ECB"/>
      <name val="Calibri"/>
      <family val="2"/>
      <charset val="1"/>
    </font>
    <font>
      <b val="true"/>
      <sz val="18"/>
      <color rgb="FF8BC0E0"/>
      <name val="Cambria"/>
      <family val="2"/>
      <charset val="1"/>
    </font>
    <font>
      <sz val="11"/>
      <color rgb="FFFF00FF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5"/>
      <color rgb="FF8BC0E0"/>
      <name val="Calibri"/>
      <family val="2"/>
      <charset val="1"/>
    </font>
    <font>
      <b val="true"/>
      <sz val="13"/>
      <color rgb="FF8BC0E0"/>
      <name val="Calibri"/>
      <family val="2"/>
      <charset val="1"/>
    </font>
    <font>
      <b val="true"/>
      <sz val="11"/>
      <color rgb="FF8BC0E0"/>
      <name val="Calibri"/>
      <family val="2"/>
      <charset val="1"/>
    </font>
    <font>
      <sz val="10"/>
      <color rgb="FFFFFFFF"/>
      <name val="Arial"/>
      <family val="2"/>
      <charset val="1"/>
    </font>
    <font>
      <sz val="16"/>
      <color rgb="FFFFFFFF"/>
      <name val="Arial"/>
      <family val="2"/>
      <charset val="1"/>
    </font>
    <font>
      <b val="true"/>
      <sz val="16"/>
      <color rgb="FFFFFFF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26"/>
      <name val="Arial"/>
      <family val="2"/>
      <charset val="1"/>
    </font>
    <font>
      <sz val="12"/>
      <name val="Arial"/>
      <family val="2"/>
      <charset val="1"/>
    </font>
    <font>
      <b val="true"/>
      <sz val="18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5"/>
      <color rgb="FF1F497D"/>
      <name val="Calibri"/>
      <family val="2"/>
      <charset val="1"/>
    </font>
    <font>
      <b val="true"/>
      <sz val="15"/>
      <color rgb="FF33CCCC"/>
      <name val="Calibri"/>
      <family val="2"/>
      <charset val="1"/>
    </font>
    <font>
      <b val="true"/>
      <sz val="12"/>
      <name val="Arial"/>
      <family val="2"/>
      <charset val="1"/>
    </font>
    <font>
      <b val="true"/>
      <sz val="10"/>
      <color rgb="FF808080"/>
      <name val="Arial"/>
      <family val="2"/>
      <charset val="1"/>
    </font>
    <font>
      <b val="true"/>
      <sz val="9"/>
      <name val="Arial"/>
      <family val="2"/>
      <charset val="1"/>
    </font>
    <font>
      <b val="true"/>
      <sz val="11"/>
      <name val="Arial"/>
      <family val="2"/>
      <charset val="1"/>
    </font>
    <font>
      <sz val="6"/>
      <name val="Arial"/>
      <family val="2"/>
      <charset val="1"/>
    </font>
    <font>
      <sz val="8"/>
      <color rgb="FFFFFFFF"/>
      <name val="Arial"/>
      <family val="2"/>
      <charset val="1"/>
    </font>
    <font>
      <sz val="12"/>
      <color rgb="FFFFFFFF"/>
      <name val="Arial"/>
      <family val="2"/>
      <charset val="1"/>
    </font>
    <font>
      <i val="true"/>
      <sz val="10"/>
      <name val="Arial"/>
      <family val="2"/>
      <charset val="1"/>
    </font>
    <font>
      <sz val="12"/>
      <color rgb="FFC0C0C0"/>
      <name val="Arial"/>
      <family val="2"/>
      <charset val="1"/>
    </font>
    <font>
      <sz val="12"/>
      <color rgb="FF808080"/>
      <name val="Arial"/>
      <family val="2"/>
      <charset val="1"/>
    </font>
    <font>
      <b val="true"/>
      <sz val="12"/>
      <color rgb="FF8BC0E0"/>
      <name val="Arial"/>
      <family val="2"/>
      <charset val="1"/>
    </font>
    <font>
      <sz val="10"/>
      <color rgb="FF8BC0E0"/>
      <name val="Arial"/>
      <family val="2"/>
      <charset val="1"/>
    </font>
    <font>
      <sz val="9"/>
      <name val="Arial"/>
      <family val="2"/>
      <charset val="1"/>
    </font>
    <font>
      <sz val="12"/>
      <color rgb="FF8BC0E0"/>
      <name val="Arial"/>
      <family val="2"/>
      <charset val="1"/>
    </font>
    <font>
      <b val="true"/>
      <sz val="12"/>
      <color rgb="FFFFFFFF"/>
      <name val="Arial"/>
      <family val="2"/>
      <charset val="1"/>
    </font>
    <font>
      <b val="true"/>
      <sz val="12"/>
      <color rgb="FFE1ECF3"/>
      <name val="Arial"/>
      <family val="2"/>
      <charset val="1"/>
    </font>
    <font>
      <b val="true"/>
      <sz val="10"/>
      <color rgb="FFE1ECF3"/>
      <name val="Arial"/>
      <family val="2"/>
      <charset val="1"/>
    </font>
    <font>
      <sz val="10"/>
      <color rgb="FF000000"/>
      <name val="Arial"/>
      <family val="0"/>
    </font>
    <font>
      <sz val="12"/>
      <color rgb="FF000000"/>
      <name val="Arial"/>
      <family val="0"/>
      <charset val="1"/>
    </font>
  </fonts>
  <fills count="62">
    <fill>
      <patternFill patternType="none"/>
    </fill>
    <fill>
      <patternFill patternType="gray125"/>
    </fill>
    <fill>
      <patternFill patternType="mediumGray">
        <fgColor rgb="FF8D0A73"/>
        <bgColor rgb="FFC72D00"/>
      </patternFill>
    </fill>
    <fill>
      <patternFill patternType="solid">
        <fgColor rgb="FFC0C0C0"/>
        <bgColor rgb="FFC4BD97"/>
      </patternFill>
    </fill>
    <fill>
      <patternFill patternType="solid">
        <fgColor rgb="FFC72D00"/>
        <bgColor rgb="FFFF5925"/>
      </patternFill>
    </fill>
    <fill>
      <patternFill patternType="solid">
        <fgColor rgb="FFD1E2EC"/>
        <bgColor rgb="FFD3DEE4"/>
      </patternFill>
    </fill>
    <fill>
      <patternFill patternType="solid">
        <fgColor rgb="FF00CCFF"/>
        <bgColor rgb="FF33CCCC"/>
      </patternFill>
    </fill>
    <fill>
      <patternFill patternType="solid">
        <fgColor rgb="FFFF99CC"/>
        <bgColor rgb="FFFF988C"/>
      </patternFill>
    </fill>
    <fill>
      <patternFill patternType="solid">
        <fgColor rgb="FFE1ECF3"/>
        <bgColor rgb="FFE9EFF7"/>
      </patternFill>
    </fill>
    <fill>
      <patternFill patternType="solid">
        <fgColor rgb="FF00FF00"/>
        <bgColor rgb="FF33CCCC"/>
      </patternFill>
    </fill>
    <fill>
      <patternFill patternType="solid">
        <fgColor rgb="FF99CC00"/>
        <bgColor rgb="FFA0E89A"/>
      </patternFill>
    </fill>
    <fill>
      <patternFill patternType="darkGray">
        <fgColor rgb="FF828282"/>
        <bgColor rgb="FFC4BD97"/>
      </patternFill>
    </fill>
    <fill>
      <patternFill patternType="solid">
        <fgColor rgb="FFCCFFFF"/>
        <bgColor rgb="FFCCFFCC"/>
      </patternFill>
    </fill>
    <fill>
      <patternFill patternType="solid">
        <fgColor rgb="FF666699"/>
        <bgColor rgb="FF828282"/>
      </patternFill>
    </fill>
    <fill>
      <patternFill patternType="solid">
        <fgColor rgb="FFFF5925"/>
        <bgColor rgb="FFFF6600"/>
      </patternFill>
    </fill>
    <fill>
      <patternFill patternType="solid">
        <fgColor rgb="FFFFCC99"/>
        <bgColor rgb="FFFAC090"/>
      </patternFill>
    </fill>
    <fill>
      <patternFill patternType="solid">
        <fgColor rgb="FFFFCC00"/>
        <bgColor rgb="FFFFFF00"/>
      </patternFill>
    </fill>
    <fill>
      <patternFill patternType="solid">
        <fgColor rgb="FF345BFF"/>
        <bgColor rgb="FF0076BC"/>
      </patternFill>
    </fill>
    <fill>
      <patternFill patternType="darkGray">
        <fgColor rgb="FFC72D00"/>
        <bgColor rgb="FF8D0A73"/>
      </patternFill>
    </fill>
    <fill>
      <patternFill patternType="solid">
        <fgColor rgb="FF339966"/>
        <bgColor rgb="FF54A0C9"/>
      </patternFill>
    </fill>
    <fill>
      <patternFill patternType="solid">
        <fgColor rgb="FF54A0C9"/>
        <bgColor rgb="FF339966"/>
      </patternFill>
    </fill>
    <fill>
      <patternFill patternType="solid">
        <fgColor rgb="FFFF6600"/>
        <bgColor rgb="FFFF5925"/>
      </patternFill>
    </fill>
    <fill>
      <patternFill patternType="solid">
        <fgColor rgb="FFB5C5FA"/>
        <bgColor rgb="FFC0C0C0"/>
      </patternFill>
    </fill>
    <fill>
      <patternFill patternType="solid">
        <fgColor rgb="FF345BFF"/>
        <bgColor rgb="FF1F497D"/>
      </patternFill>
    </fill>
    <fill>
      <patternFill patternType="darkGray">
        <fgColor rgb="FF54A0C9"/>
        <bgColor rgb="FF8BC0E0"/>
      </patternFill>
    </fill>
    <fill>
      <patternFill patternType="solid">
        <fgColor rgb="FFFFFF99"/>
        <bgColor rgb="FFFFFB8C"/>
      </patternFill>
    </fill>
    <fill>
      <patternFill patternType="solid">
        <fgColor rgb="FF33CCCC"/>
        <bgColor rgb="FF00CCFF"/>
      </patternFill>
    </fill>
    <fill>
      <patternFill patternType="solid">
        <fgColor rgb="FF0000FF"/>
        <bgColor rgb="FF17375E"/>
      </patternFill>
    </fill>
    <fill>
      <patternFill patternType="solid">
        <fgColor rgb="FFFF0000"/>
        <bgColor rgb="FFC72D00"/>
      </patternFill>
    </fill>
    <fill>
      <patternFill patternType="solid">
        <fgColor rgb="FFFF9900"/>
        <bgColor rgb="FFFFCC00"/>
      </patternFill>
    </fill>
    <fill>
      <patternFill patternType="darkGray">
        <fgColor rgb="FF9ACEFF"/>
        <bgColor rgb="FFC3D6EB"/>
      </patternFill>
    </fill>
    <fill>
      <patternFill patternType="solid">
        <fgColor rgb="FF828282"/>
        <bgColor rgb="FF666699"/>
      </patternFill>
    </fill>
    <fill>
      <patternFill patternType="solid">
        <fgColor rgb="FF9ACEFF"/>
        <bgColor rgb="FF8BC0E0"/>
      </patternFill>
    </fill>
    <fill>
      <patternFill patternType="solid">
        <fgColor rgb="FFFFFFFF"/>
        <bgColor rgb="FFF1F5FB"/>
      </patternFill>
    </fill>
    <fill>
      <patternFill patternType="solid">
        <fgColor rgb="FF00FFFF"/>
        <bgColor rgb="FF00CCFF"/>
      </patternFill>
    </fill>
    <fill>
      <patternFill patternType="solid">
        <fgColor rgb="FF8D0A73"/>
        <bgColor rgb="FFC72D00"/>
      </patternFill>
    </fill>
    <fill>
      <patternFill patternType="solid">
        <fgColor rgb="FFDBE5F1"/>
        <bgColor rgb="FFDBE5F2"/>
      </patternFill>
    </fill>
    <fill>
      <patternFill patternType="solid">
        <fgColor rgb="FFE9EFF7"/>
        <bgColor rgb="FFE1ECF3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rgb="FFCCFFCC"/>
      </patternFill>
    </fill>
    <fill>
      <patternFill patternType="darkGray">
        <fgColor rgb="FFA0E89A"/>
        <bgColor rgb="FFC6F9C1"/>
      </patternFill>
    </fill>
    <fill>
      <patternFill patternType="darkGray">
        <fgColor rgb="FFA0E89A"/>
        <bgColor rgb="FF8BC0E0"/>
      </patternFill>
    </fill>
    <fill>
      <patternFill patternType="solid">
        <fgColor rgb="FFFFFDBF"/>
        <bgColor rgb="FFFFFF99"/>
      </patternFill>
    </fill>
    <fill>
      <patternFill patternType="solid">
        <fgColor rgb="FFFFFB8C"/>
        <bgColor rgb="FFFFFF99"/>
      </patternFill>
    </fill>
    <fill>
      <patternFill patternType="solid">
        <fgColor rgb="FFFFF843"/>
        <bgColor rgb="FFFFFF00"/>
      </patternFill>
    </fill>
    <fill>
      <patternFill patternType="solid">
        <fgColor rgb="FFFFC7CE"/>
        <bgColor rgb="FFFFCC99"/>
      </patternFill>
    </fill>
    <fill>
      <patternFill patternType="solid">
        <fgColor rgb="FFFF988C"/>
        <bgColor rgb="FFFF99CC"/>
      </patternFill>
    </fill>
    <fill>
      <patternFill patternType="solid">
        <fgColor rgb="FFFF6758"/>
        <bgColor rgb="FFFF5925"/>
      </patternFill>
    </fill>
    <fill>
      <patternFill patternType="mediumGray">
        <fgColor rgb="FFC3D6EB"/>
        <bgColor rgb="FFB5C5FA"/>
      </patternFill>
    </fill>
    <fill>
      <patternFill patternType="solid">
        <fgColor rgb="FFC3D6EB"/>
        <bgColor rgb="FFD3DEE4"/>
      </patternFill>
    </fill>
    <fill>
      <patternFill patternType="solid">
        <fgColor rgb="FFDBE5F2"/>
        <bgColor rgb="FFDBE5F1"/>
      </patternFill>
    </fill>
    <fill>
      <patternFill patternType="solid">
        <fgColor rgb="FF000000"/>
        <bgColor rgb="FF17375E"/>
      </patternFill>
    </fill>
    <fill>
      <patternFill patternType="solid">
        <fgColor rgb="FF0076BC"/>
        <bgColor rgb="FF345BFF"/>
      </patternFill>
    </fill>
    <fill>
      <patternFill patternType="solid">
        <fgColor rgb="FF8BC0E0"/>
        <bgColor rgb="FF9ACEFF"/>
      </patternFill>
    </fill>
    <fill>
      <patternFill patternType="solid">
        <fgColor rgb="FFEBF1DE"/>
        <bgColor rgb="FFE9EFF7"/>
      </patternFill>
    </fill>
    <fill>
      <patternFill patternType="solid">
        <fgColor rgb="FFFFFF00"/>
        <bgColor rgb="FFFFF843"/>
      </patternFill>
    </fill>
    <fill>
      <patternFill patternType="solid">
        <fgColor rgb="FFCCFFCC"/>
        <bgColor rgb="FFC6F9C1"/>
      </patternFill>
    </fill>
    <fill>
      <patternFill patternType="solid">
        <fgColor rgb="FFFDEADA"/>
        <bgColor rgb="FFEBF1DE"/>
      </patternFill>
    </fill>
    <fill>
      <patternFill patternType="solid">
        <fgColor rgb="FFFAC090"/>
        <bgColor rgb="FFFFCC99"/>
      </patternFill>
    </fill>
    <fill>
      <patternFill patternType="solid">
        <fgColor rgb="FF808000"/>
        <bgColor rgb="FF828282"/>
      </patternFill>
    </fill>
    <fill>
      <patternFill patternType="solid">
        <fgColor rgb="FFD3DEE4"/>
        <bgColor rgb="FFD1E2EC"/>
      </patternFill>
    </fill>
    <fill>
      <patternFill patternType="solid">
        <fgColor rgb="FFC4BD97"/>
        <bgColor rgb="FFC0C0C0"/>
      </patternFill>
    </fill>
  </fills>
  <borders count="39">
    <border diagonalUp="false" diagonalDown="false">
      <left/>
      <right/>
      <top/>
      <bottom/>
      <diagonal/>
    </border>
    <border diagonalUp="false" diagonalDown="false"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 diagonalUp="false" diagonalDown="false">
      <left style="thin">
        <color rgb="FF54A0C9"/>
      </left>
      <right style="thin">
        <color rgb="FF54A0C9"/>
      </right>
      <top style="thin">
        <color rgb="FF54A0C9"/>
      </top>
      <bottom style="thin">
        <color rgb="FF54A0C9"/>
      </bottom>
      <diagonal/>
    </border>
    <border diagonalUp="false" diagonalDown="false">
      <left/>
      <right/>
      <top style="thin">
        <color rgb="FF345BFF"/>
      </top>
      <bottom style="double">
        <color rgb="FF345BFF"/>
      </bottom>
      <diagonal/>
    </border>
    <border diagonalUp="false" diagonalDown="false">
      <left style="thin">
        <color rgb="FF345BFF"/>
      </left>
      <right style="thin">
        <color rgb="FF345BFF"/>
      </right>
      <top style="thin">
        <color rgb="FF345BFF"/>
      </top>
      <bottom style="thin">
        <color rgb="FF345B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C72D00"/>
      </left>
      <right style="medium">
        <color rgb="FFC72D00"/>
      </right>
      <top style="medium">
        <color rgb="FFC72D00"/>
      </top>
      <bottom style="thin">
        <color rgb="FFC72D00"/>
      </bottom>
      <diagonal/>
    </border>
    <border diagonalUp="false" diagonalDown="false"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 diagonalUp="false" diagonalDown="false">
      <left style="thin">
        <color rgb="FF8BC0E0"/>
      </left>
      <right style="thin">
        <color rgb="FF8BC0E0"/>
      </right>
      <top style="thin">
        <color rgb="FF8BC0E0"/>
      </top>
      <bottom style="thin">
        <color rgb="FF8BC0E0"/>
      </bottom>
      <diagonal/>
    </border>
    <border diagonalUp="false" diagonalDown="false">
      <left style="thin">
        <color rgb="FF828282"/>
      </left>
      <right style="thin">
        <color rgb="FF828282"/>
      </right>
      <top style="thin">
        <color rgb="FF828282"/>
      </top>
      <bottom style="thin">
        <color rgb="FF828282"/>
      </bottom>
      <diagonal/>
    </border>
    <border diagonalUp="false" diagonalDown="false">
      <left/>
      <right/>
      <top/>
      <bottom style="double">
        <color rgb="FF008000"/>
      </bottom>
      <diagonal/>
    </border>
    <border diagonalUp="false" diagonalDown="false"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 diagonalUp="false" diagonalDown="false">
      <left/>
      <right/>
      <top/>
      <bottom style="thick">
        <color rgb="FF345BFF"/>
      </bottom>
      <diagonal/>
    </border>
    <border diagonalUp="false" diagonalDown="false">
      <left/>
      <right/>
      <top/>
      <bottom style="thick">
        <color rgb="FFC72D00"/>
      </bottom>
      <diagonal/>
    </border>
    <border diagonalUp="false" diagonalDown="false">
      <left/>
      <right/>
      <top/>
      <bottom style="medium">
        <color rgb="FFC72D00"/>
      </bottom>
      <diagonal/>
    </border>
    <border diagonalUp="false" diagonalDown="false">
      <left/>
      <right/>
      <top/>
      <bottom style="thick">
        <color rgb="FF54A0C9"/>
      </bottom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14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5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5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14" borderId="0" applyFont="true" applyBorder="false" applyAlignment="true" applyProtection="false">
      <alignment horizontal="general" vertical="bottom" textRotation="0" wrapText="false" indent="0" shrinkToFit="false"/>
    </xf>
    <xf numFmtId="164" fontId="4" fillId="15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5" fillId="20" borderId="0" applyFont="true" applyBorder="false" applyAlignment="true" applyProtection="false">
      <alignment horizontal="general" vertical="bottom" textRotation="0" wrapText="false" indent="0" shrinkToFit="false"/>
    </xf>
    <xf numFmtId="164" fontId="5" fillId="4" borderId="0" applyFont="true" applyBorder="false" applyAlignment="true" applyProtection="false">
      <alignment horizontal="general" vertical="bottom" textRotation="0" wrapText="false" indent="0" shrinkToFit="false"/>
    </xf>
    <xf numFmtId="164" fontId="5" fillId="21" borderId="0" applyFont="true" applyBorder="false" applyAlignment="true" applyProtection="false">
      <alignment horizontal="general" vertical="bottom" textRotation="0" wrapText="false" indent="0" shrinkToFit="false"/>
    </xf>
    <xf numFmtId="164" fontId="6" fillId="4" borderId="1" applyFont="true" applyBorder="true" applyAlignment="true" applyProtection="false">
      <alignment horizontal="general" vertical="bottom" textRotation="0" wrapText="false" indent="0" shrinkToFit="false"/>
    </xf>
    <xf numFmtId="164" fontId="7" fillId="4" borderId="2" applyFont="true" applyBorder="true" applyAlignment="true" applyProtection="false">
      <alignment horizontal="general" vertical="bottom" textRotation="0" wrapText="false" indent="0" shrinkToFit="false"/>
    </xf>
    <xf numFmtId="164" fontId="8" fillId="15" borderId="2" applyFont="true" applyBorder="true" applyAlignment="true" applyProtection="false">
      <alignment horizontal="general" vertical="bottom" textRotation="0" wrapText="false" indent="0" shrinkToFit="false"/>
    </xf>
    <xf numFmtId="164" fontId="9" fillId="22" borderId="0" applyFont="true" applyBorder="false" applyAlignment="true" applyProtection="false">
      <alignment horizontal="general" vertical="bottom" textRotation="0" wrapText="false" indent="0" shrinkToFit="false"/>
    </xf>
    <xf numFmtId="164" fontId="9" fillId="23" borderId="0" applyFont="true" applyBorder="false" applyAlignment="true" applyProtection="false">
      <alignment horizontal="general" vertical="bottom" textRotation="0" wrapText="false" indent="0" shrinkToFit="false"/>
    </xf>
    <xf numFmtId="164" fontId="9" fillId="24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3" applyFont="true" applyBorder="tru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10" fillId="15" borderId="0" applyFont="true" applyBorder="false" applyAlignment="true" applyProtection="false">
      <alignment horizontal="general" vertical="bottom" textRotation="0" wrapText="false" indent="0" shrinkToFit="false"/>
    </xf>
    <xf numFmtId="164" fontId="0" fillId="14" borderId="2" applyFont="true" applyBorder="true" applyAlignment="true" applyProtection="false">
      <alignment horizontal="general" vertical="bottom" textRotation="0" wrapText="false" indent="0" shrinkToFit="false"/>
    </xf>
    <xf numFmtId="164" fontId="11" fillId="25" borderId="2" applyFont="true" applyBorder="true" applyAlignment="true" applyProtection="false">
      <alignment horizontal="general" vertical="center" textRotation="0" wrapText="false" indent="0" shrinkToFit="false"/>
    </xf>
    <xf numFmtId="164" fontId="12" fillId="25" borderId="2" applyFont="true" applyBorder="true" applyAlignment="true" applyProtection="false">
      <alignment horizontal="general" vertical="center" textRotation="0" wrapText="false" indent="0" shrinkToFit="false"/>
    </xf>
    <xf numFmtId="164" fontId="11" fillId="25" borderId="2" applyFont="true" applyBorder="true" applyAlignment="true" applyProtection="false">
      <alignment horizontal="left" vertical="center" textRotation="0" wrapText="false" indent="1" shrinkToFit="false"/>
    </xf>
    <xf numFmtId="164" fontId="13" fillId="25" borderId="4" applyFont="true" applyBorder="true" applyAlignment="true" applyProtection="false">
      <alignment horizontal="left" vertical="top" textRotation="0" wrapText="false" indent="1" shrinkToFit="false"/>
    </xf>
    <xf numFmtId="164" fontId="11" fillId="26" borderId="2" applyFont="true" applyBorder="true" applyAlignment="true" applyProtection="false">
      <alignment horizontal="left" vertical="center" textRotation="0" wrapText="false" indent="1" shrinkToFit="false"/>
    </xf>
    <xf numFmtId="164" fontId="11" fillId="7" borderId="2" applyFont="true" applyBorder="true" applyAlignment="true" applyProtection="false">
      <alignment horizontal="right" vertical="center" textRotation="0" wrapText="false" indent="0" shrinkToFit="false"/>
    </xf>
    <xf numFmtId="164" fontId="11" fillId="27" borderId="2" applyFont="true" applyBorder="true" applyAlignment="true" applyProtection="false">
      <alignment horizontal="right" vertical="center" textRotation="0" wrapText="false" indent="0" shrinkToFit="false"/>
    </xf>
    <xf numFmtId="164" fontId="11" fillId="28" borderId="5" applyFont="true" applyBorder="true" applyAlignment="true" applyProtection="false">
      <alignment horizontal="right" vertical="center" textRotation="0" wrapText="false" indent="0" shrinkToFit="false"/>
    </xf>
    <xf numFmtId="164" fontId="11" fillId="16" borderId="2" applyFont="true" applyBorder="true" applyAlignment="true" applyProtection="false">
      <alignment horizontal="right" vertical="center" textRotation="0" wrapText="false" indent="0" shrinkToFit="false"/>
    </xf>
    <xf numFmtId="164" fontId="11" fillId="29" borderId="2" applyFont="true" applyBorder="true" applyAlignment="true" applyProtection="false">
      <alignment horizontal="right" vertical="center" textRotation="0" wrapText="false" indent="0" shrinkToFit="false"/>
    </xf>
    <xf numFmtId="164" fontId="11" fillId="21" borderId="2" applyFont="true" applyBorder="true" applyAlignment="true" applyProtection="false">
      <alignment horizontal="right" vertical="center" textRotation="0" wrapText="false" indent="0" shrinkToFit="false"/>
    </xf>
    <xf numFmtId="164" fontId="11" fillId="19" borderId="2" applyFont="true" applyBorder="true" applyAlignment="true" applyProtection="false">
      <alignment horizontal="right" vertical="center" textRotation="0" wrapText="false" indent="0" shrinkToFit="false"/>
    </xf>
    <xf numFmtId="164" fontId="11" fillId="10" borderId="2" applyFont="true" applyBorder="true" applyAlignment="true" applyProtection="false">
      <alignment horizontal="right" vertical="center" textRotation="0" wrapText="false" indent="0" shrinkToFit="false"/>
    </xf>
    <xf numFmtId="164" fontId="11" fillId="9" borderId="2" applyFont="true" applyBorder="true" applyAlignment="true" applyProtection="false">
      <alignment horizontal="right" vertical="center" textRotation="0" wrapText="false" indent="0" shrinkToFit="false"/>
    </xf>
    <xf numFmtId="164" fontId="11" fillId="30" borderId="5" applyFont="true" applyBorder="true" applyAlignment="true" applyProtection="false">
      <alignment horizontal="left" vertical="center" textRotation="0" wrapText="false" indent="1" shrinkToFit="false"/>
    </xf>
    <xf numFmtId="164" fontId="14" fillId="13" borderId="5" applyFont="true" applyBorder="true" applyAlignment="true" applyProtection="false">
      <alignment horizontal="left" vertical="center" textRotation="0" wrapText="false" indent="1" shrinkToFit="false"/>
    </xf>
    <xf numFmtId="164" fontId="14" fillId="13" borderId="5" applyFont="true" applyBorder="true" applyAlignment="true" applyProtection="false">
      <alignment horizontal="left" vertical="center" textRotation="0" wrapText="false" indent="1" shrinkToFit="false"/>
    </xf>
    <xf numFmtId="164" fontId="11" fillId="6" borderId="2" applyFont="true" applyBorder="true" applyAlignment="true" applyProtection="false">
      <alignment horizontal="right" vertical="center" textRotation="0" wrapText="false" indent="0" shrinkToFit="false"/>
    </xf>
    <xf numFmtId="164" fontId="11" fillId="12" borderId="5" applyFont="true" applyBorder="true" applyAlignment="true" applyProtection="false">
      <alignment horizontal="left" vertical="center" textRotation="0" wrapText="false" indent="1" shrinkToFit="false"/>
    </xf>
    <xf numFmtId="164" fontId="11" fillId="6" borderId="5" applyFont="true" applyBorder="true" applyAlignment="true" applyProtection="false">
      <alignment horizontal="left" vertical="center" textRotation="0" wrapText="false" indent="1" shrinkToFit="false"/>
    </xf>
    <xf numFmtId="164" fontId="11" fillId="3" borderId="2" applyFont="true" applyBorder="true" applyAlignment="true" applyProtection="false">
      <alignment horizontal="left" vertical="center" textRotation="0" wrapText="false" indent="1" shrinkToFit="false"/>
    </xf>
    <xf numFmtId="164" fontId="11" fillId="13" borderId="4" applyFont="true" applyBorder="true" applyAlignment="true" applyProtection="false">
      <alignment horizontal="left" vertical="top" textRotation="0" wrapText="false" indent="1" shrinkToFit="false"/>
    </xf>
    <xf numFmtId="164" fontId="11" fillId="31" borderId="2" applyFont="true" applyBorder="true" applyAlignment="true" applyProtection="false">
      <alignment horizontal="left" vertical="center" textRotation="0" wrapText="false" indent="1" shrinkToFit="false"/>
    </xf>
    <xf numFmtId="164" fontId="11" fillId="6" borderId="4" applyFont="true" applyBorder="true" applyAlignment="true" applyProtection="false">
      <alignment horizontal="left" vertical="top" textRotation="0" wrapText="false" indent="1" shrinkToFit="false"/>
    </xf>
    <xf numFmtId="164" fontId="11" fillId="32" borderId="2" applyFont="true" applyBorder="true" applyAlignment="true" applyProtection="false">
      <alignment horizontal="left" vertical="center" textRotation="0" wrapText="false" indent="1" shrinkToFit="false"/>
    </xf>
    <xf numFmtId="164" fontId="11" fillId="32" borderId="4" applyFont="true" applyBorder="true" applyAlignment="true" applyProtection="false">
      <alignment horizontal="left" vertical="top" textRotation="0" wrapText="false" indent="1" shrinkToFit="false"/>
    </xf>
    <xf numFmtId="164" fontId="11" fillId="12" borderId="2" applyFont="true" applyBorder="true" applyAlignment="true" applyProtection="false">
      <alignment horizontal="left" vertical="center" textRotation="0" wrapText="false" indent="1" shrinkToFit="false"/>
    </xf>
    <xf numFmtId="164" fontId="11" fillId="12" borderId="4" applyFont="true" applyBorder="true" applyAlignment="true" applyProtection="false">
      <alignment horizontal="left" vertical="top" textRotation="0" wrapText="false" indent="1" shrinkToFit="false"/>
    </xf>
    <xf numFmtId="164" fontId="11" fillId="33" borderId="6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5" fillId="13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14" borderId="4" applyFont="true" applyBorder="true" applyAlignment="true" applyProtection="false">
      <alignment horizontal="general" vertical="center" textRotation="0" wrapText="false" indent="0" shrinkToFit="false"/>
    </xf>
    <xf numFmtId="164" fontId="12" fillId="14" borderId="5" applyFont="true" applyBorder="true" applyAlignment="true" applyProtection="false">
      <alignment horizontal="general" vertical="center" textRotation="0" wrapText="false" indent="0" shrinkToFit="false"/>
    </xf>
    <xf numFmtId="164" fontId="16" fillId="3" borderId="4" applyFont="true" applyBorder="true" applyAlignment="true" applyProtection="false">
      <alignment horizontal="left" vertical="center" textRotation="0" wrapText="false" indent="1" shrinkToFit="false"/>
    </xf>
    <xf numFmtId="164" fontId="16" fillId="14" borderId="4" applyFont="true" applyBorder="true" applyAlignment="true" applyProtection="false">
      <alignment horizontal="left" vertical="top" textRotation="0" wrapText="false" indent="1" shrinkToFit="false"/>
    </xf>
    <xf numFmtId="164" fontId="11" fillId="0" borderId="2" applyFont="true" applyBorder="true" applyAlignment="true" applyProtection="false">
      <alignment horizontal="right" vertical="center" textRotation="0" wrapText="false" indent="0" shrinkToFit="false"/>
    </xf>
    <xf numFmtId="164" fontId="12" fillId="33" borderId="2" applyFont="true" applyBorder="true" applyAlignment="true" applyProtection="false">
      <alignment horizontal="right" vertical="center" textRotation="0" wrapText="false" indent="0" shrinkToFit="false"/>
    </xf>
    <xf numFmtId="164" fontId="11" fillId="26" borderId="2" applyFont="true" applyBorder="true" applyAlignment="true" applyProtection="false">
      <alignment horizontal="left" vertical="center" textRotation="0" wrapText="false" indent="1" shrinkToFit="false"/>
    </xf>
    <xf numFmtId="164" fontId="16" fillId="6" borderId="4" applyFont="true" applyBorder="true" applyAlignment="true" applyProtection="false">
      <alignment horizontal="left" vertical="top" textRotation="0" wrapText="false" indent="1" shrinkToFit="false"/>
    </xf>
    <xf numFmtId="164" fontId="17" fillId="34" borderId="5" applyFont="true" applyBorder="true" applyAlignment="true" applyProtection="false">
      <alignment horizontal="left" vertical="center" textRotation="0" wrapText="false" indent="1" shrinkToFit="false"/>
    </xf>
    <xf numFmtId="164" fontId="11" fillId="35" borderId="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33" borderId="2" applyFont="true" applyBorder="true" applyAlignment="true" applyProtection="false">
      <alignment horizontal="right" vertical="center" textRotation="0" wrapText="false" indent="0" shrinkToFit="false"/>
    </xf>
    <xf numFmtId="164" fontId="0" fillId="0" borderId="7" applyFont="true" applyBorder="true" applyAlignment="true" applyProtection="false">
      <alignment horizontal="general" vertical="bottom" textRotation="0" wrapText="false" indent="0" shrinkToFit="false"/>
    </xf>
    <xf numFmtId="164" fontId="19" fillId="0" borderId="8" applyFont="true" applyBorder="true" applyAlignment="true" applyProtection="false">
      <alignment horizontal="right" vertical="center" textRotation="0" wrapText="false" indent="0" shrinkToFit="false"/>
    </xf>
    <xf numFmtId="164" fontId="20" fillId="0" borderId="9" applyFont="true" applyBorder="true" applyAlignment="true" applyProtection="false">
      <alignment horizontal="right" vertical="center" textRotation="0" wrapText="false" indent="0" shrinkToFit="false"/>
    </xf>
    <xf numFmtId="164" fontId="20" fillId="36" borderId="7" applyFont="true" applyBorder="true" applyAlignment="true" applyProtection="false">
      <alignment horizontal="general" vertical="bottom" textRotation="0" wrapText="false" indent="0" shrinkToFit="false"/>
    </xf>
    <xf numFmtId="164" fontId="21" fillId="33" borderId="9" applyFont="true" applyBorder="true" applyAlignment="true" applyProtection="false">
      <alignment horizontal="general" vertical="bottom" textRotation="0" wrapText="false" indent="0" shrinkToFit="false"/>
    </xf>
    <xf numFmtId="164" fontId="21" fillId="33" borderId="9" applyFont="true" applyBorder="true" applyAlignment="true" applyProtection="false">
      <alignment horizontal="general" vertical="bottom" textRotation="0" wrapText="false" indent="0" shrinkToFit="false"/>
    </xf>
    <xf numFmtId="164" fontId="22" fillId="0" borderId="0" applyFont="true" applyBorder="false" applyAlignment="true" applyProtection="false">
      <alignment horizontal="general" vertical="bottom" textRotation="0" wrapText="false" indent="0" shrinkToFit="false"/>
    </xf>
    <xf numFmtId="164" fontId="22" fillId="33" borderId="9" applyFont="true" applyBorder="true" applyAlignment="true" applyProtection="false">
      <alignment horizontal="general" vertical="bottom" textRotation="0" wrapText="false" indent="0" shrinkToFit="false"/>
    </xf>
    <xf numFmtId="164" fontId="22" fillId="33" borderId="9" applyFont="true" applyBorder="true" applyAlignment="true" applyProtection="false">
      <alignment horizontal="general" vertical="bottom" textRotation="0" wrapText="false" indent="0" shrinkToFit="false"/>
    </xf>
    <xf numFmtId="164" fontId="23" fillId="37" borderId="0" applyFont="true" applyBorder="false" applyAlignment="true" applyProtection="false">
      <alignment horizontal="right" vertical="center" textRotation="0" wrapText="false" indent="0" shrinkToFit="false"/>
    </xf>
    <xf numFmtId="164" fontId="24" fillId="37" borderId="0" applyFont="true" applyBorder="false" applyAlignment="true" applyProtection="false">
      <alignment horizontal="right" vertical="center" textRotation="0" wrapText="false" indent="0" shrinkToFit="false"/>
    </xf>
    <xf numFmtId="164" fontId="22" fillId="38" borderId="9" applyFont="true" applyBorder="true" applyAlignment="true" applyProtection="false">
      <alignment horizontal="general" vertical="bottom" textRotation="0" wrapText="false" indent="0" shrinkToFit="false"/>
    </xf>
    <xf numFmtId="164" fontId="24" fillId="38" borderId="9" applyFont="true" applyBorder="true" applyAlignment="true" applyProtection="false">
      <alignment horizontal="right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bottom" textRotation="0" wrapText="false" indent="0" shrinkToFit="false"/>
    </xf>
    <xf numFmtId="164" fontId="26" fillId="39" borderId="0" applyFont="true" applyBorder="false" applyAlignment="true" applyProtection="false">
      <alignment horizontal="general" vertical="bottom" textRotation="0" wrapText="false" indent="0" shrinkToFit="false"/>
    </xf>
    <xf numFmtId="164" fontId="27" fillId="40" borderId="0" applyFont="true" applyBorder="false" applyAlignment="true" applyProtection="false">
      <alignment horizontal="general" vertical="bottom" textRotation="0" wrapText="false" indent="0" shrinkToFit="false"/>
    </xf>
    <xf numFmtId="164" fontId="27" fillId="41" borderId="0" applyFont="true" applyBorder="false" applyAlignment="true" applyProtection="false">
      <alignment horizontal="general" vertical="bottom" textRotation="0" wrapText="false" indent="0" shrinkToFit="false"/>
    </xf>
    <xf numFmtId="164" fontId="28" fillId="42" borderId="0" applyFont="true" applyBorder="false" applyAlignment="true" applyProtection="false">
      <alignment horizontal="general" vertical="bottom" textRotation="0" wrapText="false" indent="0" shrinkToFit="false"/>
    </xf>
    <xf numFmtId="164" fontId="28" fillId="43" borderId="0" applyFont="true" applyBorder="false" applyAlignment="true" applyProtection="false">
      <alignment horizontal="general" vertical="bottom" textRotation="0" wrapText="false" indent="0" shrinkToFit="false"/>
    </xf>
    <xf numFmtId="164" fontId="28" fillId="44" borderId="0" applyFont="true" applyBorder="false" applyAlignment="true" applyProtection="false">
      <alignment horizontal="general" vertical="bottom" textRotation="0" wrapText="false" indent="0" shrinkToFit="false"/>
    </xf>
    <xf numFmtId="164" fontId="29" fillId="45" borderId="0" applyFont="true" applyBorder="false" applyAlignment="true" applyProtection="false">
      <alignment horizontal="general" vertical="bottom" textRotation="0" wrapText="false" indent="0" shrinkToFit="false"/>
    </xf>
    <xf numFmtId="164" fontId="29" fillId="46" borderId="0" applyFont="true" applyBorder="false" applyAlignment="true" applyProtection="false">
      <alignment horizontal="general" vertical="bottom" textRotation="0" wrapText="false" indent="0" shrinkToFit="false"/>
    </xf>
    <xf numFmtId="164" fontId="29" fillId="47" borderId="0" applyFont="true" applyBorder="false" applyAlignment="true" applyProtection="false">
      <alignment horizontal="general" vertical="bottom" textRotation="0" wrapText="false" indent="0" shrinkToFit="false"/>
    </xf>
    <xf numFmtId="164" fontId="21" fillId="48" borderId="7" applyFont="true" applyBorder="true" applyAlignment="true" applyProtection="false">
      <alignment horizontal="general" vertical="bottom" textRotation="0" wrapText="false" indent="0" shrinkToFit="false"/>
    </xf>
    <xf numFmtId="164" fontId="21" fillId="49" borderId="7" applyFont="true" applyBorder="true" applyAlignment="true" applyProtection="false">
      <alignment horizontal="general" vertical="bottom" textRotation="0" wrapText="false" indent="0" shrinkToFit="false"/>
    </xf>
    <xf numFmtId="164" fontId="21" fillId="50" borderId="7" applyFont="true" applyBorder="true" applyAlignment="true" applyProtection="false">
      <alignment horizontal="general" vertical="bottom" textRotation="0" wrapText="false" indent="0" shrinkToFit="false"/>
    </xf>
    <xf numFmtId="164" fontId="21" fillId="37" borderId="7" applyFont="true" applyBorder="true" applyAlignment="true" applyProtection="false">
      <alignment horizontal="general" vertical="bottom" textRotation="0" wrapText="false" indent="0" shrinkToFit="false"/>
    </xf>
    <xf numFmtId="164" fontId="21" fillId="38" borderId="9" applyFont="true" applyBorder="true" applyAlignment="true" applyProtection="false">
      <alignment horizontal="general" vertical="bottom" textRotation="0" wrapText="false" indent="0" shrinkToFit="false"/>
    </xf>
    <xf numFmtId="164" fontId="19" fillId="37" borderId="0" applyFont="true" applyBorder="false" applyAlignment="true" applyProtection="false">
      <alignment horizontal="right" vertical="center" textRotation="0" wrapText="false" indent="0" shrinkToFit="false"/>
    </xf>
    <xf numFmtId="164" fontId="20" fillId="37" borderId="0" applyFont="true" applyBorder="false" applyAlignment="true" applyProtection="false">
      <alignment horizontal="right" vertical="center" textRotation="0" wrapText="false" indent="0" shrinkToFit="false"/>
    </xf>
    <xf numFmtId="164" fontId="19" fillId="36" borderId="7" applyFont="true" applyBorder="true" applyAlignment="true" applyProtection="false">
      <alignment horizontal="general" vertical="bottom" textRotation="0" wrapText="false" indent="0" shrinkToFit="false"/>
    </xf>
    <xf numFmtId="164" fontId="20" fillId="36" borderId="9" applyFont="true" applyBorder="true" applyAlignment="true" applyProtection="false">
      <alignment horizontal="general" vertical="bottom" textRotation="0" wrapText="false" indent="0" shrinkToFit="false"/>
    </xf>
    <xf numFmtId="164" fontId="21" fillId="38" borderId="9" applyFont="true" applyBorder="true" applyAlignment="true" applyProtection="false">
      <alignment horizontal="general" vertical="bottom" textRotation="0" wrapText="false" indent="0" shrinkToFit="false"/>
    </xf>
    <xf numFmtId="164" fontId="20" fillId="38" borderId="9" applyFont="true" applyBorder="true" applyAlignment="true" applyProtection="false">
      <alignment horizontal="right" vertical="center" textRotation="0" wrapText="false" indent="0" shrinkToFit="false"/>
    </xf>
    <xf numFmtId="164" fontId="30" fillId="14" borderId="0" applyFont="true" applyBorder="false" applyAlignment="true" applyProtection="false">
      <alignment horizontal="general" vertical="bottom" textRotation="0" wrapText="false" indent="0" shrinkToFit="false"/>
    </xf>
    <xf numFmtId="164" fontId="31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8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applyFont="true" applyBorder="true" applyAlignment="true" applyProtection="false">
      <alignment horizontal="general" vertical="bottom" textRotation="0" wrapText="false" indent="0" shrinkToFit="false"/>
    </xf>
    <xf numFmtId="164" fontId="10" fillId="0" borderId="10" applyFont="true" applyBorder="true" applyAlignment="true" applyProtection="false">
      <alignment horizontal="general" vertical="bottom" textRotation="0" wrapText="false" indent="0" shrinkToFit="false"/>
    </xf>
    <xf numFmtId="164" fontId="32" fillId="0" borderId="0" applyFont="true" applyBorder="false" applyAlignment="true" applyProtection="false">
      <alignment horizontal="general" vertical="bottom" textRotation="0" wrapText="false" indent="0" shrinkToFit="false"/>
    </xf>
    <xf numFmtId="164" fontId="33" fillId="20" borderId="11" applyFont="true" applyBorder="true" applyAlignment="true" applyProtection="false">
      <alignment horizontal="general" vertical="bottom" textRotation="0" wrapText="false" indent="0" shrinkToFit="false"/>
    </xf>
    <xf numFmtId="164" fontId="34" fillId="0" borderId="12" applyFont="true" applyBorder="true" applyAlignment="true" applyProtection="false">
      <alignment horizontal="general" vertical="bottom" textRotation="0" wrapText="false" indent="0" shrinkToFit="false"/>
    </xf>
    <xf numFmtId="164" fontId="35" fillId="0" borderId="13" applyFont="true" applyBorder="true" applyAlignment="true" applyProtection="false">
      <alignment horizontal="general" vertical="bottom" textRotation="0" wrapText="false" indent="0" shrinkToFit="false"/>
    </xf>
    <xf numFmtId="164" fontId="36" fillId="0" borderId="14" applyFont="true" applyBorder="true" applyAlignment="true" applyProtection="false">
      <alignment horizontal="general" vertical="bottom" textRotation="0" wrapText="false" indent="0" shrinkToFit="false"/>
    </xf>
    <xf numFmtId="164" fontId="36" fillId="0" borderId="0" applyFont="true" applyBorder="false" applyAlignment="true" applyProtection="false">
      <alignment horizontal="general" vertical="bottom" textRotation="0" wrapText="false" indent="0" shrinkToFit="false"/>
    </xf>
    <xf numFmtId="164" fontId="46" fillId="0" borderId="15" applyFont="true" applyBorder="true" applyAlignment="true" applyProtection="false">
      <alignment horizontal="general" vertical="bottom" textRotation="0" wrapText="false" indent="0" shrinkToFit="false"/>
    </xf>
  </cellStyleXfs>
  <cellXfs count="19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8" fillId="51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8" fillId="51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8" fillId="5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9" fillId="5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8" fillId="5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0" fillId="52" borderId="0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41" fillId="5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0" xfId="13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1" fillId="5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41" fillId="5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5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54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54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54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4" fillId="54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4" fillId="54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53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1" fillId="53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4" fillId="55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53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4" fillId="55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54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54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16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16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16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4" fillId="16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4" fillId="16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1" fontId="1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4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2" fillId="32" borderId="20" xfId="133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2" fillId="32" borderId="21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32" borderId="2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5" fillId="56" borderId="23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56" borderId="24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7" fillId="0" borderId="0" xfId="14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8" fillId="0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right" vertical="bottom" textRotation="9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90" wrapText="false" indent="0" shrinkToFit="false"/>
      <protection locked="true" hidden="false"/>
    </xf>
    <xf numFmtId="164" fontId="41" fillId="32" borderId="16" xfId="133" applyFont="true" applyBorder="true" applyAlignment="true" applyProtection="true">
      <alignment horizontal="center" vertical="bottom" textRotation="90" wrapText="false" indent="0" shrinkToFit="false"/>
      <protection locked="true" hidden="false"/>
    </xf>
    <xf numFmtId="164" fontId="41" fillId="56" borderId="16" xfId="133" applyFont="true" applyBorder="true" applyAlignment="true" applyProtection="true">
      <alignment horizontal="center" vertical="bottom" textRotation="90" wrapText="false" indent="0" shrinkToFit="false"/>
      <protection locked="true" hidden="false"/>
    </xf>
    <xf numFmtId="164" fontId="47" fillId="0" borderId="0" xfId="141" applyFont="true" applyBorder="true" applyAlignment="true" applyProtection="true">
      <alignment horizontal="right" vertical="bottom" textRotation="90" wrapText="false" indent="0" shrinkToFit="false"/>
      <protection locked="true" hidden="false"/>
    </xf>
    <xf numFmtId="170" fontId="0" fillId="0" borderId="25" xfId="0" applyFont="false" applyBorder="true" applyAlignment="true" applyProtection="true">
      <alignment horizontal="center" vertical="bottom" textRotation="90" wrapText="false" indent="0" shrinkToFit="false"/>
      <protection locked="true" hidden="false"/>
    </xf>
    <xf numFmtId="164" fontId="49" fillId="55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9" fillId="25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9" fillId="31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9" fillId="29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9" fillId="5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0" borderId="26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0" fillId="57" borderId="27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0" fillId="57" borderId="26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0" fillId="58" borderId="26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1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1" fillId="31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52" fillId="10" borderId="5" xfId="133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64" fontId="53" fillId="5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31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3" fillId="5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3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4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3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0" borderId="28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right" vertical="bottom" textRotation="90" wrapText="false" indent="0" shrinkToFit="false"/>
      <protection locked="true" hidden="false"/>
    </xf>
    <xf numFmtId="164" fontId="54" fillId="59" borderId="29" xfId="1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4" fillId="59" borderId="30" xfId="1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3" fillId="0" borderId="0" xfId="133" applyFont="true" applyBorder="true" applyAlignment="true" applyProtection="true">
      <alignment horizontal="right" vertical="bottom" textRotation="90" wrapText="false" indent="0" shrinkToFit="false"/>
      <protection locked="true" hidden="false"/>
    </xf>
    <xf numFmtId="164" fontId="55" fillId="8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0" borderId="0" xfId="13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3" fillId="25" borderId="18" xfId="133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48" fillId="0" borderId="18" xfId="133" applyFont="true" applyBorder="true" applyAlignment="true" applyProtection="true">
      <alignment horizontal="right" vertical="bottom" textRotation="0" wrapText="false" indent="2" shrinkToFit="false"/>
      <protection locked="true" hidden="false"/>
    </xf>
    <xf numFmtId="164" fontId="54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14" fillId="3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3" fillId="0" borderId="0" xfId="133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3" fontId="56" fillId="0" borderId="0" xfId="133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3" fontId="48" fillId="0" borderId="5" xfId="133" applyFont="true" applyBorder="true" applyAlignment="true" applyProtection="true">
      <alignment horizontal="right" vertical="bottom" textRotation="0" wrapText="false" indent="2" shrinkToFit="false"/>
      <protection locked="true" hidden="false"/>
    </xf>
    <xf numFmtId="173" fontId="14" fillId="56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1" fillId="0" borderId="5" xfId="19" applyFont="true" applyBorder="true" applyAlignment="true" applyProtection="true">
      <alignment horizontal="right" vertical="bottom" textRotation="0" wrapText="false" indent="2" shrinkToFit="false"/>
      <protection locked="true" hidden="false"/>
    </xf>
    <xf numFmtId="164" fontId="54" fillId="0" borderId="0" xfId="133" applyFont="true" applyBorder="false" applyAlignment="true" applyProtection="true">
      <alignment horizontal="right" vertical="bottom" textRotation="90" wrapText="false" indent="0" shrinkToFit="false"/>
      <protection locked="true" hidden="false"/>
    </xf>
    <xf numFmtId="172" fontId="14" fillId="0" borderId="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0" borderId="0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3" fillId="0" borderId="31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5" fillId="8" borderId="5" xfId="13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25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4" fillId="3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57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14" fillId="16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57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56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1" fillId="0" borderId="5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0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16" xfId="1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1" fillId="3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1" fillId="32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1" fillId="31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1" fillId="52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52" fillId="32" borderId="5" xfId="133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70" fontId="11" fillId="53" borderId="17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8" fillId="53" borderId="3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8" fillId="31" borderId="3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8" fillId="52" borderId="3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9" fillId="53" borderId="5" xfId="133" applyFont="true" applyBorder="true" applyAlignment="true" applyProtection="true">
      <alignment horizontal="general" vertical="bottom" textRotation="0" wrapText="false" indent="0" shrinkToFit="true"/>
      <protection locked="true" hidden="false"/>
    </xf>
    <xf numFmtId="164" fontId="43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3" fillId="31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2" borderId="33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0" borderId="17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5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60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61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1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61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3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61" fillId="52" borderId="33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3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3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0" fillId="5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3" fillId="5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5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3" fillId="5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2" borderId="3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0" borderId="3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3" fillId="29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60" borderId="32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" borderId="29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" borderId="16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5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4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7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4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8" fillId="0" borderId="0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1" fillId="10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8" fillId="5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8" fillId="0" borderId="0" xfId="1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41" fillId="10" borderId="34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1" fillId="10" borderId="18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43" fillId="61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4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23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3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36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37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31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38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2" fillId="52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2" fillId="52" borderId="29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1" fillId="5" borderId="5" xfId="13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4" fillId="5" borderId="5" xfId="133" applyFont="true" applyBorder="true" applyAlignment="true" applyProtection="true">
      <alignment horizontal="right" vertical="bottom" textRotation="0" wrapText="false" indent="1" shrinkToFit="false"/>
      <protection locked="true" hidden="false"/>
    </xf>
    <xf numFmtId="164" fontId="14" fillId="52" borderId="29" xfId="133" applyFont="true" applyBorder="true" applyAlignment="true" applyProtection="true">
      <alignment horizontal="right" vertical="bottom" textRotation="0" wrapText="false" indent="1" shrinkToFit="false"/>
      <protection locked="true" hidden="false"/>
    </xf>
    <xf numFmtId="164" fontId="48" fillId="53" borderId="5" xfId="13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8" fillId="52" borderId="29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1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2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14" fillId="3" borderId="5" xfId="13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9" fontId="14" fillId="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3" fillId="52" borderId="5" xfId="13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4" fillId="52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43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41" fillId="53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5" borderId="5" xfId="0" applyFont="false" applyBorder="true" applyAlignment="true" applyProtection="true">
      <alignment horizontal="right" vertical="bottom" textRotation="0" wrapText="false" indent="1" shrinkToFit="false"/>
      <protection locked="true" hidden="false"/>
    </xf>
    <xf numFmtId="164" fontId="0" fillId="52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53" borderId="29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8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4" fillId="53" borderId="5" xfId="133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12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1 - 20%" xfId="20"/>
    <cellStyle name="Accent1 - 40%" xfId="21"/>
    <cellStyle name="Accent1 - 60%" xfId="22"/>
    <cellStyle name="Accent2 - 20%" xfId="23"/>
    <cellStyle name="Accent2 - 40%" xfId="24"/>
    <cellStyle name="Accent2 - 60%" xfId="25"/>
    <cellStyle name="Accent3 - 20%" xfId="26"/>
    <cellStyle name="Accent3 - 40%" xfId="27"/>
    <cellStyle name="Accent3 - 60%" xfId="28"/>
    <cellStyle name="Accent4 - 20%" xfId="29"/>
    <cellStyle name="Accent4 - 40%" xfId="30"/>
    <cellStyle name="Accent4 - 60%" xfId="31"/>
    <cellStyle name="Accent5 - 20%" xfId="32"/>
    <cellStyle name="Accent5 - 40%" xfId="33"/>
    <cellStyle name="Accent5 - 60%" xfId="34"/>
    <cellStyle name="Accent6 - 20%" xfId="35"/>
    <cellStyle name="Accent6 - 40%" xfId="36"/>
    <cellStyle name="Accent6 - 60%" xfId="37"/>
    <cellStyle name="Akzent1 2" xfId="38"/>
    <cellStyle name="Akzent2 2" xfId="39"/>
    <cellStyle name="Akzent3 2" xfId="40"/>
    <cellStyle name="Akzent4 2" xfId="41"/>
    <cellStyle name="Akzent5 2" xfId="42"/>
    <cellStyle name="Akzent6 2" xfId="43"/>
    <cellStyle name="Ausgabe 2" xfId="44"/>
    <cellStyle name="Berechnung 2" xfId="45"/>
    <cellStyle name="Eingabe 2" xfId="46"/>
    <cellStyle name="Emphasis 1" xfId="47"/>
    <cellStyle name="Emphasis 2" xfId="48"/>
    <cellStyle name="Emphasis 3" xfId="49"/>
    <cellStyle name="Ergebnis 2" xfId="50"/>
    <cellStyle name="Gut 2" xfId="51"/>
    <cellStyle name="Neutral 2" xfId="52"/>
    <cellStyle name="Notiz 2" xfId="53"/>
    <cellStyle name="SAPBEXaggData" xfId="54"/>
    <cellStyle name="SAPBEXaggDataEmph" xfId="55"/>
    <cellStyle name="SAPBEXaggItem" xfId="56"/>
    <cellStyle name="SAPBEXaggItemX" xfId="57"/>
    <cellStyle name="SAPBEXchaText" xfId="58"/>
    <cellStyle name="SAPBEXexcBad7" xfId="59"/>
    <cellStyle name="SAPBEXexcBad8" xfId="60"/>
    <cellStyle name="SAPBEXexcBad9" xfId="61"/>
    <cellStyle name="SAPBEXexcCritical4" xfId="62"/>
    <cellStyle name="SAPBEXexcCritical5" xfId="63"/>
    <cellStyle name="SAPBEXexcCritical6" xfId="64"/>
    <cellStyle name="SAPBEXexcGood1" xfId="65"/>
    <cellStyle name="SAPBEXexcGood2" xfId="66"/>
    <cellStyle name="SAPBEXexcGood3" xfId="67"/>
    <cellStyle name="SAPBEXfilterDrill" xfId="68"/>
    <cellStyle name="SAPBEXfilterItem" xfId="69"/>
    <cellStyle name="SAPBEXfilterText" xfId="70"/>
    <cellStyle name="SAPBEXformats" xfId="71"/>
    <cellStyle name="SAPBEXheaderItem" xfId="72"/>
    <cellStyle name="SAPBEXheaderText" xfId="73"/>
    <cellStyle name="SAPBEXHLevel0" xfId="74"/>
    <cellStyle name="SAPBEXHLevel0X" xfId="75"/>
    <cellStyle name="SAPBEXHLevel1" xfId="76"/>
    <cellStyle name="SAPBEXHLevel1X" xfId="77"/>
    <cellStyle name="SAPBEXHLevel2" xfId="78"/>
    <cellStyle name="SAPBEXHLevel2X" xfId="79"/>
    <cellStyle name="SAPBEXHLevel3" xfId="80"/>
    <cellStyle name="SAPBEXHLevel3X" xfId="81"/>
    <cellStyle name="SAPBEXinputData" xfId="82"/>
    <cellStyle name="SAPBEXItemHeader" xfId="83"/>
    <cellStyle name="SAPBEXresData" xfId="84"/>
    <cellStyle name="SAPBEXresDataEmph" xfId="85"/>
    <cellStyle name="SAPBEXresItem" xfId="86"/>
    <cellStyle name="SAPBEXresItemX" xfId="87"/>
    <cellStyle name="SAPBEXstdData" xfId="88"/>
    <cellStyle name="SAPBEXstdDataEmph" xfId="89"/>
    <cellStyle name="SAPBEXstdItem" xfId="90"/>
    <cellStyle name="SAPBEXstdItemX" xfId="91"/>
    <cellStyle name="SAPBEXtitle" xfId="92"/>
    <cellStyle name="SAPBEXunassignedItem" xfId="93"/>
    <cellStyle name="SAPBEXundefined" xfId="94"/>
    <cellStyle name="SAPBorder" xfId="95"/>
    <cellStyle name="SAPDataCell" xfId="96"/>
    <cellStyle name="SAPDataTotalCell" xfId="97"/>
    <cellStyle name="SAPDimensionCell" xfId="98"/>
    <cellStyle name="SAPEditableDataCell" xfId="99"/>
    <cellStyle name="SAPEditableDataTotalCell" xfId="100"/>
    <cellStyle name="SAPEmphasized" xfId="101"/>
    <cellStyle name="SAPEmphasizedEditableDataCell" xfId="102"/>
    <cellStyle name="SAPEmphasizedEditableDataTotalCell" xfId="103"/>
    <cellStyle name="SAPEmphasizedLockedDataCell" xfId="104"/>
    <cellStyle name="SAPEmphasizedLockedDataTotalCell" xfId="105"/>
    <cellStyle name="SAPEmphasizedReadonlyDataCell" xfId="106"/>
    <cellStyle name="SAPEmphasizedReadonlyDataTotalCell" xfId="107"/>
    <cellStyle name="SAPEmphasizedTotal" xfId="108"/>
    <cellStyle name="SAPExceptionLevel1" xfId="109"/>
    <cellStyle name="SAPExceptionLevel2" xfId="110"/>
    <cellStyle name="SAPExceptionLevel3" xfId="111"/>
    <cellStyle name="SAPExceptionLevel4" xfId="112"/>
    <cellStyle name="SAPExceptionLevel5" xfId="113"/>
    <cellStyle name="SAPExceptionLevel6" xfId="114"/>
    <cellStyle name="SAPExceptionLevel7" xfId="115"/>
    <cellStyle name="SAPExceptionLevel8" xfId="116"/>
    <cellStyle name="SAPExceptionLevel9" xfId="117"/>
    <cellStyle name="SAPHierarchyCell0" xfId="118"/>
    <cellStyle name="SAPHierarchyCell1" xfId="119"/>
    <cellStyle name="SAPHierarchyCell2" xfId="120"/>
    <cellStyle name="SAPHierarchyCell3" xfId="121"/>
    <cellStyle name="SAPHierarchyCell4" xfId="122"/>
    <cellStyle name="SAPLockedDataCell" xfId="123"/>
    <cellStyle name="SAPLockedDataTotalCell" xfId="124"/>
    <cellStyle name="SAPMemberCell" xfId="125"/>
    <cellStyle name="SAPMemberTotalCell" xfId="126"/>
    <cellStyle name="SAPReadonlyDataCell" xfId="127"/>
    <cellStyle name="SAPReadonlyDataTotalCell" xfId="128"/>
    <cellStyle name="Schlecht 2" xfId="129"/>
    <cellStyle name="Sheet Title" xfId="130"/>
    <cellStyle name="Standard 2" xfId="131"/>
    <cellStyle name="Standard 3" xfId="132"/>
    <cellStyle name="Standard_NEU_Quartalsplanung_3FE31_2003" xfId="133"/>
    <cellStyle name="Verknüpfte Zelle 2" xfId="134"/>
    <cellStyle name="Warnender Text 2" xfId="135"/>
    <cellStyle name="Zelle überprüfen 2" xfId="136"/>
    <cellStyle name="Überschrift 1 2" xfId="137"/>
    <cellStyle name="Überschrift 2 2" xfId="138"/>
    <cellStyle name="Überschrift 3 2" xfId="139"/>
    <cellStyle name="Überschrift 4 2" xfId="140"/>
    <cellStyle name="Excel Built-in Heading 1" xfId="141"/>
  </cellStyles>
  <dxfs count="147">
    <dxf>
      <fill>
        <patternFill patternType="solid">
          <fgColor rgb="FF808000"/>
        </patternFill>
      </fill>
    </dxf>
    <dxf>
      <fill>
        <patternFill patternType="solid">
          <fgColor rgb="FF8BC0E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808080"/>
        </patternFill>
      </fill>
    </dxf>
    <dxf>
      <fill>
        <patternFill patternType="solid">
          <fgColor rgb="FFD1E2EC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FF9900"/>
        </patternFill>
      </fill>
    </dxf>
    <dxf>
      <fill>
        <patternFill patternType="solid">
          <fgColor rgb="FFCCFFFF"/>
        </patternFill>
      </fill>
    </dxf>
    <dxf>
      <fill>
        <patternFill patternType="solid">
          <f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CCFFFF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CCFF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CCFFFF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F6600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  <dxf>
      <fill>
        <patternFill>
          <bgColor rgb="FFEBF1D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FDEADA"/>
      <rgbColor rgb="FF008000"/>
      <rgbColor rgb="FFF1F5FB"/>
      <rgbColor rgb="FF808000"/>
      <rgbColor rgb="FF8D0A73"/>
      <rgbColor rgb="FF54A0C9"/>
      <rgbColor rgb="FFC0C0C0"/>
      <rgbColor rgb="FF828282"/>
      <rgbColor rgb="FF8BC0E0"/>
      <rgbColor rgb="FFFF5925"/>
      <rgbColor rgb="FFFFFDBF"/>
      <rgbColor rgb="FFCCFFFF"/>
      <rgbColor rgb="FFDBE5F2"/>
      <rgbColor rgb="FFFF988C"/>
      <rgbColor rgb="FF0076BC"/>
      <rgbColor rgb="FFC3D6EB"/>
      <rgbColor rgb="FFFFFB8C"/>
      <rgbColor rgb="FFFAC090"/>
      <rgbColor rgb="FFFFF843"/>
      <rgbColor rgb="FFA0E89A"/>
      <rgbColor rgb="FFDBE5F1"/>
      <rgbColor rgb="FFEBF1DE"/>
      <rgbColor rgb="FFD3DEE4"/>
      <rgbColor rgb="FFE9EFF7"/>
      <rgbColor rgb="FF00CCFF"/>
      <rgbColor rgb="FFE1ECF3"/>
      <rgbColor rgb="FFCCFFCC"/>
      <rgbColor rgb="FFFFFF99"/>
      <rgbColor rgb="FF9ACEFF"/>
      <rgbColor rgb="FFFF99CC"/>
      <rgbColor rgb="FFB5C5FA"/>
      <rgbColor rgb="FFFFCC99"/>
      <rgbColor rgb="FF345BFF"/>
      <rgbColor rgb="FF33CCCC"/>
      <rgbColor rgb="FF99CC00"/>
      <rgbColor rgb="FFFFCC00"/>
      <rgbColor rgb="FFFF9900"/>
      <rgbColor rgb="FFFF6600"/>
      <rgbColor rgb="FF666699"/>
      <rgbColor rgb="FFC4BD97"/>
      <rgbColor rgb="FF17375E"/>
      <rgbColor rgb="FF339966"/>
      <rgbColor rgb="FFC6F9C1"/>
      <rgbColor rgb="FFD1E2EC"/>
      <rgbColor rgb="FFC72D00"/>
      <rgbColor rgb="FFFF6758"/>
      <rgbColor rgb="FF1F497D"/>
      <rgbColor rgb="FFFFC7CE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0" name="Line 1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" name="Line 2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" name="Line 3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" name="Line 4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4" name="Line 5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5" name="Line 6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6" name="Line 7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7" name="Line 8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8" name="Line 9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9" name="Line 10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0" name="Line 11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1" name="Line 12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2" name="Line 13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3" name="Line 14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4" name="Line 15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5" name="Line 16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6" name="Line 17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7" name="Line 18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8" name="Line 19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9" name="Line 20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0" name="Line 21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1" name="Line 22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2" name="Line 23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3" name="Line 24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4" name="Line 25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5" name="Line 26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6" name="Line 27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7" name="Line 28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8" name="Line 29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9" name="Line 30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0" name="Line 31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1" name="Line 32"/>
        <xdr:cNvSpPr/>
      </xdr:nvSpPr>
      <xdr:spPr>
        <a:xfrm>
          <a:off x="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2" name="Line 33"/>
        <xdr:cNvSpPr/>
      </xdr:nvSpPr>
      <xdr:spPr>
        <a:xfrm>
          <a:off x="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3" name="Line 34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4" name="Line 35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5" name="Line 37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6" name="Line 38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7" name="Line 39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8" name="Line 41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9" name="Line 42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0" name="Line 44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1" name="Line 48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2" name="Line 49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len="med" type="diamond" w="med"/>
          <a:tailEnd len="med" type="diamond" w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3" name="Line 50"/>
        <xdr:cNvSpPr/>
      </xdr:nvSpPr>
      <xdr:spPr>
        <a:xfrm>
          <a:off x="7853760" y="220968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44" name="Line 71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45" name="Line 132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46" name="Line 133"/>
        <xdr:cNvSpPr/>
      </xdr:nvSpPr>
      <xdr:spPr>
        <a:xfrm>
          <a:off x="2451024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7" name="Line 34"/>
        <xdr:cNvSpPr/>
      </xdr:nvSpPr>
      <xdr:spPr>
        <a:xfrm>
          <a:off x="785376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8" name="Line 39"/>
        <xdr:cNvSpPr/>
      </xdr:nvSpPr>
      <xdr:spPr>
        <a:xfrm>
          <a:off x="785376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9" name="Line 44"/>
        <xdr:cNvSpPr/>
      </xdr:nvSpPr>
      <xdr:spPr>
        <a:xfrm>
          <a:off x="785376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50" name="Line 48"/>
        <xdr:cNvSpPr/>
      </xdr:nvSpPr>
      <xdr:spPr>
        <a:xfrm>
          <a:off x="785376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18</xdr:col>
      <xdr:colOff>57240</xdr:colOff>
      <xdr:row>355</xdr:row>
      <xdr:rowOff>0</xdr:rowOff>
    </xdr:from>
    <xdr:to>
      <xdr:col>53</xdr:col>
      <xdr:colOff>536040</xdr:colOff>
      <xdr:row>355</xdr:row>
      <xdr:rowOff>65160</xdr:rowOff>
    </xdr:to>
    <xdr:sp>
      <xdr:nvSpPr>
        <xdr:cNvPr id="51" name="Rectangle 305"/>
        <xdr:cNvSpPr/>
      </xdr:nvSpPr>
      <xdr:spPr>
        <a:xfrm>
          <a:off x="10216440" y="42329160"/>
          <a:ext cx="20570400" cy="651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rIns="0" tIns="18360" bIns="0" anchor="t" upright="1">
          <a:noAutofit/>
        </a:bodyPr>
        <a:p>
          <a:pPr>
            <a:lnSpc>
              <a:spcPts val="901"/>
            </a:lnSpc>
          </a:pPr>
          <a:r>
            <a:rPr b="0" lang="de-DE" sz="1000" spc="-1" strike="noStrike">
              <a:solidFill>
                <a:srgbClr val="000000"/>
              </a:solidFill>
              <a:latin typeface="Arial"/>
            </a:rPr>
            <a:t>PLEASE DO NOT PLAN NON-PRODUCTIVE EFFORT FOR ROLES OR OVERLOAD   !!!  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b="0" lang="en-US" sz="1000" spc="-1" strike="noStrike">
            <a:latin typeface="Times New Roman"/>
          </a:endParaRPr>
        </a:p>
      </xdr:txBody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2" name="Line 71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3" name="Line 132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4" name="Line 133"/>
        <xdr:cNvSpPr/>
      </xdr:nvSpPr>
      <xdr:spPr>
        <a:xfrm>
          <a:off x="2451024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5" name="Line 71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6" name="Line 132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7" name="Line 133"/>
        <xdr:cNvSpPr/>
      </xdr:nvSpPr>
      <xdr:spPr>
        <a:xfrm>
          <a:off x="2451024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8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9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0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1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2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3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4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5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6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0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1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2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3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4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5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2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3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4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5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6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7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7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8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9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20</xdr:col>
      <xdr:colOff>21600</xdr:colOff>
      <xdr:row>48</xdr:row>
      <xdr:rowOff>120960</xdr:rowOff>
    </xdr:from>
    <xdr:to>
      <xdr:col>20</xdr:col>
      <xdr:colOff>49680</xdr:colOff>
      <xdr:row>719</xdr:row>
      <xdr:rowOff>177480</xdr:rowOff>
    </xdr:to>
    <xdr:sp>
      <xdr:nvSpPr>
        <xdr:cNvPr id="100" name="Line 58"/>
        <xdr:cNvSpPr/>
      </xdr:nvSpPr>
      <xdr:spPr>
        <a:xfrm>
          <a:off x="11329200" y="3549960"/>
          <a:ext cx="28080" cy="50062680"/>
        </a:xfrm>
        <a:prstGeom prst="line">
          <a:avLst/>
        </a:prstGeom>
        <a:ln w="57150">
          <a:solidFill>
            <a:srgbClr val="ff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1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2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3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6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7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8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9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0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1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7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8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9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0" name="Line 34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1" name="Line 39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2" name="Line 44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3" name="Line 48"/>
        <xdr:cNvSpPr/>
      </xdr:nvSpPr>
      <xdr:spPr>
        <a:xfrm>
          <a:off x="7853760" y="249516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4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5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6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5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6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7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8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9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0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2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3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4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5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6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7" name="Line 132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2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3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4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5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6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7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8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9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0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1" name="Line 133"/>
        <xdr:cNvSpPr/>
      </xdr:nvSpPr>
      <xdr:spPr>
        <a:xfrm>
          <a:off x="107334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2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3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4" name="Line 133"/>
        <xdr:cNvSpPr/>
      </xdr:nvSpPr>
      <xdr:spPr>
        <a:xfrm>
          <a:off x="17622000" y="2304720"/>
          <a:ext cx="0" cy="0"/>
        </a:xfrm>
        <a:custGeom>
          <a:avLst/>
          <a:gdLst/>
          <a:ahLst/>
          <a:rect l="0" t="0" r="r" b="b"/>
          <a:pathLst>
            <a:path fill="none" w="0" h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404" descr="Sort Projec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Sort Projects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405" descr="Sort Member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Sort Members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411" descr="Sort Ran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Sort Rank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18"/>
  <sheetViews>
    <sheetView showFormulas="false" showGridLines="true" showRowColHeaders="true" showZeros="false" rightToLeft="false" tabSelected="true" showOutlineSymbols="true" defaultGridColor="true" view="normal" topLeftCell="G1" colorId="64" zoomScale="100" zoomScaleNormal="100" zoomScalePageLayoutView="100" workbookViewId="0">
      <selection pane="topLeft" activeCell="I28" activeCellId="0" sqref="I28"/>
    </sheetView>
  </sheetViews>
  <sheetFormatPr defaultColWidth="9.1484375" defaultRowHeight="12.7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15.57"/>
    <col collapsed="false" customWidth="true" hidden="false" outlineLevel="0" max="4" min="3" style="0" width="19.14"/>
    <col collapsed="false" customWidth="true" hidden="false" outlineLevel="0" max="5" min="5" style="0" width="38.86"/>
    <col collapsed="false" customWidth="true" hidden="true" outlineLevel="1" max="6" min="6" style="0" width="175.86"/>
    <col collapsed="false" customWidth="true" hidden="false" outlineLevel="0" max="7" min="7" style="0" width="3.86"/>
    <col collapsed="false" customWidth="true" hidden="false" outlineLevel="0" max="8" min="8" style="0" width="2.86"/>
    <col collapsed="false" customWidth="true" hidden="false" outlineLevel="1" max="9" min="9" style="0" width="52.86"/>
    <col collapsed="false" customWidth="true" hidden="false" outlineLevel="1" max="10" min="10" style="0" width="40.57"/>
    <col collapsed="false" customWidth="true" hidden="false" outlineLevel="1" max="11" min="11" style="0" width="35.85"/>
    <col collapsed="false" customWidth="true" hidden="false" outlineLevel="1" max="12" min="12" style="0" width="8"/>
    <col collapsed="false" customWidth="true" hidden="false" outlineLevel="1" max="13" min="13" style="0" width="6.43"/>
    <col collapsed="false" customWidth="true" hidden="false" outlineLevel="1" max="16" min="14" style="0" width="12.86"/>
    <col collapsed="false" customWidth="true" hidden="false" outlineLevel="0" max="17" min="17" style="0" width="3.86"/>
  </cols>
  <sheetData>
    <row r="1" customFormat="false" ht="12.75" hidden="false" customHeight="false" outlineLevel="0" collapsed="false">
      <c r="A1" s="1" t="s">
        <v>0</v>
      </c>
    </row>
    <row r="2" customFormat="false" ht="12.75" hidden="false" customHeight="true" outlineLevel="0" collapsed="false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4"/>
    </row>
    <row r="3" customFormat="false" ht="12.75" hidden="false" customHeight="true" outlineLevel="0" collapsed="false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</row>
    <row r="4" customFormat="false" ht="12.75" hidden="false" customHeight="true" outlineLevel="0" collapsed="false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</row>
    <row r="6" s="5" customFormat="true" ht="20.25" hidden="false" customHeight="true" outlineLevel="0" collapsed="false">
      <c r="B6" s="6" t="s">
        <v>4</v>
      </c>
      <c r="C6" s="6"/>
      <c r="D6" s="6"/>
      <c r="E6" s="6"/>
      <c r="F6" s="7"/>
      <c r="H6" s="8"/>
      <c r="I6" s="6" t="s">
        <v>5</v>
      </c>
      <c r="J6" s="6" t="s">
        <v>6</v>
      </c>
      <c r="K6" s="6"/>
      <c r="L6" s="6"/>
      <c r="M6" s="6"/>
      <c r="N6" s="6"/>
      <c r="O6" s="6"/>
      <c r="P6" s="6"/>
    </row>
    <row r="7" s="5" customFormat="true" ht="20.25" hidden="false" customHeight="false" outlineLevel="0" collapsed="false">
      <c r="B7" s="6"/>
      <c r="C7" s="6"/>
      <c r="D7" s="6"/>
      <c r="E7" s="6"/>
      <c r="F7" s="7"/>
      <c r="H7" s="8"/>
      <c r="I7" s="6" t="s">
        <v>7</v>
      </c>
      <c r="J7" s="6" t="s">
        <v>8</v>
      </c>
      <c r="K7" s="6"/>
      <c r="L7" s="6"/>
      <c r="M7" s="6"/>
      <c r="N7" s="6"/>
      <c r="O7" s="6"/>
      <c r="P7" s="6"/>
    </row>
    <row r="9" s="5" customFormat="true" ht="33.75" hidden="false" customHeight="false" outlineLevel="0" collapsed="false">
      <c r="B9" s="9" t="s">
        <v>9</v>
      </c>
      <c r="C9" s="9" t="s">
        <v>10</v>
      </c>
      <c r="D9" s="9" t="s">
        <v>11</v>
      </c>
      <c r="E9" s="9" t="s">
        <v>12</v>
      </c>
      <c r="F9" s="9"/>
      <c r="G9" s="10"/>
      <c r="H9" s="8"/>
      <c r="I9" s="9" t="s">
        <v>13</v>
      </c>
      <c r="J9" s="9" t="s">
        <v>14</v>
      </c>
      <c r="K9" s="9" t="s">
        <v>15</v>
      </c>
      <c r="L9" s="11" t="s">
        <v>16</v>
      </c>
      <c r="M9" s="11" t="s">
        <v>17</v>
      </c>
      <c r="N9" s="11" t="s">
        <v>18</v>
      </c>
      <c r="O9" s="11" t="s">
        <v>19</v>
      </c>
      <c r="P9" s="12" t="s">
        <v>20</v>
      </c>
      <c r="Q9" s="10"/>
    </row>
    <row r="10" s="13" customFormat="true" ht="12.75" hidden="false" customHeight="false" outlineLevel="0" collapsed="false">
      <c r="B10" s="14" t="s">
        <v>21</v>
      </c>
      <c r="C10" s="14" t="s">
        <v>22</v>
      </c>
      <c r="D10" s="15" t="s">
        <v>23</v>
      </c>
      <c r="E10" s="14" t="s">
        <v>24</v>
      </c>
      <c r="F10" s="14"/>
      <c r="G10" s="16" t="s">
        <v>25</v>
      </c>
      <c r="H10" s="8"/>
      <c r="I10" s="17" t="s">
        <v>26</v>
      </c>
      <c r="J10" s="17" t="s">
        <v>27</v>
      </c>
      <c r="K10" s="17" t="s">
        <v>28</v>
      </c>
      <c r="L10" s="18" t="n">
        <v>32</v>
      </c>
      <c r="M10" s="19" t="n">
        <v>1</v>
      </c>
      <c r="N10" s="20" t="n">
        <v>44652</v>
      </c>
      <c r="O10" s="20" t="n">
        <v>45291</v>
      </c>
      <c r="P10" s="21" t="s">
        <v>29</v>
      </c>
      <c r="Q10" s="16"/>
    </row>
    <row r="11" s="13" customFormat="true" ht="12.75" hidden="false" customHeight="false" outlineLevel="0" collapsed="false">
      <c r="B11" s="14" t="s">
        <v>30</v>
      </c>
      <c r="C11" s="14" t="s">
        <v>31</v>
      </c>
      <c r="D11" s="15" t="s">
        <v>32</v>
      </c>
      <c r="E11" s="14" t="s">
        <v>33</v>
      </c>
      <c r="F11" s="14"/>
      <c r="G11" s="16" t="s">
        <v>25</v>
      </c>
      <c r="H11" s="8"/>
      <c r="I11" s="17" t="s">
        <v>34</v>
      </c>
      <c r="J11" s="17" t="s">
        <v>35</v>
      </c>
      <c r="K11" s="17"/>
      <c r="L11" s="18" t="n">
        <v>31.6</v>
      </c>
      <c r="M11" s="19" t="n">
        <v>1</v>
      </c>
      <c r="N11" s="20" t="n">
        <v>1</v>
      </c>
      <c r="O11" s="20" t="n">
        <v>73050</v>
      </c>
      <c r="P11" s="21" t="s">
        <v>29</v>
      </c>
      <c r="Q11" s="16"/>
    </row>
    <row r="12" s="13" customFormat="true" ht="12.75" hidden="false" customHeight="false" outlineLevel="0" collapsed="false">
      <c r="B12" s="14" t="s">
        <v>36</v>
      </c>
      <c r="C12" s="14" t="s">
        <v>37</v>
      </c>
      <c r="D12" s="15" t="s">
        <v>38</v>
      </c>
      <c r="E12" s="14" t="s">
        <v>39</v>
      </c>
      <c r="F12" s="14"/>
      <c r="G12" s="16" t="s">
        <v>25</v>
      </c>
      <c r="H12" s="8"/>
      <c r="I12" s="17" t="s">
        <v>40</v>
      </c>
      <c r="J12" s="17" t="s">
        <v>27</v>
      </c>
      <c r="K12" s="17" t="s">
        <v>28</v>
      </c>
      <c r="L12" s="18" t="n">
        <v>40</v>
      </c>
      <c r="M12" s="19" t="n">
        <v>1</v>
      </c>
      <c r="N12" s="20" t="n">
        <v>1</v>
      </c>
      <c r="O12" s="20" t="n">
        <v>73050</v>
      </c>
      <c r="P12" s="21" t="s">
        <v>29</v>
      </c>
      <c r="Q12" s="16"/>
    </row>
    <row r="13" s="13" customFormat="true" ht="12.75" hidden="false" customHeight="false" outlineLevel="0" collapsed="false">
      <c r="B13" s="14"/>
      <c r="C13" s="14" t="s">
        <v>41</v>
      </c>
      <c r="D13" s="15" t="s">
        <v>42</v>
      </c>
      <c r="E13" s="14" t="s">
        <v>43</v>
      </c>
      <c r="F13" s="14"/>
      <c r="G13" s="16" t="s">
        <v>25</v>
      </c>
      <c r="H13" s="8"/>
      <c r="I13" s="17" t="s">
        <v>44</v>
      </c>
      <c r="J13" s="17" t="s">
        <v>45</v>
      </c>
      <c r="K13" s="17" t="s">
        <v>28</v>
      </c>
      <c r="L13" s="18" t="n">
        <v>40</v>
      </c>
      <c r="M13" s="19" t="n">
        <v>1</v>
      </c>
      <c r="N13" s="20" t="n">
        <v>1</v>
      </c>
      <c r="O13" s="20" t="n">
        <v>73050</v>
      </c>
      <c r="P13" s="21" t="s">
        <v>29</v>
      </c>
      <c r="Q13" s="16"/>
    </row>
    <row r="14" s="13" customFormat="true" ht="12.75" hidden="false" customHeight="false" outlineLevel="0" collapsed="false">
      <c r="B14" s="14"/>
      <c r="C14" s="14" t="s">
        <v>46</v>
      </c>
      <c r="D14" s="15" t="s">
        <v>47</v>
      </c>
      <c r="E14" s="14" t="s">
        <v>48</v>
      </c>
      <c r="F14" s="14"/>
      <c r="G14" s="16" t="s">
        <v>25</v>
      </c>
      <c r="H14" s="8"/>
      <c r="I14" s="17" t="s">
        <v>49</v>
      </c>
      <c r="J14" s="17" t="s">
        <v>50</v>
      </c>
      <c r="K14" s="17" t="s">
        <v>28</v>
      </c>
      <c r="L14" s="18" t="n">
        <v>40</v>
      </c>
      <c r="M14" s="19" t="n">
        <v>1</v>
      </c>
      <c r="N14" s="20" t="n">
        <v>43752</v>
      </c>
      <c r="O14" s="20" t="n">
        <v>73050</v>
      </c>
      <c r="P14" s="21" t="s">
        <v>29</v>
      </c>
      <c r="Q14" s="16"/>
    </row>
    <row r="15" s="13" customFormat="true" ht="12.75" hidden="false" customHeight="false" outlineLevel="0" collapsed="false">
      <c r="B15" s="14"/>
      <c r="C15" s="14" t="s">
        <v>51</v>
      </c>
      <c r="D15" s="15" t="s">
        <v>52</v>
      </c>
      <c r="E15" s="14" t="s">
        <v>53</v>
      </c>
      <c r="F15" s="14"/>
      <c r="G15" s="16" t="s">
        <v>25</v>
      </c>
      <c r="H15" s="8"/>
      <c r="I15" s="17" t="s">
        <v>54</v>
      </c>
      <c r="J15" s="17" t="s">
        <v>35</v>
      </c>
      <c r="K15" s="17" t="s">
        <v>55</v>
      </c>
      <c r="L15" s="18" t="n">
        <v>40</v>
      </c>
      <c r="M15" s="19" t="n">
        <v>1</v>
      </c>
      <c r="N15" s="20" t="n">
        <v>1</v>
      </c>
      <c r="O15" s="20" t="n">
        <v>73050</v>
      </c>
      <c r="P15" s="21" t="s">
        <v>29</v>
      </c>
      <c r="Q15" s="16"/>
    </row>
    <row r="16" s="13" customFormat="true" ht="12.75" hidden="false" customHeight="false" outlineLevel="0" collapsed="false">
      <c r="B16" s="14"/>
      <c r="C16" s="14"/>
      <c r="E16" s="14" t="s">
        <v>56</v>
      </c>
      <c r="F16" s="14"/>
      <c r="G16" s="16" t="s">
        <v>25</v>
      </c>
      <c r="H16" s="8"/>
      <c r="I16" s="17" t="s">
        <v>57</v>
      </c>
      <c r="J16" s="17" t="s">
        <v>45</v>
      </c>
      <c r="K16" s="17" t="s">
        <v>58</v>
      </c>
      <c r="L16" s="18" t="n">
        <v>20</v>
      </c>
      <c r="M16" s="19" t="n">
        <v>1</v>
      </c>
      <c r="N16" s="20" t="n">
        <v>1</v>
      </c>
      <c r="O16" s="20" t="n">
        <v>73050</v>
      </c>
      <c r="P16" s="21" t="s">
        <v>29</v>
      </c>
      <c r="Q16" s="16"/>
    </row>
    <row r="17" s="13" customFormat="true" ht="12.75" hidden="false" customHeight="false" outlineLevel="0" collapsed="false">
      <c r="B17" s="14"/>
      <c r="C17" s="14" t="s">
        <v>59</v>
      </c>
      <c r="E17" s="14" t="s">
        <v>60</v>
      </c>
      <c r="F17" s="14"/>
      <c r="G17" s="16" t="s">
        <v>25</v>
      </c>
      <c r="H17" s="8"/>
      <c r="I17" s="17" t="s">
        <v>61</v>
      </c>
      <c r="J17" s="17" t="s">
        <v>45</v>
      </c>
      <c r="K17" s="17" t="s">
        <v>62</v>
      </c>
      <c r="L17" s="18" t="n">
        <v>40</v>
      </c>
      <c r="M17" s="19" t="n">
        <v>1</v>
      </c>
      <c r="N17" s="20" t="n">
        <v>1</v>
      </c>
      <c r="O17" s="20" t="n">
        <v>73050</v>
      </c>
      <c r="P17" s="21" t="s">
        <v>29</v>
      </c>
      <c r="Q17" s="16"/>
    </row>
    <row r="18" s="13" customFormat="true" ht="12.75" hidden="false" customHeight="false" outlineLevel="0" collapsed="false">
      <c r="B18" s="14"/>
      <c r="C18" s="14" t="s">
        <v>36</v>
      </c>
      <c r="E18" s="14" t="s">
        <v>63</v>
      </c>
      <c r="F18" s="14"/>
      <c r="G18" s="16" t="s">
        <v>25</v>
      </c>
      <c r="H18" s="8"/>
      <c r="I18" s="17" t="s">
        <v>64</v>
      </c>
      <c r="J18" s="17" t="s">
        <v>65</v>
      </c>
      <c r="K18" s="17" t="s">
        <v>28</v>
      </c>
      <c r="L18" s="18" t="n">
        <v>40</v>
      </c>
      <c r="M18" s="19" t="n">
        <v>1</v>
      </c>
      <c r="N18" s="20" t="n">
        <v>1</v>
      </c>
      <c r="O18" s="20" t="n">
        <v>73050</v>
      </c>
      <c r="P18" s="21" t="s">
        <v>29</v>
      </c>
      <c r="Q18" s="16"/>
    </row>
    <row r="19" s="13" customFormat="true" ht="12.75" hidden="false" customHeight="false" outlineLevel="0" collapsed="false">
      <c r="E19" s="14" t="s">
        <v>66</v>
      </c>
      <c r="F19" s="14"/>
      <c r="G19" s="16" t="s">
        <v>25</v>
      </c>
      <c r="H19" s="8"/>
      <c r="I19" s="17" t="s">
        <v>67</v>
      </c>
      <c r="J19" s="17" t="s">
        <v>68</v>
      </c>
      <c r="K19" s="17" t="s">
        <v>69</v>
      </c>
      <c r="L19" s="18" t="n">
        <v>40</v>
      </c>
      <c r="M19" s="19" t="n">
        <v>1</v>
      </c>
      <c r="N19" s="20" t="n">
        <v>43384</v>
      </c>
      <c r="O19" s="20" t="n">
        <v>73050</v>
      </c>
      <c r="P19" s="21" t="s">
        <v>29</v>
      </c>
      <c r="Q19" s="16"/>
    </row>
    <row r="20" s="13" customFormat="true" ht="12.75" hidden="false" customHeight="false" outlineLevel="0" collapsed="false">
      <c r="E20" s="14" t="s">
        <v>70</v>
      </c>
      <c r="F20" s="14"/>
      <c r="G20" s="16" t="s">
        <v>25</v>
      </c>
      <c r="H20" s="8"/>
      <c r="I20" s="17" t="s">
        <v>71</v>
      </c>
      <c r="J20" s="17" t="s">
        <v>65</v>
      </c>
      <c r="K20" s="17" t="s">
        <v>28</v>
      </c>
      <c r="L20" s="18" t="n">
        <v>40</v>
      </c>
      <c r="M20" s="19" t="n">
        <v>1</v>
      </c>
      <c r="N20" s="20" t="n">
        <v>1</v>
      </c>
      <c r="O20" s="20" t="n">
        <v>73050</v>
      </c>
      <c r="P20" s="21" t="s">
        <v>29</v>
      </c>
      <c r="Q20" s="16"/>
    </row>
    <row r="21" s="13" customFormat="true" ht="12.75" hidden="false" customHeight="false" outlineLevel="0" collapsed="false">
      <c r="E21" s="14" t="s">
        <v>72</v>
      </c>
      <c r="F21" s="14"/>
      <c r="G21" s="16" t="s">
        <v>25</v>
      </c>
      <c r="H21" s="8"/>
      <c r="I21" s="17" t="s">
        <v>73</v>
      </c>
      <c r="J21" s="17" t="s">
        <v>27</v>
      </c>
      <c r="K21" s="17" t="s">
        <v>28</v>
      </c>
      <c r="L21" s="18" t="n">
        <v>40</v>
      </c>
      <c r="M21" s="19" t="n">
        <v>1</v>
      </c>
      <c r="N21" s="20" t="n">
        <v>44711</v>
      </c>
      <c r="O21" s="20" t="n">
        <v>73050</v>
      </c>
      <c r="P21" s="21" t="s">
        <v>29</v>
      </c>
      <c r="Q21" s="16"/>
    </row>
    <row r="22" s="13" customFormat="true" ht="12.75" hidden="false" customHeight="false" outlineLevel="0" collapsed="false">
      <c r="B22" s="22" t="s">
        <v>74</v>
      </c>
      <c r="E22" s="14" t="s">
        <v>75</v>
      </c>
      <c r="F22" s="14"/>
      <c r="G22" s="16" t="s">
        <v>25</v>
      </c>
      <c r="H22" s="8"/>
      <c r="I22" s="17" t="s">
        <v>76</v>
      </c>
      <c r="J22" s="17" t="s">
        <v>65</v>
      </c>
      <c r="K22" s="17" t="s">
        <v>55</v>
      </c>
      <c r="L22" s="18" t="n">
        <v>40</v>
      </c>
      <c r="M22" s="19" t="n">
        <v>1</v>
      </c>
      <c r="N22" s="20" t="n">
        <v>44501</v>
      </c>
      <c r="O22" s="20" t="n">
        <v>73050</v>
      </c>
      <c r="P22" s="21" t="s">
        <v>29</v>
      </c>
      <c r="Q22" s="16"/>
    </row>
    <row r="23" s="13" customFormat="true" ht="12.75" hidden="false" customHeight="false" outlineLevel="0" collapsed="false">
      <c r="B23" s="23" t="s">
        <v>77</v>
      </c>
      <c r="E23" s="14" t="s">
        <v>78</v>
      </c>
      <c r="F23" s="14"/>
      <c r="G23" s="16" t="s">
        <v>25</v>
      </c>
      <c r="H23" s="8"/>
      <c r="I23" s="17" t="s">
        <v>79</v>
      </c>
      <c r="J23" s="17" t="s">
        <v>65</v>
      </c>
      <c r="K23" s="17" t="s">
        <v>28</v>
      </c>
      <c r="L23" s="18" t="n">
        <v>40</v>
      </c>
      <c r="M23" s="19" t="n">
        <v>1</v>
      </c>
      <c r="N23" s="20" t="n">
        <v>44531</v>
      </c>
      <c r="O23" s="20" t="n">
        <v>73050</v>
      </c>
      <c r="P23" s="21" t="s">
        <v>29</v>
      </c>
      <c r="Q23" s="16"/>
    </row>
    <row r="24" s="13" customFormat="true" ht="12.75" hidden="false" customHeight="false" outlineLevel="0" collapsed="false">
      <c r="B24" s="24" t="n">
        <v>0.8</v>
      </c>
      <c r="E24" s="14" t="s">
        <v>80</v>
      </c>
      <c r="F24" s="14"/>
      <c r="G24" s="16" t="s">
        <v>25</v>
      </c>
      <c r="H24" s="8"/>
      <c r="I24" s="17" t="s">
        <v>81</v>
      </c>
      <c r="J24" s="17" t="s">
        <v>65</v>
      </c>
      <c r="K24" s="17" t="s">
        <v>28</v>
      </c>
      <c r="L24" s="18" t="n">
        <v>20</v>
      </c>
      <c r="M24" s="19" t="n">
        <v>1</v>
      </c>
      <c r="N24" s="20" t="n">
        <v>1</v>
      </c>
      <c r="O24" s="20" t="n">
        <v>73050</v>
      </c>
      <c r="P24" s="21" t="s">
        <v>82</v>
      </c>
      <c r="Q24" s="16"/>
    </row>
    <row r="25" s="13" customFormat="true" ht="12.75" hidden="false" customHeight="false" outlineLevel="0" collapsed="false">
      <c r="E25" s="14" t="s">
        <v>83</v>
      </c>
      <c r="F25" s="14"/>
      <c r="G25" s="16" t="s">
        <v>25</v>
      </c>
      <c r="H25" s="8"/>
      <c r="I25" s="17" t="s">
        <v>84</v>
      </c>
      <c r="J25" s="17" t="s">
        <v>85</v>
      </c>
      <c r="K25" s="17" t="s">
        <v>69</v>
      </c>
      <c r="L25" s="18" t="n">
        <v>40</v>
      </c>
      <c r="M25" s="19" t="n">
        <v>1</v>
      </c>
      <c r="N25" s="20" t="n">
        <v>1</v>
      </c>
      <c r="O25" s="20" t="n">
        <v>73050</v>
      </c>
      <c r="P25" s="21" t="s">
        <v>29</v>
      </c>
      <c r="Q25" s="16"/>
    </row>
    <row r="26" s="13" customFormat="true" ht="12.75" hidden="false" customHeight="false" outlineLevel="0" collapsed="false">
      <c r="B26" s="22" t="s">
        <v>86</v>
      </c>
      <c r="E26" s="14" t="s">
        <v>87</v>
      </c>
      <c r="F26" s="14"/>
      <c r="G26" s="16" t="s">
        <v>25</v>
      </c>
      <c r="H26" s="8"/>
      <c r="I26" s="17" t="s">
        <v>88</v>
      </c>
      <c r="J26" s="17" t="s">
        <v>65</v>
      </c>
      <c r="K26" s="17" t="s">
        <v>72</v>
      </c>
      <c r="L26" s="18" t="n">
        <v>32</v>
      </c>
      <c r="M26" s="19" t="n">
        <v>1</v>
      </c>
      <c r="N26" s="20" t="n">
        <v>44866</v>
      </c>
      <c r="O26" s="20" t="n">
        <v>73050</v>
      </c>
      <c r="P26" s="21" t="s">
        <v>29</v>
      </c>
      <c r="Q26" s="16"/>
    </row>
    <row r="27" s="13" customFormat="true" ht="12.75" hidden="false" customHeight="false" outlineLevel="0" collapsed="false">
      <c r="B27" s="25" t="s">
        <v>74</v>
      </c>
      <c r="E27" s="14" t="s">
        <v>89</v>
      </c>
      <c r="F27" s="14"/>
      <c r="G27" s="16" t="s">
        <v>25</v>
      </c>
      <c r="H27" s="8"/>
      <c r="I27" s="17"/>
      <c r="J27" s="17"/>
      <c r="K27" s="17"/>
      <c r="L27" s="18"/>
      <c r="M27" s="19"/>
      <c r="N27" s="20"/>
      <c r="O27" s="20"/>
      <c r="P27" s="21"/>
      <c r="Q27" s="16"/>
    </row>
    <row r="28" s="13" customFormat="true" ht="12.75" hidden="false" customHeight="false" outlineLevel="0" collapsed="false">
      <c r="B28" s="23" t="s">
        <v>77</v>
      </c>
      <c r="E28" s="14" t="s">
        <v>90</v>
      </c>
      <c r="F28" s="14"/>
      <c r="G28" s="16" t="s">
        <v>25</v>
      </c>
      <c r="H28" s="8"/>
      <c r="I28" s="17"/>
      <c r="J28" s="17"/>
      <c r="K28" s="17"/>
      <c r="L28" s="18"/>
      <c r="M28" s="19"/>
      <c r="N28" s="20"/>
      <c r="O28" s="20"/>
      <c r="P28" s="21"/>
      <c r="Q28" s="16"/>
    </row>
    <row r="29" s="13" customFormat="true" ht="12.75" hidden="false" customHeight="false" outlineLevel="0" collapsed="false">
      <c r="B29" s="26" t="n">
        <v>0.95</v>
      </c>
      <c r="E29" s="14" t="s">
        <v>91</v>
      </c>
      <c r="F29" s="14"/>
      <c r="G29" s="16" t="s">
        <v>25</v>
      </c>
      <c r="H29" s="8"/>
      <c r="I29" s="17"/>
      <c r="J29" s="17"/>
      <c r="K29" s="17"/>
      <c r="L29" s="18"/>
      <c r="M29" s="19"/>
      <c r="N29" s="20"/>
      <c r="O29" s="20"/>
      <c r="P29" s="21"/>
      <c r="Q29" s="16"/>
    </row>
    <row r="30" s="13" customFormat="true" ht="12.75" hidden="false" customHeight="false" outlineLevel="0" collapsed="false">
      <c r="B30" s="27"/>
      <c r="C30" s="27"/>
      <c r="D30" s="27"/>
      <c r="E30" s="14"/>
      <c r="F30" s="14"/>
      <c r="G30" s="16" t="s">
        <v>25</v>
      </c>
      <c r="H30" s="8"/>
      <c r="I30" s="17"/>
      <c r="J30" s="17"/>
      <c r="K30" s="17"/>
      <c r="L30" s="18"/>
      <c r="M30" s="19"/>
      <c r="N30" s="20"/>
      <c r="O30" s="20"/>
      <c r="P30" s="21"/>
      <c r="Q30" s="16"/>
    </row>
    <row r="31" s="13" customFormat="true" ht="12.75" hidden="false" customHeight="false" outlineLevel="0" collapsed="false">
      <c r="B31" s="28" t="s">
        <v>92</v>
      </c>
      <c r="D31" s="27"/>
      <c r="E31" s="14"/>
      <c r="F31" s="14"/>
      <c r="G31" s="16" t="s">
        <v>25</v>
      </c>
      <c r="H31" s="8"/>
      <c r="I31" s="17"/>
      <c r="J31" s="17"/>
      <c r="K31" s="17"/>
      <c r="L31" s="18"/>
      <c r="M31" s="19"/>
      <c r="N31" s="20"/>
      <c r="O31" s="20"/>
      <c r="P31" s="21"/>
      <c r="Q31" s="16"/>
    </row>
    <row r="32" s="13" customFormat="true" ht="12.75" hidden="false" customHeight="false" outlineLevel="0" collapsed="false">
      <c r="B32" s="29" t="s">
        <v>93</v>
      </c>
      <c r="C32" s="29"/>
      <c r="D32" s="27"/>
      <c r="E32" s="14"/>
      <c r="F32" s="14"/>
      <c r="G32" s="16" t="s">
        <v>25</v>
      </c>
      <c r="H32" s="8"/>
      <c r="I32" s="17"/>
      <c r="J32" s="17"/>
      <c r="K32" s="17"/>
      <c r="L32" s="18"/>
      <c r="M32" s="19"/>
      <c r="N32" s="20"/>
      <c r="O32" s="20"/>
      <c r="P32" s="21"/>
      <c r="Q32" s="16"/>
    </row>
    <row r="33" s="13" customFormat="true" ht="12.75" hidden="false" customHeight="false" outlineLevel="0" collapsed="false">
      <c r="B33" s="29" t="s">
        <v>94</v>
      </c>
      <c r="C33" s="29"/>
      <c r="D33" s="27"/>
      <c r="E33" s="14"/>
      <c r="F33" s="14"/>
      <c r="G33" s="16"/>
      <c r="H33" s="8"/>
      <c r="I33" s="17"/>
      <c r="J33" s="17"/>
      <c r="K33" s="17"/>
      <c r="L33" s="18"/>
      <c r="M33" s="19"/>
      <c r="N33" s="20"/>
      <c r="O33" s="20"/>
      <c r="P33" s="21"/>
      <c r="Q33" s="16"/>
    </row>
    <row r="34" s="13" customFormat="true" ht="12.75" hidden="false" customHeight="false" outlineLevel="0" collapsed="false">
      <c r="B34" s="29" t="s">
        <v>65</v>
      </c>
      <c r="C34" s="29"/>
      <c r="D34" s="27"/>
      <c r="E34" s="14"/>
      <c r="F34" s="14"/>
      <c r="G34" s="16"/>
      <c r="H34" s="8"/>
      <c r="I34" s="17"/>
      <c r="J34" s="17"/>
      <c r="K34" s="17"/>
      <c r="L34" s="18"/>
      <c r="M34" s="19"/>
      <c r="N34" s="20"/>
      <c r="O34" s="20"/>
      <c r="P34" s="21"/>
      <c r="Q34" s="16"/>
    </row>
    <row r="35" s="13" customFormat="true" ht="12.75" hidden="false" customHeight="false" outlineLevel="0" collapsed="false">
      <c r="B35" s="29" t="s">
        <v>95</v>
      </c>
      <c r="C35" s="29"/>
      <c r="D35" s="27"/>
      <c r="E35" s="14"/>
      <c r="F35" s="14"/>
      <c r="G35" s="16"/>
      <c r="H35" s="8"/>
      <c r="I35" s="17"/>
      <c r="J35" s="17"/>
      <c r="K35" s="17"/>
      <c r="L35" s="18"/>
      <c r="M35" s="19"/>
      <c r="N35" s="20"/>
      <c r="O35" s="20"/>
      <c r="P35" s="21"/>
      <c r="Q35" s="16"/>
    </row>
    <row r="36" s="13" customFormat="true" ht="12.75" hidden="false" customHeight="false" outlineLevel="0" collapsed="false">
      <c r="B36" s="29" t="s">
        <v>96</v>
      </c>
      <c r="C36" s="29"/>
      <c r="D36" s="27"/>
      <c r="E36" s="14"/>
      <c r="F36" s="14"/>
      <c r="G36" s="16"/>
      <c r="H36" s="8"/>
      <c r="I36" s="17"/>
      <c r="J36" s="17"/>
      <c r="K36" s="17"/>
      <c r="L36" s="18"/>
      <c r="M36" s="19"/>
      <c r="N36" s="20"/>
      <c r="O36" s="20"/>
      <c r="P36" s="21"/>
      <c r="Q36" s="16"/>
    </row>
    <row r="37" s="13" customFormat="true" ht="12.75" hidden="false" customHeight="false" outlineLevel="0" collapsed="false">
      <c r="B37" s="29" t="s">
        <v>45</v>
      </c>
      <c r="C37" s="29"/>
      <c r="D37" s="27"/>
      <c r="E37" s="14"/>
      <c r="F37" s="14"/>
      <c r="G37" s="16"/>
      <c r="H37" s="8"/>
      <c r="I37" s="17"/>
      <c r="J37" s="17"/>
      <c r="K37" s="17"/>
      <c r="L37" s="18"/>
      <c r="M37" s="19"/>
      <c r="N37" s="20"/>
      <c r="O37" s="20"/>
      <c r="P37" s="21"/>
      <c r="Q37" s="16"/>
    </row>
    <row r="38" s="13" customFormat="true" ht="12.75" hidden="false" customHeight="false" outlineLevel="0" collapsed="false">
      <c r="B38" s="29" t="s">
        <v>68</v>
      </c>
      <c r="C38" s="29"/>
      <c r="D38" s="27"/>
      <c r="E38" s="14"/>
      <c r="F38" s="14"/>
      <c r="G38" s="16"/>
      <c r="H38" s="8"/>
      <c r="I38" s="17"/>
      <c r="J38" s="17"/>
      <c r="K38" s="17"/>
      <c r="L38" s="18"/>
      <c r="M38" s="19"/>
      <c r="N38" s="20"/>
      <c r="O38" s="20"/>
      <c r="P38" s="21"/>
      <c r="Q38" s="16"/>
    </row>
    <row r="39" s="13" customFormat="true" ht="12.75" hidden="false" customHeight="false" outlineLevel="0" collapsed="false">
      <c r="B39" s="29" t="s">
        <v>97</v>
      </c>
      <c r="C39" s="29"/>
      <c r="D39" s="27"/>
      <c r="E39" s="14"/>
      <c r="F39" s="14"/>
      <c r="G39" s="16"/>
      <c r="H39" s="8"/>
      <c r="I39" s="17"/>
      <c r="J39" s="17"/>
      <c r="K39" s="17"/>
      <c r="L39" s="18"/>
      <c r="M39" s="19"/>
      <c r="N39" s="20"/>
      <c r="O39" s="20"/>
      <c r="P39" s="21"/>
      <c r="Q39" s="16"/>
    </row>
    <row r="40" s="13" customFormat="true" ht="12.75" hidden="false" customHeight="false" outlineLevel="0" collapsed="false">
      <c r="B40" s="29" t="s">
        <v>50</v>
      </c>
      <c r="C40" s="29"/>
      <c r="D40" s="27"/>
      <c r="E40" s="14"/>
      <c r="F40" s="14"/>
      <c r="G40" s="16"/>
      <c r="H40" s="8"/>
      <c r="I40" s="17"/>
      <c r="J40" s="17"/>
      <c r="K40" s="17"/>
      <c r="L40" s="18"/>
      <c r="M40" s="19"/>
      <c r="N40" s="20"/>
      <c r="O40" s="20"/>
      <c r="P40" s="21"/>
      <c r="Q40" s="16"/>
    </row>
    <row r="41" s="13" customFormat="true" ht="12.75" hidden="false" customHeight="false" outlineLevel="0" collapsed="false">
      <c r="B41" s="29" t="s">
        <v>98</v>
      </c>
      <c r="C41" s="29"/>
      <c r="D41" s="27"/>
      <c r="E41" s="14"/>
      <c r="F41" s="14"/>
      <c r="G41" s="16"/>
      <c r="H41" s="8"/>
      <c r="I41" s="17"/>
      <c r="J41" s="17"/>
      <c r="K41" s="17"/>
      <c r="L41" s="18"/>
      <c r="M41" s="19"/>
      <c r="N41" s="20"/>
      <c r="O41" s="20"/>
      <c r="P41" s="21"/>
      <c r="Q41" s="16"/>
    </row>
    <row r="42" s="13" customFormat="true" ht="12.75" hidden="false" customHeight="false" outlineLevel="0" collapsed="false">
      <c r="B42" s="29" t="s">
        <v>85</v>
      </c>
      <c r="C42" s="29"/>
      <c r="D42" s="27"/>
      <c r="E42" s="14"/>
      <c r="F42" s="14"/>
      <c r="G42" s="16"/>
      <c r="H42" s="8"/>
      <c r="I42" s="17"/>
      <c r="J42" s="17"/>
      <c r="K42" s="17"/>
      <c r="L42" s="18"/>
      <c r="M42" s="19"/>
      <c r="N42" s="20"/>
      <c r="O42" s="20"/>
      <c r="P42" s="21"/>
      <c r="Q42" s="16"/>
    </row>
    <row r="43" s="13" customFormat="true" ht="12.75" hidden="false" customHeight="false" outlineLevel="0" collapsed="false">
      <c r="B43" s="29" t="s">
        <v>99</v>
      </c>
      <c r="C43" s="29"/>
      <c r="D43" s="27"/>
      <c r="E43" s="14"/>
      <c r="F43" s="14"/>
      <c r="G43" s="16"/>
      <c r="H43" s="8"/>
      <c r="I43" s="17"/>
      <c r="J43" s="17"/>
      <c r="K43" s="17"/>
      <c r="L43" s="18"/>
      <c r="M43" s="19"/>
      <c r="N43" s="20"/>
      <c r="O43" s="20"/>
      <c r="P43" s="21"/>
      <c r="Q43" s="16"/>
    </row>
    <row r="44" s="13" customFormat="true" ht="12.75" hidden="false" customHeight="false" outlineLevel="0" collapsed="false">
      <c r="B44" s="29" t="s">
        <v>100</v>
      </c>
      <c r="C44" s="29"/>
      <c r="D44" s="27"/>
      <c r="E44" s="14"/>
      <c r="F44" s="14"/>
      <c r="G44" s="16"/>
      <c r="H44" s="8"/>
      <c r="I44" s="17"/>
      <c r="J44" s="17"/>
      <c r="K44" s="17"/>
      <c r="L44" s="18"/>
      <c r="M44" s="19"/>
      <c r="N44" s="20"/>
      <c r="O44" s="20"/>
      <c r="P44" s="21"/>
      <c r="Q44" s="16"/>
    </row>
    <row r="45" s="13" customFormat="true" ht="12.75" hidden="false" customHeight="false" outlineLevel="0" collapsed="false">
      <c r="B45" s="29" t="s">
        <v>101</v>
      </c>
      <c r="C45" s="29"/>
      <c r="D45" s="27"/>
      <c r="E45" s="14"/>
      <c r="F45" s="14"/>
      <c r="G45" s="16"/>
      <c r="H45" s="8"/>
      <c r="I45" s="17"/>
      <c r="J45" s="17"/>
      <c r="K45" s="17"/>
      <c r="L45" s="18"/>
      <c r="M45" s="19"/>
      <c r="N45" s="20"/>
      <c r="O45" s="20"/>
      <c r="P45" s="21"/>
      <c r="Q45" s="16"/>
    </row>
    <row r="46" s="13" customFormat="true" ht="12.75" hidden="false" customHeight="false" outlineLevel="0" collapsed="false">
      <c r="B46" s="29" t="s">
        <v>102</v>
      </c>
      <c r="C46" s="29"/>
      <c r="D46" s="27"/>
      <c r="E46" s="14"/>
      <c r="F46" s="14"/>
      <c r="G46" s="16"/>
      <c r="H46" s="8"/>
      <c r="I46" s="17"/>
      <c r="J46" s="17"/>
      <c r="K46" s="17"/>
      <c r="L46" s="18"/>
      <c r="M46" s="19"/>
      <c r="N46" s="20"/>
      <c r="O46" s="20"/>
      <c r="P46" s="21"/>
      <c r="Q46" s="16"/>
    </row>
    <row r="47" s="13" customFormat="true" ht="12.75" hidden="false" customHeight="false" outlineLevel="0" collapsed="false">
      <c r="B47" s="29" t="s">
        <v>103</v>
      </c>
      <c r="C47" s="29"/>
      <c r="D47" s="27"/>
      <c r="E47" s="14"/>
      <c r="F47" s="14"/>
      <c r="G47" s="16"/>
      <c r="H47" s="8"/>
      <c r="I47" s="17"/>
      <c r="J47" s="17"/>
      <c r="K47" s="17"/>
      <c r="L47" s="18"/>
      <c r="M47" s="19"/>
      <c r="N47" s="20"/>
      <c r="O47" s="20"/>
      <c r="P47" s="21"/>
      <c r="Q47" s="16"/>
    </row>
    <row r="48" s="13" customFormat="true" ht="12.75" hidden="false" customHeight="false" outlineLevel="0" collapsed="false">
      <c r="B48" s="29" t="s">
        <v>104</v>
      </c>
      <c r="C48" s="29"/>
      <c r="D48" s="27"/>
      <c r="E48" s="14"/>
      <c r="F48" s="14"/>
      <c r="G48" s="16"/>
      <c r="H48" s="8"/>
      <c r="I48" s="17"/>
      <c r="J48" s="17"/>
      <c r="K48" s="17"/>
      <c r="L48" s="18"/>
      <c r="M48" s="19"/>
      <c r="N48" s="20"/>
      <c r="O48" s="20"/>
      <c r="P48" s="21"/>
      <c r="Q48" s="16"/>
    </row>
    <row r="49" s="13" customFormat="true" ht="12.75" hidden="false" customHeight="false" outlineLevel="0" collapsed="false">
      <c r="B49" s="29" t="s">
        <v>105</v>
      </c>
      <c r="C49" s="29"/>
      <c r="D49" s="27"/>
      <c r="E49" s="14"/>
      <c r="F49" s="14"/>
      <c r="G49" s="16"/>
      <c r="H49" s="8"/>
      <c r="I49" s="17"/>
      <c r="J49" s="17"/>
      <c r="K49" s="17"/>
      <c r="L49" s="18"/>
      <c r="M49" s="19"/>
      <c r="N49" s="20"/>
      <c r="O49" s="20"/>
      <c r="P49" s="21"/>
      <c r="Q49" s="16"/>
    </row>
    <row r="50" s="13" customFormat="true" ht="12.75" hidden="false" customHeight="false" outlineLevel="0" collapsed="false">
      <c r="B50" s="29" t="s">
        <v>106</v>
      </c>
      <c r="C50" s="29"/>
      <c r="D50" s="27"/>
      <c r="E50" s="14"/>
      <c r="F50" s="14"/>
      <c r="G50" s="16"/>
      <c r="H50" s="8"/>
      <c r="I50" s="17"/>
      <c r="J50" s="17"/>
      <c r="K50" s="17"/>
      <c r="L50" s="18"/>
      <c r="M50" s="19"/>
      <c r="N50" s="20"/>
      <c r="O50" s="20"/>
      <c r="P50" s="21"/>
      <c r="Q50" s="16"/>
    </row>
    <row r="51" s="13" customFormat="true" ht="12.75" hidden="false" customHeight="false" outlineLevel="0" collapsed="false">
      <c r="B51" s="29" t="s">
        <v>27</v>
      </c>
      <c r="C51" s="29"/>
      <c r="D51" s="27"/>
      <c r="E51" s="14"/>
      <c r="F51" s="14"/>
      <c r="G51" s="16"/>
      <c r="H51" s="8"/>
      <c r="I51" s="17"/>
      <c r="J51" s="17"/>
      <c r="K51" s="17"/>
      <c r="L51" s="18"/>
      <c r="M51" s="19"/>
      <c r="N51" s="20"/>
      <c r="O51" s="20"/>
      <c r="P51" s="21"/>
      <c r="Q51" s="16"/>
    </row>
    <row r="52" s="13" customFormat="true" ht="12.75" hidden="false" customHeight="false" outlineLevel="0" collapsed="false">
      <c r="B52" s="29" t="s">
        <v>107</v>
      </c>
      <c r="C52" s="29"/>
      <c r="D52" s="27"/>
      <c r="E52" s="14"/>
      <c r="F52" s="14"/>
      <c r="G52" s="16"/>
      <c r="H52" s="8"/>
      <c r="I52" s="17"/>
      <c r="J52" s="17"/>
      <c r="K52" s="17"/>
      <c r="L52" s="18"/>
      <c r="M52" s="19"/>
      <c r="N52" s="20"/>
      <c r="O52" s="20"/>
      <c r="P52" s="21"/>
      <c r="Q52" s="16"/>
    </row>
    <row r="53" s="13" customFormat="true" ht="12.75" hidden="false" customHeight="false" outlineLevel="0" collapsed="false">
      <c r="B53" s="29" t="s">
        <v>108</v>
      </c>
      <c r="C53" s="29"/>
      <c r="D53" s="27"/>
      <c r="E53" s="14"/>
      <c r="F53" s="14"/>
      <c r="G53" s="16"/>
      <c r="H53" s="8"/>
      <c r="I53" s="17"/>
      <c r="J53" s="17"/>
      <c r="K53" s="17"/>
      <c r="L53" s="18"/>
      <c r="M53" s="19"/>
      <c r="N53" s="20"/>
      <c r="O53" s="20"/>
      <c r="P53" s="21"/>
      <c r="Q53" s="16"/>
    </row>
    <row r="54" s="13" customFormat="true" ht="12.75" hidden="false" customHeight="false" outlineLevel="0" collapsed="false">
      <c r="B54" s="29" t="s">
        <v>109</v>
      </c>
      <c r="C54" s="29"/>
      <c r="D54" s="27"/>
      <c r="E54" s="14"/>
      <c r="F54" s="14"/>
      <c r="G54" s="16"/>
      <c r="H54" s="8"/>
      <c r="I54" s="17"/>
      <c r="J54" s="17"/>
      <c r="K54" s="17"/>
      <c r="L54" s="18"/>
      <c r="M54" s="19"/>
      <c r="N54" s="20"/>
      <c r="O54" s="20"/>
      <c r="P54" s="21"/>
      <c r="Q54" s="16"/>
    </row>
    <row r="55" s="13" customFormat="true" ht="12.75" hidden="false" customHeight="false" outlineLevel="0" collapsed="false">
      <c r="B55" s="29" t="s">
        <v>110</v>
      </c>
      <c r="C55" s="29"/>
      <c r="D55" s="27"/>
      <c r="E55" s="14"/>
      <c r="F55" s="14"/>
      <c r="G55" s="16"/>
      <c r="H55" s="8"/>
      <c r="I55" s="17"/>
      <c r="J55" s="17"/>
      <c r="K55" s="17"/>
      <c r="L55" s="18"/>
      <c r="M55" s="19"/>
      <c r="N55" s="20"/>
      <c r="O55" s="20"/>
      <c r="P55" s="21"/>
      <c r="Q55" s="16"/>
    </row>
    <row r="56" s="13" customFormat="true" ht="12.75" hidden="false" customHeight="false" outlineLevel="0" collapsed="false">
      <c r="B56" s="29" t="s">
        <v>111</v>
      </c>
      <c r="C56" s="29"/>
      <c r="D56" s="27"/>
      <c r="E56" s="14"/>
      <c r="F56" s="14"/>
      <c r="G56" s="16"/>
      <c r="H56" s="8"/>
      <c r="I56" s="17"/>
      <c r="J56" s="17"/>
      <c r="K56" s="17"/>
      <c r="L56" s="18"/>
      <c r="M56" s="19"/>
      <c r="N56" s="20"/>
      <c r="O56" s="20"/>
      <c r="P56" s="21"/>
      <c r="Q56" s="16"/>
    </row>
    <row r="57" s="13" customFormat="true" ht="12.75" hidden="false" customHeight="false" outlineLevel="0" collapsed="false">
      <c r="B57" s="29" t="s">
        <v>112</v>
      </c>
      <c r="C57" s="29"/>
      <c r="D57" s="27"/>
      <c r="E57" s="14"/>
      <c r="F57" s="14"/>
      <c r="G57" s="16"/>
      <c r="H57" s="8"/>
      <c r="I57" s="17"/>
      <c r="J57" s="17"/>
      <c r="K57" s="17"/>
      <c r="L57" s="18"/>
      <c r="M57" s="19"/>
      <c r="N57" s="20"/>
      <c r="O57" s="20"/>
      <c r="P57" s="21"/>
      <c r="Q57" s="16"/>
    </row>
    <row r="58" s="13" customFormat="true" ht="12.75" hidden="false" customHeight="false" outlineLevel="0" collapsed="false">
      <c r="B58" s="29" t="s">
        <v>113</v>
      </c>
      <c r="C58" s="29"/>
      <c r="D58" s="27"/>
      <c r="E58" s="14"/>
      <c r="F58" s="14"/>
      <c r="G58" s="16"/>
      <c r="H58" s="8"/>
      <c r="I58" s="17"/>
      <c r="J58" s="17"/>
      <c r="K58" s="17"/>
      <c r="L58" s="18"/>
      <c r="M58" s="19"/>
      <c r="N58" s="20"/>
      <c r="O58" s="20"/>
      <c r="P58" s="21"/>
      <c r="Q58" s="16"/>
    </row>
    <row r="59" s="13" customFormat="true" ht="12.75" hidden="false" customHeight="false" outlineLevel="0" collapsed="false">
      <c r="B59" s="29"/>
      <c r="C59" s="29"/>
      <c r="D59" s="27"/>
      <c r="E59" s="14"/>
      <c r="F59" s="14"/>
      <c r="G59" s="16"/>
      <c r="H59" s="8"/>
      <c r="I59" s="17"/>
      <c r="J59" s="17"/>
      <c r="K59" s="17"/>
      <c r="L59" s="18"/>
      <c r="M59" s="19"/>
      <c r="N59" s="20"/>
      <c r="O59" s="20"/>
      <c r="P59" s="21"/>
      <c r="Q59" s="16"/>
    </row>
    <row r="60" s="13" customFormat="true" ht="12.75" hidden="false" customHeight="false" outlineLevel="0" collapsed="false">
      <c r="B60" s="27"/>
      <c r="C60" s="27"/>
      <c r="D60" s="27"/>
      <c r="E60" s="14"/>
      <c r="F60" s="14"/>
      <c r="G60" s="16"/>
      <c r="H60" s="8"/>
      <c r="I60" s="17"/>
      <c r="J60" s="17"/>
      <c r="K60" s="17"/>
      <c r="L60" s="18"/>
      <c r="M60" s="19"/>
      <c r="N60" s="20"/>
      <c r="O60" s="20"/>
      <c r="P60" s="21"/>
      <c r="Q60" s="16"/>
    </row>
    <row r="61" s="13" customFormat="true" ht="12.75" hidden="false" customHeight="false" outlineLevel="0" collapsed="false">
      <c r="B61" s="27"/>
      <c r="C61" s="27"/>
      <c r="D61" s="27"/>
      <c r="E61" s="14"/>
      <c r="F61" s="14"/>
      <c r="G61" s="16"/>
      <c r="H61" s="8"/>
      <c r="I61" s="17"/>
      <c r="J61" s="17"/>
      <c r="K61" s="17"/>
      <c r="L61" s="18"/>
      <c r="M61" s="19"/>
      <c r="N61" s="20"/>
      <c r="O61" s="20"/>
      <c r="P61" s="21"/>
      <c r="Q61" s="16"/>
    </row>
    <row r="62" s="13" customFormat="true" ht="12.75" hidden="false" customHeight="false" outlineLevel="0" collapsed="false">
      <c r="B62" s="27"/>
      <c r="C62" s="27"/>
      <c r="D62" s="27"/>
      <c r="E62" s="14"/>
      <c r="F62" s="14"/>
      <c r="G62" s="16"/>
      <c r="H62" s="8"/>
      <c r="I62" s="17"/>
      <c r="J62" s="17"/>
      <c r="K62" s="17"/>
      <c r="L62" s="18"/>
      <c r="M62" s="19"/>
      <c r="N62" s="20"/>
      <c r="O62" s="20"/>
      <c r="P62" s="21"/>
      <c r="Q62" s="16"/>
    </row>
    <row r="63" s="13" customFormat="true" ht="12.75" hidden="false" customHeight="false" outlineLevel="0" collapsed="false">
      <c r="B63" s="27"/>
      <c r="C63" s="27"/>
      <c r="D63" s="27"/>
      <c r="E63" s="14"/>
      <c r="F63" s="14"/>
      <c r="G63" s="16"/>
      <c r="H63" s="8"/>
      <c r="I63" s="17"/>
      <c r="J63" s="17"/>
      <c r="K63" s="17"/>
      <c r="L63" s="18"/>
      <c r="M63" s="19"/>
      <c r="N63" s="20"/>
      <c r="O63" s="20"/>
      <c r="P63" s="21"/>
      <c r="Q63" s="16"/>
    </row>
    <row r="64" s="13" customFormat="true" ht="12.75" hidden="false" customHeight="false" outlineLevel="0" collapsed="false">
      <c r="B64" s="27"/>
      <c r="C64" s="27"/>
      <c r="D64" s="27"/>
      <c r="E64" s="14"/>
      <c r="F64" s="14"/>
      <c r="G64" s="16"/>
      <c r="H64" s="8"/>
      <c r="I64" s="17"/>
      <c r="J64" s="17"/>
      <c r="K64" s="17"/>
      <c r="L64" s="18"/>
      <c r="M64" s="19"/>
      <c r="N64" s="20"/>
      <c r="O64" s="20"/>
      <c r="P64" s="21"/>
      <c r="Q64" s="16"/>
    </row>
    <row r="65" s="13" customFormat="true" ht="12.75" hidden="false" customHeight="false" outlineLevel="0" collapsed="false">
      <c r="B65" s="27"/>
      <c r="C65" s="27"/>
      <c r="D65" s="27"/>
      <c r="E65" s="14"/>
      <c r="F65" s="14"/>
      <c r="G65" s="16"/>
      <c r="H65" s="8"/>
      <c r="I65" s="17"/>
      <c r="J65" s="17"/>
      <c r="K65" s="17"/>
      <c r="L65" s="18"/>
      <c r="M65" s="19"/>
      <c r="N65" s="20"/>
      <c r="O65" s="20"/>
      <c r="P65" s="21"/>
      <c r="Q65" s="16"/>
    </row>
    <row r="66" s="13" customFormat="true" ht="12.75" hidden="false" customHeight="false" outlineLevel="0" collapsed="false">
      <c r="B66" s="27"/>
      <c r="C66" s="27"/>
      <c r="D66" s="27"/>
      <c r="E66" s="14"/>
      <c r="F66" s="14"/>
      <c r="G66" s="16"/>
      <c r="H66" s="8"/>
      <c r="I66" s="17"/>
      <c r="J66" s="17"/>
      <c r="K66" s="17"/>
      <c r="L66" s="18"/>
      <c r="M66" s="19"/>
      <c r="N66" s="20"/>
      <c r="O66" s="20"/>
      <c r="P66" s="21"/>
      <c r="Q66" s="16"/>
    </row>
    <row r="67" s="13" customFormat="true" ht="12.75" hidden="false" customHeight="false" outlineLevel="0" collapsed="false">
      <c r="B67" s="27"/>
      <c r="C67" s="27"/>
      <c r="D67" s="27"/>
      <c r="E67" s="14"/>
      <c r="F67" s="14"/>
      <c r="G67" s="16"/>
      <c r="H67" s="8"/>
      <c r="I67" s="17"/>
      <c r="J67" s="17"/>
      <c r="K67" s="17"/>
      <c r="L67" s="18"/>
      <c r="M67" s="19"/>
      <c r="N67" s="20"/>
      <c r="O67" s="20"/>
      <c r="P67" s="21"/>
      <c r="Q67" s="16"/>
    </row>
    <row r="68" s="13" customFormat="true" ht="12.75" hidden="false" customHeight="false" outlineLevel="0" collapsed="false">
      <c r="B68" s="27"/>
      <c r="C68" s="27"/>
      <c r="D68" s="27"/>
      <c r="E68" s="14"/>
      <c r="F68" s="14"/>
      <c r="G68" s="16"/>
      <c r="H68" s="8"/>
      <c r="I68" s="17"/>
      <c r="J68" s="17"/>
      <c r="K68" s="17"/>
      <c r="L68" s="18"/>
      <c r="M68" s="19"/>
      <c r="N68" s="20"/>
      <c r="O68" s="20"/>
      <c r="P68" s="21"/>
      <c r="Q68" s="16"/>
    </row>
    <row r="69" s="13" customFormat="true" ht="12.75" hidden="false" customHeight="false" outlineLevel="0" collapsed="false">
      <c r="B69" s="27"/>
      <c r="C69" s="27"/>
      <c r="D69" s="27"/>
      <c r="E69" s="14"/>
      <c r="F69" s="14"/>
      <c r="G69" s="16"/>
      <c r="H69" s="8"/>
      <c r="I69" s="17"/>
      <c r="J69" s="17"/>
      <c r="K69" s="17"/>
      <c r="L69" s="18"/>
      <c r="M69" s="19"/>
      <c r="N69" s="20"/>
      <c r="O69" s="20"/>
      <c r="P69" s="21"/>
      <c r="Q69" s="16"/>
    </row>
    <row r="70" s="13" customFormat="true" ht="12.75" hidden="false" customHeight="false" outlineLevel="0" collapsed="false">
      <c r="B70" s="27"/>
      <c r="C70" s="27"/>
      <c r="D70" s="27"/>
      <c r="E70" s="14"/>
      <c r="F70" s="14"/>
      <c r="G70" s="16"/>
      <c r="H70" s="8"/>
      <c r="I70" s="17"/>
      <c r="J70" s="17"/>
      <c r="K70" s="17"/>
      <c r="L70" s="18"/>
      <c r="M70" s="19"/>
      <c r="N70" s="20"/>
      <c r="O70" s="20"/>
      <c r="P70" s="21"/>
      <c r="Q70" s="16"/>
    </row>
    <row r="71" s="13" customFormat="true" ht="12.75" hidden="false" customHeight="false" outlineLevel="0" collapsed="false">
      <c r="B71" s="27"/>
      <c r="C71" s="27"/>
      <c r="D71" s="27"/>
      <c r="E71" s="14"/>
      <c r="F71" s="14"/>
      <c r="G71" s="16"/>
      <c r="H71" s="8"/>
      <c r="I71" s="17"/>
      <c r="J71" s="17"/>
      <c r="K71" s="17"/>
      <c r="L71" s="18"/>
      <c r="M71" s="19"/>
      <c r="N71" s="20"/>
      <c r="O71" s="20"/>
      <c r="P71" s="21"/>
      <c r="Q71" s="16"/>
    </row>
    <row r="72" s="13" customFormat="true" ht="12.75" hidden="false" customHeight="false" outlineLevel="0" collapsed="false">
      <c r="B72" s="27"/>
      <c r="C72" s="27"/>
      <c r="D72" s="27"/>
      <c r="E72" s="14"/>
      <c r="F72" s="14"/>
      <c r="G72" s="16"/>
      <c r="H72" s="8"/>
      <c r="I72" s="17"/>
      <c r="J72" s="17"/>
      <c r="K72" s="17"/>
      <c r="L72" s="18"/>
      <c r="M72" s="19"/>
      <c r="N72" s="20"/>
      <c r="O72" s="20"/>
      <c r="P72" s="21"/>
      <c r="Q72" s="16"/>
    </row>
    <row r="73" s="13" customFormat="true" ht="12.75" hidden="false" customHeight="false" outlineLevel="0" collapsed="false">
      <c r="B73" s="27"/>
      <c r="C73" s="27"/>
      <c r="D73" s="27"/>
      <c r="E73" s="14"/>
      <c r="F73" s="14"/>
      <c r="G73" s="16"/>
      <c r="H73" s="8"/>
      <c r="I73" s="17"/>
      <c r="J73" s="17"/>
      <c r="K73" s="17"/>
      <c r="L73" s="18"/>
      <c r="M73" s="19"/>
      <c r="N73" s="20"/>
      <c r="O73" s="20"/>
      <c r="P73" s="21"/>
      <c r="Q73" s="16"/>
    </row>
    <row r="74" s="13" customFormat="true" ht="12.75" hidden="false" customHeight="false" outlineLevel="0" collapsed="false">
      <c r="B74" s="27"/>
      <c r="C74" s="27"/>
      <c r="D74" s="27"/>
      <c r="E74" s="14"/>
      <c r="F74" s="14"/>
      <c r="G74" s="16"/>
      <c r="H74" s="8"/>
      <c r="I74" s="17"/>
      <c r="J74" s="17"/>
      <c r="K74" s="17"/>
      <c r="L74" s="18"/>
      <c r="M74" s="19"/>
      <c r="N74" s="20"/>
      <c r="O74" s="20"/>
      <c r="P74" s="21"/>
      <c r="Q74" s="16"/>
    </row>
    <row r="75" s="13" customFormat="true" ht="12.75" hidden="false" customHeight="false" outlineLevel="0" collapsed="false">
      <c r="B75" s="27"/>
      <c r="C75" s="27"/>
      <c r="D75" s="27"/>
      <c r="E75" s="14"/>
      <c r="F75" s="14"/>
      <c r="G75" s="16"/>
      <c r="H75" s="8"/>
      <c r="I75" s="17"/>
      <c r="J75" s="17"/>
      <c r="K75" s="17"/>
      <c r="L75" s="18"/>
      <c r="M75" s="19"/>
      <c r="N75" s="20"/>
      <c r="O75" s="20"/>
      <c r="P75" s="21"/>
      <c r="Q75" s="16"/>
    </row>
    <row r="76" s="13" customFormat="true" ht="12.75" hidden="false" customHeight="false" outlineLevel="0" collapsed="false">
      <c r="B76" s="27"/>
      <c r="C76" s="27"/>
      <c r="D76" s="27"/>
      <c r="E76" s="14"/>
      <c r="F76" s="14"/>
      <c r="G76" s="16"/>
      <c r="H76" s="8"/>
      <c r="I76" s="17"/>
      <c r="J76" s="17"/>
      <c r="K76" s="17"/>
      <c r="L76" s="18"/>
      <c r="M76" s="19"/>
      <c r="N76" s="20"/>
      <c r="O76" s="20"/>
      <c r="P76" s="21"/>
      <c r="Q76" s="16"/>
    </row>
    <row r="77" s="13" customFormat="true" ht="12.75" hidden="false" customHeight="false" outlineLevel="0" collapsed="false">
      <c r="B77" s="27"/>
      <c r="C77" s="27"/>
      <c r="D77" s="27"/>
      <c r="E77" s="14"/>
      <c r="F77" s="14"/>
      <c r="G77" s="16"/>
      <c r="H77" s="8"/>
      <c r="I77" s="17"/>
      <c r="J77" s="17"/>
      <c r="K77" s="17"/>
      <c r="L77" s="18"/>
      <c r="M77" s="19"/>
      <c r="N77" s="20"/>
      <c r="O77" s="20"/>
      <c r="P77" s="21"/>
      <c r="Q77" s="16"/>
    </row>
    <row r="78" s="13" customFormat="true" ht="12.75" hidden="false" customHeight="false" outlineLevel="0" collapsed="false">
      <c r="B78" s="27"/>
      <c r="C78" s="27"/>
      <c r="D78" s="27"/>
      <c r="E78" s="14"/>
      <c r="F78" s="14"/>
      <c r="G78" s="16"/>
      <c r="H78" s="8"/>
      <c r="I78" s="17"/>
      <c r="J78" s="17"/>
      <c r="K78" s="17"/>
      <c r="L78" s="18"/>
      <c r="M78" s="19"/>
      <c r="N78" s="20"/>
      <c r="O78" s="20"/>
      <c r="P78" s="21"/>
      <c r="Q78" s="16"/>
    </row>
    <row r="79" s="13" customFormat="true" ht="12.75" hidden="false" customHeight="false" outlineLevel="0" collapsed="false">
      <c r="B79" s="27"/>
      <c r="C79" s="27"/>
      <c r="D79" s="27"/>
      <c r="E79" s="14"/>
      <c r="F79" s="14"/>
      <c r="G79" s="16"/>
      <c r="H79" s="8"/>
      <c r="I79" s="17"/>
      <c r="J79" s="17"/>
      <c r="K79" s="17"/>
      <c r="L79" s="18"/>
      <c r="M79" s="19"/>
      <c r="N79" s="20"/>
      <c r="O79" s="20"/>
      <c r="P79" s="21"/>
      <c r="Q79" s="16"/>
    </row>
    <row r="80" s="13" customFormat="true" ht="12.75" hidden="false" customHeight="false" outlineLevel="0" collapsed="false">
      <c r="B80" s="27"/>
      <c r="C80" s="27"/>
      <c r="D80" s="27"/>
      <c r="E80" s="14"/>
      <c r="F80" s="14"/>
      <c r="G80" s="16"/>
      <c r="H80" s="8"/>
      <c r="I80" s="17"/>
      <c r="J80" s="17"/>
      <c r="K80" s="17"/>
      <c r="L80" s="18"/>
      <c r="M80" s="19"/>
      <c r="N80" s="20"/>
      <c r="O80" s="20"/>
      <c r="P80" s="21"/>
      <c r="Q80" s="16"/>
    </row>
    <row r="81" s="13" customFormat="true" ht="12.75" hidden="false" customHeight="false" outlineLevel="0" collapsed="false">
      <c r="B81" s="27"/>
      <c r="C81" s="27"/>
      <c r="D81" s="27"/>
      <c r="E81" s="14"/>
      <c r="F81" s="14"/>
      <c r="G81" s="16"/>
      <c r="H81" s="8"/>
      <c r="I81" s="17"/>
      <c r="J81" s="17"/>
      <c r="K81" s="17"/>
      <c r="L81" s="18"/>
      <c r="M81" s="19"/>
      <c r="N81" s="20"/>
      <c r="O81" s="20"/>
      <c r="P81" s="21"/>
      <c r="Q81" s="16"/>
    </row>
    <row r="82" s="13" customFormat="true" ht="12.75" hidden="false" customHeight="false" outlineLevel="0" collapsed="false">
      <c r="B82" s="27"/>
      <c r="C82" s="27"/>
      <c r="D82" s="27"/>
      <c r="E82" s="14"/>
      <c r="F82" s="14"/>
      <c r="G82" s="16"/>
      <c r="H82" s="8"/>
      <c r="I82" s="17"/>
      <c r="J82" s="17"/>
      <c r="K82" s="17"/>
      <c r="L82" s="18"/>
      <c r="M82" s="19"/>
      <c r="N82" s="20"/>
      <c r="O82" s="20"/>
      <c r="P82" s="21"/>
      <c r="Q82" s="16"/>
    </row>
    <row r="83" s="13" customFormat="true" ht="12.75" hidden="false" customHeight="false" outlineLevel="0" collapsed="false">
      <c r="B83" s="27"/>
      <c r="C83" s="27"/>
      <c r="D83" s="27"/>
      <c r="E83" s="14"/>
      <c r="F83" s="14"/>
      <c r="G83" s="16"/>
      <c r="H83" s="8"/>
      <c r="I83" s="17"/>
      <c r="J83" s="17"/>
      <c r="K83" s="17"/>
      <c r="L83" s="18"/>
      <c r="M83" s="19"/>
      <c r="N83" s="20"/>
      <c r="O83" s="20"/>
      <c r="P83" s="21"/>
      <c r="Q83" s="16"/>
    </row>
    <row r="84" s="13" customFormat="true" ht="12.75" hidden="false" customHeight="false" outlineLevel="0" collapsed="false">
      <c r="B84" s="27"/>
      <c r="C84" s="27"/>
      <c r="D84" s="27"/>
      <c r="E84" s="14"/>
      <c r="F84" s="14"/>
      <c r="G84" s="16"/>
      <c r="H84" s="8"/>
      <c r="I84" s="17"/>
      <c r="J84" s="17"/>
      <c r="K84" s="17"/>
      <c r="L84" s="18"/>
      <c r="M84" s="19"/>
      <c r="N84" s="20"/>
      <c r="O84" s="20"/>
      <c r="P84" s="21"/>
      <c r="Q84" s="16"/>
    </row>
    <row r="85" s="13" customFormat="true" ht="12.75" hidden="false" customHeight="false" outlineLevel="0" collapsed="false">
      <c r="B85" s="27"/>
      <c r="C85" s="27"/>
      <c r="D85" s="27"/>
      <c r="E85" s="14"/>
      <c r="F85" s="14"/>
      <c r="G85" s="16"/>
      <c r="H85" s="8"/>
      <c r="I85" s="17"/>
      <c r="J85" s="17"/>
      <c r="K85" s="17"/>
      <c r="L85" s="18"/>
      <c r="M85" s="19"/>
      <c r="N85" s="20"/>
      <c r="O85" s="20"/>
      <c r="P85" s="21"/>
      <c r="Q85" s="16"/>
    </row>
    <row r="86" s="13" customFormat="true" ht="12.75" hidden="false" customHeight="false" outlineLevel="0" collapsed="false">
      <c r="B86" s="27"/>
      <c r="C86" s="27"/>
      <c r="D86" s="27"/>
      <c r="E86" s="14"/>
      <c r="F86" s="14"/>
      <c r="G86" s="16"/>
      <c r="H86" s="8"/>
      <c r="I86" s="17"/>
      <c r="J86" s="17"/>
      <c r="K86" s="17"/>
      <c r="L86" s="18"/>
      <c r="M86" s="19"/>
      <c r="N86" s="20"/>
      <c r="O86" s="20"/>
      <c r="P86" s="21"/>
      <c r="Q86" s="16"/>
    </row>
    <row r="87" s="13" customFormat="true" ht="12.75" hidden="false" customHeight="false" outlineLevel="0" collapsed="false">
      <c r="B87" s="27"/>
      <c r="C87" s="27"/>
      <c r="D87" s="27"/>
      <c r="E87" s="14"/>
      <c r="F87" s="14"/>
      <c r="G87" s="16"/>
      <c r="H87" s="8"/>
      <c r="I87" s="17"/>
      <c r="J87" s="17"/>
      <c r="K87" s="17"/>
      <c r="L87" s="18"/>
      <c r="M87" s="19"/>
      <c r="N87" s="20"/>
      <c r="O87" s="20"/>
      <c r="P87" s="21"/>
      <c r="Q87" s="16"/>
    </row>
    <row r="88" s="13" customFormat="true" ht="12.75" hidden="false" customHeight="false" outlineLevel="0" collapsed="false">
      <c r="B88" s="27"/>
      <c r="C88" s="27"/>
      <c r="D88" s="27"/>
      <c r="E88" s="14"/>
      <c r="F88" s="14"/>
      <c r="G88" s="16"/>
      <c r="H88" s="8"/>
      <c r="I88" s="17"/>
      <c r="J88" s="17"/>
      <c r="K88" s="17"/>
      <c r="L88" s="18"/>
      <c r="M88" s="19"/>
      <c r="N88" s="20"/>
      <c r="O88" s="20"/>
      <c r="P88" s="21"/>
      <c r="Q88" s="16"/>
    </row>
    <row r="89" s="13" customFormat="true" ht="12.75" hidden="false" customHeight="false" outlineLevel="0" collapsed="false">
      <c r="B89" s="27"/>
      <c r="C89" s="27"/>
      <c r="D89" s="27"/>
      <c r="E89" s="14"/>
      <c r="F89" s="14"/>
      <c r="G89" s="16"/>
      <c r="H89" s="8"/>
      <c r="I89" s="17"/>
      <c r="J89" s="17"/>
      <c r="K89" s="17"/>
      <c r="L89" s="18"/>
      <c r="M89" s="19"/>
      <c r="N89" s="20"/>
      <c r="O89" s="20"/>
      <c r="P89" s="21"/>
      <c r="Q89" s="16"/>
    </row>
    <row r="90" s="13" customFormat="true" ht="12.75" hidden="false" customHeight="false" outlineLevel="0" collapsed="false">
      <c r="B90" s="27"/>
      <c r="C90" s="27"/>
      <c r="D90" s="27"/>
      <c r="E90" s="14"/>
      <c r="F90" s="14"/>
      <c r="G90" s="16"/>
      <c r="H90" s="8"/>
      <c r="I90" s="17"/>
      <c r="J90" s="17"/>
      <c r="K90" s="17"/>
      <c r="L90" s="18"/>
      <c r="M90" s="19"/>
      <c r="N90" s="20"/>
      <c r="O90" s="20"/>
      <c r="P90" s="21"/>
      <c r="Q90" s="16"/>
    </row>
    <row r="91" s="13" customFormat="true" ht="12.75" hidden="false" customHeight="false" outlineLevel="0" collapsed="false">
      <c r="B91" s="27"/>
      <c r="C91" s="27"/>
      <c r="D91" s="27"/>
      <c r="E91" s="14"/>
      <c r="F91" s="14"/>
      <c r="G91" s="16"/>
      <c r="H91" s="8"/>
      <c r="I91" s="17"/>
      <c r="J91" s="17"/>
      <c r="K91" s="17"/>
      <c r="L91" s="18"/>
      <c r="M91" s="19"/>
      <c r="N91" s="20"/>
      <c r="O91" s="20"/>
      <c r="P91" s="21"/>
      <c r="Q91" s="16"/>
    </row>
    <row r="92" s="13" customFormat="true" ht="12.75" hidden="false" customHeight="false" outlineLevel="0" collapsed="false">
      <c r="B92" s="27"/>
      <c r="C92" s="27"/>
      <c r="D92" s="27"/>
      <c r="E92" s="14"/>
      <c r="F92" s="14"/>
      <c r="G92" s="16"/>
      <c r="H92" s="8"/>
      <c r="I92" s="17"/>
      <c r="J92" s="17"/>
      <c r="K92" s="17"/>
      <c r="L92" s="18"/>
      <c r="M92" s="19"/>
      <c r="N92" s="20"/>
      <c r="O92" s="20"/>
      <c r="P92" s="21"/>
      <c r="Q92" s="16"/>
    </row>
    <row r="93" s="13" customFormat="true" ht="12.75" hidden="false" customHeight="false" outlineLevel="0" collapsed="false">
      <c r="B93" s="27"/>
      <c r="C93" s="27"/>
      <c r="D93" s="27"/>
      <c r="E93" s="14"/>
      <c r="F93" s="14"/>
      <c r="G93" s="16"/>
      <c r="H93" s="8"/>
      <c r="I93" s="17"/>
      <c r="J93" s="17"/>
      <c r="K93" s="17"/>
      <c r="L93" s="18"/>
      <c r="M93" s="19"/>
      <c r="N93" s="20"/>
      <c r="O93" s="20"/>
      <c r="P93" s="21"/>
      <c r="Q93" s="16"/>
    </row>
    <row r="94" s="13" customFormat="true" ht="12.75" hidden="false" customHeight="false" outlineLevel="0" collapsed="false">
      <c r="B94" s="27"/>
      <c r="C94" s="27"/>
      <c r="D94" s="27"/>
      <c r="E94" s="14"/>
      <c r="F94" s="14"/>
      <c r="G94" s="16"/>
      <c r="H94" s="8"/>
      <c r="I94" s="17"/>
      <c r="J94" s="17"/>
      <c r="K94" s="17"/>
      <c r="L94" s="18"/>
      <c r="M94" s="19"/>
      <c r="N94" s="20"/>
      <c r="O94" s="20"/>
      <c r="P94" s="21"/>
      <c r="Q94" s="16"/>
    </row>
    <row r="95" s="13" customFormat="true" ht="12.75" hidden="false" customHeight="false" outlineLevel="0" collapsed="false">
      <c r="B95" s="27"/>
      <c r="C95" s="27"/>
      <c r="D95" s="27"/>
      <c r="E95" s="14"/>
      <c r="F95" s="14"/>
      <c r="G95" s="16"/>
      <c r="H95" s="8"/>
      <c r="I95" s="17"/>
      <c r="J95" s="17"/>
      <c r="K95" s="17"/>
      <c r="L95" s="18"/>
      <c r="M95" s="19"/>
      <c r="N95" s="20"/>
      <c r="O95" s="20"/>
      <c r="P95" s="21"/>
      <c r="Q95" s="16"/>
    </row>
    <row r="96" s="13" customFormat="true" ht="12.75" hidden="false" customHeight="false" outlineLevel="0" collapsed="false">
      <c r="B96" s="27"/>
      <c r="C96" s="27"/>
      <c r="D96" s="27"/>
      <c r="E96" s="14"/>
      <c r="F96" s="14"/>
      <c r="G96" s="16"/>
      <c r="H96" s="8"/>
      <c r="I96" s="17"/>
      <c r="J96" s="17"/>
      <c r="K96" s="17"/>
      <c r="L96" s="18"/>
      <c r="M96" s="19"/>
      <c r="N96" s="20"/>
      <c r="O96" s="20"/>
      <c r="P96" s="21"/>
      <c r="Q96" s="16"/>
    </row>
    <row r="97" s="13" customFormat="true" ht="12.75" hidden="false" customHeight="false" outlineLevel="0" collapsed="false">
      <c r="B97" s="27"/>
      <c r="C97" s="27"/>
      <c r="D97" s="27"/>
      <c r="E97" s="14"/>
      <c r="F97" s="14"/>
      <c r="G97" s="16"/>
      <c r="H97" s="8"/>
      <c r="I97" s="17"/>
      <c r="J97" s="17"/>
      <c r="K97" s="17"/>
      <c r="L97" s="18"/>
      <c r="M97" s="19"/>
      <c r="N97" s="20"/>
      <c r="O97" s="20"/>
      <c r="P97" s="21"/>
      <c r="Q97" s="16"/>
    </row>
    <row r="98" s="13" customFormat="true" ht="12.75" hidden="false" customHeight="false" outlineLevel="0" collapsed="false">
      <c r="B98" s="27"/>
      <c r="C98" s="27"/>
      <c r="D98" s="27"/>
      <c r="E98" s="14"/>
      <c r="F98" s="14"/>
      <c r="G98" s="16"/>
      <c r="H98" s="8"/>
      <c r="I98" s="17"/>
      <c r="J98" s="17"/>
      <c r="K98" s="17"/>
      <c r="L98" s="18"/>
      <c r="M98" s="19"/>
      <c r="N98" s="20"/>
      <c r="O98" s="20"/>
      <c r="P98" s="21"/>
      <c r="Q98" s="16"/>
    </row>
    <row r="99" s="13" customFormat="true" ht="12.75" hidden="false" customHeight="false" outlineLevel="0" collapsed="false">
      <c r="B99" s="27"/>
      <c r="C99" s="27"/>
      <c r="D99" s="27"/>
      <c r="E99" s="14"/>
      <c r="F99" s="14"/>
      <c r="G99" s="16"/>
      <c r="H99" s="8"/>
      <c r="I99" s="17"/>
      <c r="J99" s="17"/>
      <c r="K99" s="17"/>
      <c r="L99" s="18"/>
      <c r="M99" s="19"/>
      <c r="N99" s="20"/>
      <c r="O99" s="20"/>
      <c r="P99" s="21"/>
      <c r="Q99" s="16"/>
    </row>
    <row r="100" s="13" customFormat="true" ht="12.75" hidden="false" customHeight="false" outlineLevel="0" collapsed="false">
      <c r="B100" s="27"/>
      <c r="C100" s="27"/>
      <c r="D100" s="27"/>
      <c r="E100" s="14"/>
      <c r="F100" s="14"/>
      <c r="G100" s="16"/>
      <c r="H100" s="8"/>
      <c r="I100" s="17"/>
      <c r="J100" s="17"/>
      <c r="K100" s="17"/>
      <c r="L100" s="18"/>
      <c r="M100" s="19"/>
      <c r="N100" s="20"/>
      <c r="O100" s="20"/>
      <c r="P100" s="21"/>
      <c r="Q100" s="16"/>
    </row>
    <row r="101" s="13" customFormat="true" ht="12.75" hidden="false" customHeight="false" outlineLevel="0" collapsed="false">
      <c r="B101" s="27"/>
      <c r="C101" s="27"/>
      <c r="D101" s="27"/>
      <c r="E101" s="14"/>
      <c r="F101" s="14"/>
      <c r="G101" s="16"/>
      <c r="H101" s="8"/>
      <c r="I101" s="17"/>
      <c r="J101" s="17"/>
      <c r="K101" s="17"/>
      <c r="L101" s="18"/>
      <c r="M101" s="19"/>
      <c r="N101" s="20"/>
      <c r="O101" s="20"/>
      <c r="P101" s="21"/>
      <c r="Q101" s="16"/>
    </row>
    <row r="102" s="13" customFormat="true" ht="12.75" hidden="false" customHeight="false" outlineLevel="0" collapsed="false">
      <c r="B102" s="27"/>
      <c r="C102" s="27"/>
      <c r="D102" s="27"/>
      <c r="E102" s="14"/>
      <c r="F102" s="14"/>
      <c r="G102" s="16"/>
      <c r="H102" s="8"/>
      <c r="I102" s="17"/>
      <c r="J102" s="17"/>
      <c r="K102" s="17"/>
      <c r="L102" s="18"/>
      <c r="M102" s="19"/>
      <c r="N102" s="20"/>
      <c r="O102" s="20"/>
      <c r="P102" s="21"/>
      <c r="Q102" s="16"/>
    </row>
    <row r="103" s="13" customFormat="true" ht="12.75" hidden="false" customHeight="false" outlineLevel="0" collapsed="false">
      <c r="B103" s="27"/>
      <c r="C103" s="27"/>
      <c r="D103" s="27"/>
      <c r="E103" s="14"/>
      <c r="F103" s="14"/>
      <c r="G103" s="16"/>
      <c r="H103" s="8"/>
      <c r="I103" s="17"/>
      <c r="J103" s="17"/>
      <c r="K103" s="17"/>
      <c r="L103" s="18"/>
      <c r="M103" s="19"/>
      <c r="N103" s="20"/>
      <c r="O103" s="20"/>
      <c r="P103" s="21"/>
      <c r="Q103" s="16"/>
    </row>
    <row r="104" s="13" customFormat="true" ht="12.75" hidden="false" customHeight="false" outlineLevel="0" collapsed="false">
      <c r="B104" s="27"/>
      <c r="C104" s="27"/>
      <c r="D104" s="27"/>
      <c r="E104" s="14"/>
      <c r="F104" s="14"/>
      <c r="G104" s="16"/>
      <c r="H104" s="8"/>
      <c r="I104" s="17"/>
      <c r="J104" s="17"/>
      <c r="K104" s="17"/>
      <c r="L104" s="18"/>
      <c r="M104" s="19"/>
      <c r="N104" s="20"/>
      <c r="O104" s="20"/>
      <c r="P104" s="21"/>
      <c r="Q104" s="16"/>
    </row>
    <row r="105" s="13" customFormat="true" ht="12.75" hidden="false" customHeight="false" outlineLevel="0" collapsed="false">
      <c r="B105" s="27"/>
      <c r="C105" s="27"/>
      <c r="D105" s="27"/>
      <c r="E105" s="14"/>
      <c r="F105" s="14"/>
      <c r="G105" s="16"/>
      <c r="H105" s="8"/>
      <c r="I105" s="17"/>
      <c r="J105" s="17"/>
      <c r="K105" s="17"/>
      <c r="L105" s="18"/>
      <c r="M105" s="19"/>
      <c r="N105" s="20"/>
      <c r="O105" s="20"/>
      <c r="P105" s="21"/>
      <c r="Q105" s="16"/>
    </row>
    <row r="106" s="13" customFormat="true" ht="12.75" hidden="false" customHeight="false" outlineLevel="0" collapsed="false">
      <c r="B106" s="27"/>
      <c r="C106" s="27"/>
      <c r="D106" s="27"/>
      <c r="E106" s="14"/>
      <c r="F106" s="14"/>
      <c r="G106" s="16"/>
      <c r="H106" s="8"/>
      <c r="I106" s="17"/>
      <c r="J106" s="17"/>
      <c r="K106" s="17"/>
      <c r="L106" s="18"/>
      <c r="M106" s="19"/>
      <c r="N106" s="20"/>
      <c r="O106" s="20"/>
      <c r="P106" s="21"/>
      <c r="Q106" s="16"/>
    </row>
    <row r="107" s="13" customFormat="true" ht="12.75" hidden="false" customHeight="false" outlineLevel="0" collapsed="false">
      <c r="B107" s="27"/>
      <c r="C107" s="27"/>
      <c r="D107" s="27"/>
      <c r="E107" s="14"/>
      <c r="F107" s="14"/>
      <c r="G107" s="16"/>
      <c r="H107" s="8"/>
      <c r="I107" s="17"/>
      <c r="J107" s="17"/>
      <c r="K107" s="17"/>
      <c r="L107" s="18"/>
      <c r="M107" s="19"/>
      <c r="N107" s="20"/>
      <c r="O107" s="20"/>
      <c r="P107" s="21"/>
      <c r="Q107" s="16"/>
    </row>
    <row r="108" s="13" customFormat="true" ht="12.75" hidden="false" customHeight="false" outlineLevel="0" collapsed="false">
      <c r="B108" s="27"/>
      <c r="C108" s="27"/>
      <c r="D108" s="27"/>
      <c r="E108" s="14"/>
      <c r="F108" s="14"/>
      <c r="G108" s="16"/>
      <c r="H108" s="8"/>
      <c r="I108" s="17"/>
      <c r="J108" s="17"/>
      <c r="K108" s="17"/>
      <c r="L108" s="18"/>
      <c r="M108" s="19"/>
      <c r="N108" s="20"/>
      <c r="O108" s="20"/>
      <c r="P108" s="21"/>
      <c r="Q108" s="16"/>
    </row>
    <row r="109" s="13" customFormat="true" ht="12.75" hidden="false" customHeight="false" outlineLevel="0" collapsed="false">
      <c r="B109" s="27"/>
      <c r="C109" s="27"/>
      <c r="D109" s="27"/>
      <c r="E109" s="14"/>
      <c r="F109" s="14"/>
      <c r="G109" s="16"/>
      <c r="H109" s="8"/>
      <c r="I109" s="17"/>
      <c r="J109" s="17"/>
      <c r="K109" s="17"/>
      <c r="L109" s="18"/>
      <c r="M109" s="19"/>
      <c r="N109" s="20"/>
      <c r="O109" s="20"/>
      <c r="P109" s="21"/>
      <c r="Q109" s="16"/>
    </row>
    <row r="110" s="13" customFormat="true" ht="12.75" hidden="false" customHeight="false" outlineLevel="0" collapsed="false">
      <c r="B110" s="27"/>
      <c r="C110" s="27"/>
      <c r="D110" s="27"/>
      <c r="E110" s="14"/>
      <c r="F110" s="14"/>
      <c r="G110" s="16"/>
      <c r="H110" s="8"/>
      <c r="I110" s="30" t="s">
        <v>114</v>
      </c>
      <c r="J110" s="30" t="s">
        <v>93</v>
      </c>
      <c r="K110" s="30" t="s">
        <v>24</v>
      </c>
      <c r="L110" s="31" t="n">
        <v>0</v>
      </c>
      <c r="M110" s="32" t="n">
        <v>0</v>
      </c>
      <c r="N110" s="33" t="n">
        <v>1</v>
      </c>
      <c r="O110" s="33" t="n">
        <v>73050</v>
      </c>
      <c r="P110" s="34" t="s">
        <v>29</v>
      </c>
      <c r="Q110" s="16"/>
    </row>
    <row r="111" s="13" customFormat="true" ht="12.75" hidden="false" customHeight="false" outlineLevel="0" collapsed="false">
      <c r="B111" s="27"/>
      <c r="C111" s="27"/>
      <c r="D111" s="27"/>
      <c r="E111" s="14"/>
      <c r="F111" s="14"/>
      <c r="G111" s="16"/>
      <c r="H111" s="8"/>
      <c r="I111" s="30" t="s">
        <v>115</v>
      </c>
      <c r="J111" s="30" t="s">
        <v>93</v>
      </c>
      <c r="K111" s="30" t="s">
        <v>24</v>
      </c>
      <c r="L111" s="31" t="n">
        <v>0</v>
      </c>
      <c r="M111" s="32" t="n">
        <v>0</v>
      </c>
      <c r="N111" s="33" t="n">
        <v>1</v>
      </c>
      <c r="O111" s="33" t="n">
        <v>73050</v>
      </c>
      <c r="P111" s="34" t="s">
        <v>29</v>
      </c>
      <c r="Q111" s="16"/>
    </row>
    <row r="112" s="13" customFormat="true" ht="12.75" hidden="false" customHeight="false" outlineLevel="0" collapsed="false">
      <c r="B112" s="27"/>
      <c r="C112" s="27"/>
      <c r="D112" s="27"/>
    </row>
    <row r="113" s="13" customFormat="true" ht="12.75" hidden="false" customHeight="false" outlineLevel="0" collapsed="false">
      <c r="B113" s="27"/>
      <c r="C113" s="27"/>
      <c r="D113" s="27"/>
    </row>
    <row r="114" s="13" customFormat="true" ht="12.75" hidden="false" customHeight="false" outlineLevel="0" collapsed="false">
      <c r="B114" s="27"/>
      <c r="C114" s="27"/>
      <c r="D114" s="27"/>
    </row>
    <row r="115" s="13" customFormat="true" ht="12.75" hidden="false" customHeight="false" outlineLevel="0" collapsed="false">
      <c r="B115" s="27"/>
      <c r="C115" s="27"/>
      <c r="D115" s="27"/>
      <c r="I115" s="35"/>
      <c r="M115" s="36"/>
      <c r="N115" s="36"/>
      <c r="O115" s="37"/>
      <c r="P115" s="37"/>
    </row>
    <row r="116" s="13" customFormat="true" ht="12.75" hidden="false" customHeight="false" outlineLevel="0" collapsed="false">
      <c r="B116" s="27"/>
      <c r="C116" s="27"/>
      <c r="D116" s="27"/>
      <c r="M116" s="36"/>
      <c r="N116" s="36"/>
      <c r="O116" s="37"/>
      <c r="P116" s="37"/>
    </row>
    <row r="117" s="13" customFormat="true" ht="12.75" hidden="false" customHeight="false" outlineLevel="0" collapsed="false">
      <c r="B117" s="27"/>
      <c r="C117" s="27"/>
      <c r="D117" s="27"/>
      <c r="M117" s="36"/>
      <c r="N117" s="36"/>
    </row>
    <row r="118" s="13" customFormat="true" ht="12.75" hidden="false" customHeight="false" outlineLevel="0" collapsed="false">
      <c r="B118" s="27"/>
      <c r="C118" s="27"/>
      <c r="D118" s="27"/>
      <c r="M118" s="36"/>
      <c r="N118" s="36"/>
      <c r="O118" s="38"/>
      <c r="P118" s="38"/>
    </row>
    <row r="119" s="13" customFormat="true" ht="12.75" hidden="false" customHeight="false" outlineLevel="0" collapsed="false">
      <c r="B119" s="27"/>
      <c r="C119" s="27"/>
      <c r="D119" s="27"/>
      <c r="J119" s="39"/>
      <c r="M119" s="36"/>
      <c r="N119" s="36"/>
      <c r="O119" s="37"/>
      <c r="P119" s="37"/>
    </row>
    <row r="120" s="13" customFormat="true" ht="12.75" hidden="false" customHeight="false" outlineLevel="0" collapsed="false">
      <c r="B120" s="27"/>
      <c r="C120" s="27"/>
      <c r="D120" s="27"/>
    </row>
    <row r="121" s="13" customFormat="true" ht="12.75" hidden="false" customHeight="false" outlineLevel="0" collapsed="false">
      <c r="B121" s="27"/>
      <c r="C121" s="27"/>
      <c r="D121" s="27"/>
    </row>
    <row r="122" s="13" customFormat="true" ht="12.75" hidden="false" customHeight="false" outlineLevel="0" collapsed="false">
      <c r="B122" s="27"/>
      <c r="C122" s="27"/>
      <c r="D122" s="27"/>
      <c r="M122" s="36"/>
      <c r="N122" s="36"/>
    </row>
    <row r="123" s="13" customFormat="true" ht="12.75" hidden="false" customHeight="false" outlineLevel="0" collapsed="false">
      <c r="B123" s="27"/>
      <c r="C123" s="27"/>
      <c r="D123" s="27"/>
      <c r="M123" s="36"/>
      <c r="N123" s="36"/>
    </row>
    <row r="124" s="13" customFormat="true" ht="12.75" hidden="false" customHeight="false" outlineLevel="0" collapsed="false">
      <c r="B124" s="27"/>
      <c r="C124" s="27"/>
      <c r="D124" s="27"/>
      <c r="M124" s="36"/>
      <c r="N124" s="36"/>
    </row>
    <row r="125" s="13" customFormat="true" ht="12.75" hidden="false" customHeight="false" outlineLevel="0" collapsed="false">
      <c r="B125" s="27"/>
      <c r="C125" s="27"/>
      <c r="D125" s="27"/>
      <c r="M125" s="36"/>
      <c r="N125" s="36"/>
    </row>
    <row r="126" s="13" customFormat="true" ht="12.75" hidden="false" customHeight="false" outlineLevel="0" collapsed="false">
      <c r="B126" s="27"/>
      <c r="C126" s="27"/>
      <c r="D126" s="27"/>
      <c r="M126" s="36"/>
      <c r="N126" s="36"/>
    </row>
    <row r="127" s="13" customFormat="true" ht="12.75" hidden="false" customHeight="false" outlineLevel="0" collapsed="false">
      <c r="B127" s="27"/>
      <c r="C127" s="27"/>
      <c r="D127" s="27"/>
      <c r="M127" s="36"/>
      <c r="N127" s="36"/>
    </row>
    <row r="128" s="13" customFormat="true" ht="12.75" hidden="false" customHeight="false" outlineLevel="0" collapsed="false">
      <c r="B128" s="27"/>
      <c r="C128" s="27"/>
      <c r="M128" s="36"/>
      <c r="N128" s="36"/>
    </row>
    <row r="129" s="13" customFormat="true" ht="12.75" hidden="false" customHeight="false" outlineLevel="0" collapsed="false">
      <c r="B129" s="27"/>
      <c r="C129" s="27"/>
      <c r="M129" s="36"/>
      <c r="N129" s="36"/>
    </row>
    <row r="130" s="13" customFormat="true" ht="12.75" hidden="false" customHeight="false" outlineLevel="0" collapsed="false">
      <c r="B130" s="27"/>
      <c r="C130" s="27"/>
      <c r="M130" s="36"/>
      <c r="N130" s="36"/>
    </row>
    <row r="131" s="13" customFormat="true" ht="12.75" hidden="false" customHeight="false" outlineLevel="0" collapsed="false">
      <c r="B131" s="27"/>
      <c r="C131" s="27"/>
    </row>
    <row r="132" s="13" customFormat="true" ht="12.75" hidden="false" customHeight="false" outlineLevel="0" collapsed="false">
      <c r="B132" s="27"/>
      <c r="C132" s="27"/>
    </row>
    <row r="133" s="13" customFormat="true" ht="12.75" hidden="false" customHeight="false" outlineLevel="0" collapsed="false">
      <c r="B133" s="27"/>
      <c r="C133" s="27"/>
    </row>
    <row r="134" s="13" customFormat="true" ht="12.75" hidden="false" customHeight="false" outlineLevel="0" collapsed="false">
      <c r="E134" s="13" t="s">
        <v>25</v>
      </c>
    </row>
    <row r="135" s="13" customFormat="true" ht="12.75" hidden="false" customHeight="false" outlineLevel="0" collapsed="false">
      <c r="E135" s="13" t="s">
        <v>116</v>
      </c>
    </row>
    <row r="136" s="13" customFormat="true" ht="12.75" hidden="false" customHeight="false" outlineLevel="0" collapsed="false">
      <c r="E136" s="13" t="s">
        <v>25</v>
      </c>
    </row>
    <row r="137" s="13" customFormat="true" ht="12.75" hidden="false" customHeight="false" outlineLevel="0" collapsed="false"/>
    <row r="138" s="13" customFormat="true" ht="12.75" hidden="false" customHeight="false" outlineLevel="0" collapsed="false"/>
    <row r="139" s="13" customFormat="true" ht="12.75" hidden="false" customHeight="false" outlineLevel="0" collapsed="false"/>
    <row r="140" s="13" customFormat="true" ht="12.75" hidden="false" customHeight="false" outlineLevel="0" collapsed="false"/>
    <row r="141" s="13" customFormat="true" ht="12.75" hidden="false" customHeight="false" outlineLevel="0" collapsed="false"/>
    <row r="142" s="13" customFormat="true" ht="12.75" hidden="false" customHeight="false" outlineLevel="0" collapsed="false"/>
    <row r="143" s="13" customFormat="true" ht="12.75" hidden="false" customHeight="false" outlineLevel="0" collapsed="false"/>
    <row r="144" s="13" customFormat="true" ht="12.75" hidden="false" customHeight="false" outlineLevel="0" collapsed="false"/>
    <row r="145" s="13" customFormat="true" ht="12.75" hidden="false" customHeight="false" outlineLevel="0" collapsed="false"/>
    <row r="146" s="13" customFormat="true" ht="12.75" hidden="false" customHeight="false" outlineLevel="0" collapsed="false"/>
    <row r="147" s="13" customFormat="true" ht="12.75" hidden="false" customHeight="false" outlineLevel="0" collapsed="false"/>
    <row r="148" s="13" customFormat="true" ht="12.75" hidden="false" customHeight="false" outlineLevel="0" collapsed="false"/>
    <row r="149" s="13" customFormat="true" ht="12.75" hidden="false" customHeight="false" outlineLevel="0" collapsed="false"/>
    <row r="150" s="13" customFormat="true" ht="12.75" hidden="false" customHeight="false" outlineLevel="0" collapsed="false"/>
    <row r="151" s="13" customFormat="true" ht="12.75" hidden="false" customHeight="false" outlineLevel="0" collapsed="false"/>
    <row r="152" s="13" customFormat="true" ht="12.75" hidden="false" customHeight="false" outlineLevel="0" collapsed="false"/>
    <row r="153" s="13" customFormat="true" ht="12.75" hidden="false" customHeight="false" outlineLevel="0" collapsed="false"/>
    <row r="154" s="13" customFormat="true" ht="12.75" hidden="false" customHeight="false" outlineLevel="0" collapsed="false"/>
    <row r="155" s="13" customFormat="true" ht="12.75" hidden="false" customHeight="false" outlineLevel="0" collapsed="false"/>
    <row r="156" s="13" customFormat="true" ht="12.75" hidden="false" customHeight="false" outlineLevel="0" collapsed="false"/>
    <row r="157" s="13" customFormat="true" ht="12.75" hidden="false" customHeight="false" outlineLevel="0" collapsed="false">
      <c r="E157" s="13" t="s">
        <v>116</v>
      </c>
    </row>
    <row r="158" s="13" customFormat="true" ht="12.75" hidden="false" customHeight="false" outlineLevel="0" collapsed="false">
      <c r="E158" s="13" t="s">
        <v>25</v>
      </c>
    </row>
    <row r="159" s="13" customFormat="true" ht="12.75" hidden="false" customHeight="false" outlineLevel="0" collapsed="false">
      <c r="E159" s="13" t="s">
        <v>117</v>
      </c>
    </row>
    <row r="160" s="13" customFormat="true" ht="12.75" hidden="false" customHeight="false" outlineLevel="0" collapsed="false">
      <c r="E160" s="13" t="s">
        <v>25</v>
      </c>
    </row>
    <row r="161" s="13" customFormat="true" ht="12.75" hidden="false" customHeight="false" outlineLevel="0" collapsed="false">
      <c r="E161" s="13" t="s">
        <v>116</v>
      </c>
    </row>
    <row r="162" s="13" customFormat="true" ht="12.75" hidden="false" customHeight="false" outlineLevel="0" collapsed="false">
      <c r="E162" s="13" t="s">
        <v>25</v>
      </c>
    </row>
    <row r="163" s="13" customFormat="true" ht="12.75" hidden="false" customHeight="false" outlineLevel="0" collapsed="false"/>
    <row r="164" s="13" customFormat="true" ht="12.75" hidden="false" customHeight="false" outlineLevel="0" collapsed="false">
      <c r="E164" s="13" t="s">
        <v>25</v>
      </c>
    </row>
    <row r="165" s="13" customFormat="true" ht="12.75" hidden="false" customHeight="false" outlineLevel="0" collapsed="false"/>
    <row r="166" s="13" customFormat="true" ht="12.75" hidden="false" customHeight="false" outlineLevel="0" collapsed="false">
      <c r="E166" s="13" t="s">
        <v>25</v>
      </c>
    </row>
    <row r="167" s="13" customFormat="true" ht="12.75" hidden="false" customHeight="false" outlineLevel="0" collapsed="false"/>
    <row r="168" s="13" customFormat="true" ht="12.75" hidden="false" customHeight="false" outlineLevel="0" collapsed="false">
      <c r="E168" s="13" t="s">
        <v>25</v>
      </c>
    </row>
    <row r="169" s="13" customFormat="true" ht="12.75" hidden="false" customHeight="false" outlineLevel="0" collapsed="false"/>
    <row r="170" s="13" customFormat="true" ht="12.75" hidden="false" customHeight="false" outlineLevel="0" collapsed="false">
      <c r="E170" s="13" t="s">
        <v>25</v>
      </c>
    </row>
    <row r="171" s="13" customFormat="true" ht="12.75" hidden="false" customHeight="false" outlineLevel="0" collapsed="false"/>
    <row r="172" s="13" customFormat="true" ht="12.75" hidden="false" customHeight="false" outlineLevel="0" collapsed="false">
      <c r="E172" s="13" t="s">
        <v>25</v>
      </c>
    </row>
    <row r="173" s="13" customFormat="true" ht="12.75" hidden="false" customHeight="false" outlineLevel="0" collapsed="false"/>
    <row r="174" s="13" customFormat="true" ht="12.75" hidden="false" customHeight="false" outlineLevel="0" collapsed="false">
      <c r="E174" s="13" t="s">
        <v>25</v>
      </c>
    </row>
    <row r="175" s="13" customFormat="true" ht="12.75" hidden="false" customHeight="false" outlineLevel="0" collapsed="false">
      <c r="E175" s="13" t="s">
        <v>116</v>
      </c>
    </row>
    <row r="176" s="13" customFormat="true" ht="12.75" hidden="false" customHeight="false" outlineLevel="0" collapsed="false">
      <c r="E176" s="13" t="s">
        <v>25</v>
      </c>
    </row>
    <row r="177" s="13" customFormat="true" ht="12.75" hidden="false" customHeight="false" outlineLevel="0" collapsed="false">
      <c r="E177" s="13" t="s">
        <v>116</v>
      </c>
    </row>
    <row r="178" s="13" customFormat="true" ht="12.75" hidden="false" customHeight="false" outlineLevel="0" collapsed="false">
      <c r="E178" s="13" t="s">
        <v>25</v>
      </c>
    </row>
    <row r="179" s="13" customFormat="true" ht="12.75" hidden="false" customHeight="false" outlineLevel="0" collapsed="false"/>
    <row r="180" s="13" customFormat="true" ht="12.75" hidden="false" customHeight="false" outlineLevel="0" collapsed="false">
      <c r="E180" s="13" t="s">
        <v>25</v>
      </c>
    </row>
    <row r="181" s="13" customFormat="true" ht="12.75" hidden="false" customHeight="false" outlineLevel="0" collapsed="false">
      <c r="E181" s="13" t="s">
        <v>117</v>
      </c>
    </row>
    <row r="182" s="13" customFormat="true" ht="12.75" hidden="false" customHeight="false" outlineLevel="0" collapsed="false">
      <c r="E182" s="13" t="s">
        <v>25</v>
      </c>
    </row>
    <row r="183" s="13" customFormat="true" ht="12.75" hidden="false" customHeight="false" outlineLevel="0" collapsed="false">
      <c r="E183" s="13" t="s">
        <v>116</v>
      </c>
    </row>
    <row r="184" s="13" customFormat="true" ht="12.75" hidden="false" customHeight="false" outlineLevel="0" collapsed="false">
      <c r="E184" s="13" t="s">
        <v>25</v>
      </c>
    </row>
    <row r="185" s="13" customFormat="true" ht="12.75" hidden="false" customHeight="false" outlineLevel="0" collapsed="false">
      <c r="E185" s="13" t="s">
        <v>117</v>
      </c>
    </row>
    <row r="186" s="13" customFormat="true" ht="12.75" hidden="false" customHeight="false" outlineLevel="0" collapsed="false">
      <c r="E186" s="13" t="s">
        <v>25</v>
      </c>
    </row>
    <row r="187" s="13" customFormat="true" ht="12.75" hidden="false" customHeight="false" outlineLevel="0" collapsed="false">
      <c r="E187" s="13" t="s">
        <v>116</v>
      </c>
    </row>
    <row r="188" s="13" customFormat="true" ht="12.75" hidden="false" customHeight="false" outlineLevel="0" collapsed="false">
      <c r="E188" s="13" t="s">
        <v>25</v>
      </c>
    </row>
    <row r="189" s="13" customFormat="true" ht="12.75" hidden="false" customHeight="false" outlineLevel="0" collapsed="false">
      <c r="E189" s="13" t="s">
        <v>116</v>
      </c>
    </row>
    <row r="190" s="13" customFormat="true" ht="12.75" hidden="false" customHeight="false" outlineLevel="0" collapsed="false">
      <c r="E190" s="13" t="s">
        <v>25</v>
      </c>
    </row>
    <row r="191" s="13" customFormat="true" ht="12.75" hidden="false" customHeight="false" outlineLevel="0" collapsed="false"/>
    <row r="192" s="13" customFormat="true" ht="12.75" hidden="false" customHeight="false" outlineLevel="0" collapsed="false">
      <c r="E192" s="13" t="s">
        <v>25</v>
      </c>
    </row>
    <row r="193" s="13" customFormat="true" ht="12.75" hidden="false" customHeight="false" outlineLevel="0" collapsed="false"/>
    <row r="194" s="13" customFormat="true" ht="12.75" hidden="false" customHeight="false" outlineLevel="0" collapsed="false">
      <c r="E194" s="13" t="s">
        <v>25</v>
      </c>
    </row>
    <row r="195" s="13" customFormat="true" ht="12.75" hidden="false" customHeight="false" outlineLevel="0" collapsed="false"/>
    <row r="196" s="13" customFormat="true" ht="12.75" hidden="false" customHeight="false" outlineLevel="0" collapsed="false">
      <c r="E196" s="13" t="s">
        <v>25</v>
      </c>
    </row>
    <row r="197" s="13" customFormat="true" ht="12.75" hidden="false" customHeight="false" outlineLevel="0" collapsed="false"/>
    <row r="198" s="13" customFormat="true" ht="12.75" hidden="false" customHeight="false" outlineLevel="0" collapsed="false">
      <c r="E198" s="13" t="s">
        <v>25</v>
      </c>
    </row>
    <row r="199" s="13" customFormat="true" ht="12.75" hidden="false" customHeight="false" outlineLevel="0" collapsed="false"/>
    <row r="200" s="13" customFormat="true" ht="12.75" hidden="false" customHeight="false" outlineLevel="0" collapsed="false">
      <c r="E200" s="13" t="s">
        <v>25</v>
      </c>
    </row>
    <row r="201" s="13" customFormat="true" ht="12.75" hidden="false" customHeight="false" outlineLevel="0" collapsed="false"/>
    <row r="202" s="13" customFormat="true" ht="12.75" hidden="false" customHeight="false" outlineLevel="0" collapsed="false"/>
    <row r="203" s="13" customFormat="true" ht="12.75" hidden="false" customHeight="false" outlineLevel="0" collapsed="false"/>
    <row r="204" s="13" customFormat="true" ht="12.75" hidden="false" customHeight="false" outlineLevel="0" collapsed="false"/>
    <row r="205" s="13" customFormat="true" ht="12.75" hidden="false" customHeight="false" outlineLevel="0" collapsed="false"/>
    <row r="206" s="13" customFormat="true" ht="12.75" hidden="false" customHeight="false" outlineLevel="0" collapsed="false"/>
    <row r="207" s="13" customFormat="true" ht="12.75" hidden="false" customHeight="false" outlineLevel="0" collapsed="false"/>
    <row r="208" s="13" customFormat="true" ht="12.75" hidden="false" customHeight="false" outlineLevel="0" collapsed="false"/>
    <row r="209" s="13" customFormat="true" ht="12.75" hidden="false" customHeight="false" outlineLevel="0" collapsed="false"/>
    <row r="210" s="13" customFormat="true" ht="12.75" hidden="false" customHeight="false" outlineLevel="0" collapsed="false"/>
    <row r="211" s="13" customFormat="true" ht="12.75" hidden="false" customHeight="false" outlineLevel="0" collapsed="false"/>
    <row r="212" s="13" customFormat="true" ht="12.75" hidden="false" customHeight="false" outlineLevel="0" collapsed="false"/>
    <row r="213" customFormat="false" ht="12.75" hidden="false" customHeight="false" outlineLevel="0" collapsed="false">
      <c r="B213" s="13"/>
    </row>
    <row r="214" customFormat="false" ht="12.75" hidden="false" customHeight="false" outlineLevel="0" collapsed="false">
      <c r="B214" s="13"/>
    </row>
    <row r="215" customFormat="false" ht="12.75" hidden="false" customHeight="false" outlineLevel="0" collapsed="false">
      <c r="B215" s="13"/>
    </row>
    <row r="216" customFormat="false" ht="12.75" hidden="false" customHeight="false" outlineLevel="0" collapsed="false">
      <c r="B216" s="13"/>
    </row>
    <row r="217" customFormat="false" ht="12.75" hidden="false" customHeight="false" outlineLevel="0" collapsed="false">
      <c r="B217" s="13"/>
      <c r="C217" s="13"/>
      <c r="E217" s="0" t="s">
        <v>25</v>
      </c>
    </row>
    <row r="218" customFormat="false" ht="12.75" hidden="false" customHeight="false" outlineLevel="0" collapsed="false">
      <c r="B218" s="13"/>
      <c r="C218" s="13"/>
      <c r="E218" s="0" t="s">
        <v>25</v>
      </c>
    </row>
  </sheetData>
  <mergeCells count="3">
    <mergeCell ref="B2:F4"/>
    <mergeCell ref="H2:O4"/>
    <mergeCell ref="H6:H111"/>
  </mergeCells>
  <dataValidations count="2">
    <dataValidation allowBlank="true" errorStyle="stop" operator="between" showDropDown="false" showErrorMessage="true" showInputMessage="true" sqref="K10:K111" type="list">
      <formula1>Roles</formula1>
      <formula2>0</formula2>
    </dataValidation>
    <dataValidation allowBlank="true" errorStyle="stop" operator="between" showDropDown="false" showErrorMessage="true" showInputMessage="true" sqref="J10:J109" type="list">
      <formula1>team_dropdown</formula1>
      <formula2>0</formula2>
    </dataValidation>
  </dataValidations>
  <printOptions headings="false" gridLines="false" gridLinesSet="true" horizontalCentered="false" verticalCentered="false"/>
  <pageMargins left="0.7875" right="0.7875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BC727"/>
  <sheetViews>
    <sheetView showFormulas="false" showGridLines="false" showRowColHeaders="true" showZeros="false" rightToLeft="false" tabSelected="false" showOutlineSymbols="true" defaultGridColor="true" view="normal" topLeftCell="A1" colorId="64" zoomScale="79" zoomScaleNormal="79" zoomScalePageLayoutView="100" workbookViewId="0">
      <pane xSplit="0" ySplit="10" topLeftCell="A55" activePane="bottomLeft" state="frozen"/>
      <selection pane="topLeft" activeCell="A1" activeCellId="0" sqref="A1"/>
      <selection pane="bottomLeft" activeCell="O46" activeCellId="0" sqref="O46"/>
    </sheetView>
  </sheetViews>
  <sheetFormatPr defaultColWidth="11.42578125" defaultRowHeight="15" zeroHeight="false" outlineLevelRow="1" outlineLevelCol="2"/>
  <cols>
    <col collapsed="false" customWidth="true" hidden="false" outlineLevel="0" max="1" min="1" style="40" width="3.15"/>
    <col collapsed="false" customWidth="true" hidden="false" outlineLevel="0" max="2" min="2" style="40" width="53.14"/>
    <col collapsed="false" customWidth="true" hidden="false" outlineLevel="0" max="3" min="3" style="40" width="14.86"/>
    <col collapsed="false" customWidth="true" hidden="true" outlineLevel="1" max="4" min="4" style="40" width="21.14"/>
    <col collapsed="false" customWidth="true" hidden="false" outlineLevel="0" max="5" min="5" style="40" width="16.57"/>
    <col collapsed="false" customWidth="true" hidden="false" outlineLevel="0" max="6" min="6" style="40" width="23.71"/>
    <col collapsed="false" customWidth="true" hidden="true" outlineLevel="1" max="7" min="7" style="40" width="2.15"/>
    <col collapsed="false" customWidth="true" hidden="true" outlineLevel="2" max="11" min="8" style="40" width="14.14"/>
    <col collapsed="true" customWidth="true" hidden="true" outlineLevel="1" max="12" min="12" style="40" width="14.14"/>
    <col collapsed="false" customWidth="true" hidden="true" outlineLevel="2" max="13" min="13" style="40" width="14.14"/>
    <col collapsed="false" customWidth="true" hidden="true" outlineLevel="1" max="14" min="14" style="40" width="28.42"/>
    <col collapsed="false" customWidth="true" hidden="true" outlineLevel="1" max="15" min="15" style="40" width="5.71"/>
    <col collapsed="false" customWidth="true" hidden="false" outlineLevel="0" max="16" min="16" style="40" width="30.57"/>
    <col collapsed="false" customWidth="true" hidden="true" outlineLevel="1" max="17" min="17" style="40" width="37.57"/>
    <col collapsed="false" customWidth="true" hidden="false" outlineLevel="0" max="18" min="18" style="40" width="2.15"/>
    <col collapsed="false" customWidth="true" hidden="false" outlineLevel="0" max="54" min="19" style="40" width="8.15"/>
    <col collapsed="false" customWidth="false" hidden="false" outlineLevel="0" max="16384" min="55" style="41" width="11.43"/>
  </cols>
  <sheetData>
    <row r="1" customFormat="false" ht="24" hidden="false" customHeight="false" outlineLevel="0" collapsed="false">
      <c r="B1" s="42" t="s">
        <v>118</v>
      </c>
    </row>
    <row r="2" s="49" customFormat="true" ht="34.5" hidden="false" customHeight="false" outlineLevel="0" collapsed="false">
      <c r="A2" s="40"/>
      <c r="B2" s="43" t="s">
        <v>119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  <c r="Q2" s="45"/>
      <c r="R2" s="46"/>
      <c r="S2" s="47" t="n">
        <v>2023</v>
      </c>
      <c r="T2" s="47"/>
      <c r="U2" s="47"/>
      <c r="V2" s="47"/>
      <c r="W2" s="47"/>
      <c r="X2" s="47"/>
      <c r="Y2" s="48" t="n">
        <v>2023</v>
      </c>
      <c r="Z2" s="48"/>
      <c r="AA2" s="48"/>
      <c r="AB2" s="48"/>
      <c r="AC2" s="48"/>
      <c r="AD2" s="48"/>
      <c r="AE2" s="47" t="n">
        <v>2024</v>
      </c>
      <c r="AF2" s="47"/>
      <c r="AG2" s="47"/>
      <c r="AH2" s="47"/>
      <c r="AI2" s="47"/>
      <c r="AJ2" s="47"/>
      <c r="AK2" s="48" t="n">
        <v>2024</v>
      </c>
      <c r="AL2" s="48"/>
      <c r="AM2" s="48"/>
      <c r="AN2" s="48"/>
      <c r="AO2" s="48"/>
      <c r="AP2" s="48"/>
      <c r="AQ2" s="47" t="n">
        <v>2025</v>
      </c>
      <c r="AR2" s="47"/>
      <c r="AS2" s="47"/>
      <c r="AT2" s="47"/>
      <c r="AU2" s="47"/>
      <c r="AV2" s="47"/>
      <c r="AW2" s="48" t="n">
        <v>2025</v>
      </c>
      <c r="AX2" s="48"/>
      <c r="AY2" s="48"/>
      <c r="AZ2" s="48"/>
      <c r="BA2" s="48"/>
      <c r="BB2" s="48"/>
    </row>
    <row r="3" s="49" customFormat="true" ht="21" hidden="false" customHeight="true" outlineLevel="0" collapsed="false">
      <c r="A3" s="50"/>
      <c r="B3" s="50"/>
      <c r="C3" s="46"/>
      <c r="D3" s="46"/>
      <c r="E3" s="46"/>
      <c r="F3" s="50"/>
      <c r="G3" s="51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52" t="s">
        <v>120</v>
      </c>
      <c r="T3" s="52"/>
      <c r="U3" s="52"/>
      <c r="V3" s="52" t="s">
        <v>121</v>
      </c>
      <c r="W3" s="52"/>
      <c r="X3" s="52"/>
      <c r="Y3" s="52" t="s">
        <v>122</v>
      </c>
      <c r="Z3" s="52"/>
      <c r="AA3" s="52"/>
      <c r="AB3" s="52" t="s">
        <v>123</v>
      </c>
      <c r="AC3" s="52"/>
      <c r="AD3" s="52"/>
      <c r="AE3" s="52" t="s">
        <v>124</v>
      </c>
      <c r="AF3" s="52"/>
      <c r="AG3" s="52"/>
      <c r="AH3" s="52" t="s">
        <v>125</v>
      </c>
      <c r="AI3" s="52"/>
      <c r="AJ3" s="52"/>
      <c r="AK3" s="52" t="s">
        <v>126</v>
      </c>
      <c r="AL3" s="52"/>
      <c r="AM3" s="52"/>
      <c r="AN3" s="52" t="s">
        <v>127</v>
      </c>
      <c r="AO3" s="52"/>
      <c r="AP3" s="52"/>
      <c r="AQ3" s="52" t="s">
        <v>128</v>
      </c>
      <c r="AR3" s="52"/>
      <c r="AS3" s="52"/>
      <c r="AT3" s="52" t="s">
        <v>129</v>
      </c>
      <c r="AU3" s="52"/>
      <c r="AV3" s="52"/>
      <c r="AW3" s="52" t="s">
        <v>130</v>
      </c>
      <c r="AX3" s="52"/>
      <c r="AY3" s="52"/>
      <c r="AZ3" s="52" t="s">
        <v>131</v>
      </c>
      <c r="BA3" s="52"/>
      <c r="BB3" s="52"/>
    </row>
    <row r="4" s="57" customFormat="true" ht="64.5" hidden="false" customHeight="true" outlineLevel="0" collapsed="false">
      <c r="A4" s="53"/>
      <c r="B4" s="53"/>
      <c r="C4" s="53"/>
      <c r="D4" s="53"/>
      <c r="E4" s="53"/>
      <c r="F4" s="53"/>
      <c r="G4" s="53"/>
      <c r="H4" s="53"/>
      <c r="I4" s="53"/>
      <c r="J4" s="53"/>
      <c r="K4" s="54"/>
      <c r="L4" s="54"/>
      <c r="M4" s="54"/>
      <c r="N4" s="54"/>
      <c r="O4" s="53"/>
      <c r="P4" s="53"/>
      <c r="Q4" s="54"/>
      <c r="R4" s="53"/>
      <c r="S4" s="55" t="s">
        <v>132</v>
      </c>
      <c r="T4" s="56" t="s">
        <v>133</v>
      </c>
      <c r="U4" s="55" t="s">
        <v>134</v>
      </c>
      <c r="V4" s="56" t="s">
        <v>135</v>
      </c>
      <c r="W4" s="55" t="s">
        <v>136</v>
      </c>
      <c r="X4" s="56" t="s">
        <v>137</v>
      </c>
      <c r="Y4" s="55" t="s">
        <v>138</v>
      </c>
      <c r="Z4" s="56" t="s">
        <v>139</v>
      </c>
      <c r="AA4" s="55" t="s">
        <v>140</v>
      </c>
      <c r="AB4" s="56" t="s">
        <v>141</v>
      </c>
      <c r="AC4" s="55" t="s">
        <v>142</v>
      </c>
      <c r="AD4" s="56" t="s">
        <v>143</v>
      </c>
      <c r="AE4" s="55" t="s">
        <v>132</v>
      </c>
      <c r="AF4" s="56" t="s">
        <v>133</v>
      </c>
      <c r="AG4" s="55" t="s">
        <v>134</v>
      </c>
      <c r="AH4" s="56" t="s">
        <v>135</v>
      </c>
      <c r="AI4" s="55" t="s">
        <v>136</v>
      </c>
      <c r="AJ4" s="56" t="s">
        <v>137</v>
      </c>
      <c r="AK4" s="55" t="s">
        <v>138</v>
      </c>
      <c r="AL4" s="56" t="s">
        <v>139</v>
      </c>
      <c r="AM4" s="55" t="s">
        <v>140</v>
      </c>
      <c r="AN4" s="56" t="s">
        <v>141</v>
      </c>
      <c r="AO4" s="55" t="s">
        <v>142</v>
      </c>
      <c r="AP4" s="56" t="s">
        <v>143</v>
      </c>
      <c r="AQ4" s="55" t="s">
        <v>132</v>
      </c>
      <c r="AR4" s="56" t="s">
        <v>133</v>
      </c>
      <c r="AS4" s="55" t="s">
        <v>134</v>
      </c>
      <c r="AT4" s="56" t="s">
        <v>135</v>
      </c>
      <c r="AU4" s="55" t="s">
        <v>136</v>
      </c>
      <c r="AV4" s="56" t="s">
        <v>137</v>
      </c>
      <c r="AW4" s="55" t="s">
        <v>138</v>
      </c>
      <c r="AX4" s="56" t="s">
        <v>139</v>
      </c>
      <c r="AY4" s="55" t="s">
        <v>140</v>
      </c>
      <c r="AZ4" s="56" t="s">
        <v>141</v>
      </c>
      <c r="BA4" s="55" t="s">
        <v>142</v>
      </c>
      <c r="BB4" s="56" t="s">
        <v>143</v>
      </c>
    </row>
    <row r="5" s="49" customFormat="true" ht="57.75" hidden="true" customHeight="true" outlineLevel="1" collapsed="false">
      <c r="A5" s="50"/>
      <c r="B5" s="50"/>
      <c r="C5" s="50"/>
      <c r="D5" s="50"/>
      <c r="E5" s="50"/>
      <c r="F5" s="50"/>
      <c r="G5" s="50"/>
      <c r="H5" s="50"/>
      <c r="I5" s="50"/>
      <c r="J5" s="50"/>
      <c r="O5" s="50"/>
      <c r="P5" s="50"/>
      <c r="R5" s="50"/>
      <c r="S5" s="58" t="n">
        <f aca="false">DATE(2023,1,1)</f>
        <v>44927</v>
      </c>
      <c r="T5" s="58" t="n">
        <f aca="false">DATE(2023,2,1)</f>
        <v>44958</v>
      </c>
      <c r="U5" s="58" t="n">
        <f aca="false">DATE(2023,3,1)</f>
        <v>44986</v>
      </c>
      <c r="V5" s="58" t="n">
        <f aca="false">DATE(2023,4,1)</f>
        <v>45017</v>
      </c>
      <c r="W5" s="58" t="n">
        <f aca="false">DATE(2023,5,1)</f>
        <v>45047</v>
      </c>
      <c r="X5" s="58" t="n">
        <f aca="false">DATE(2023,6,1)</f>
        <v>45078</v>
      </c>
      <c r="Y5" s="58" t="n">
        <f aca="false">DATE(2023,7,1)</f>
        <v>45108</v>
      </c>
      <c r="Z5" s="58" t="n">
        <f aca="false">DATE(2023,8,1)</f>
        <v>45139</v>
      </c>
      <c r="AA5" s="58" t="n">
        <f aca="false">DATE(2023,9,1)</f>
        <v>45170</v>
      </c>
      <c r="AB5" s="58" t="n">
        <f aca="false">DATE(2023,10,1)</f>
        <v>45200</v>
      </c>
      <c r="AC5" s="58" t="n">
        <f aca="false">DATE(2023,11,1)</f>
        <v>45231</v>
      </c>
      <c r="AD5" s="58" t="n">
        <f aca="false">DATE(2023,12,1)</f>
        <v>45261</v>
      </c>
      <c r="AE5" s="58" t="n">
        <f aca="false">DATE(2024,1,1)</f>
        <v>45292</v>
      </c>
      <c r="AF5" s="58" t="n">
        <f aca="false">DATE(2024,2,1)</f>
        <v>45323</v>
      </c>
      <c r="AG5" s="58" t="n">
        <f aca="false">DATE(2024,3,1)</f>
        <v>45352</v>
      </c>
      <c r="AH5" s="58" t="n">
        <f aca="false">DATE(2024,4,1)</f>
        <v>45383</v>
      </c>
      <c r="AI5" s="58" t="n">
        <f aca="false">DATE(2024,5,1)</f>
        <v>45413</v>
      </c>
      <c r="AJ5" s="58" t="n">
        <f aca="false">DATE(2024,6,1)</f>
        <v>45444</v>
      </c>
      <c r="AK5" s="58" t="n">
        <f aca="false">DATE(2024,7,1)</f>
        <v>45474</v>
      </c>
      <c r="AL5" s="58" t="n">
        <f aca="false">DATE(2024,8,1)</f>
        <v>45505</v>
      </c>
      <c r="AM5" s="58" t="n">
        <f aca="false">DATE(2024,9,1)</f>
        <v>45536</v>
      </c>
      <c r="AN5" s="58" t="n">
        <f aca="false">DATE(2024,10,1)</f>
        <v>45566</v>
      </c>
      <c r="AO5" s="58" t="n">
        <f aca="false">DATE(2024,11,1)</f>
        <v>45597</v>
      </c>
      <c r="AP5" s="58" t="n">
        <f aca="false">DATE(2024,12,1)</f>
        <v>45627</v>
      </c>
      <c r="AQ5" s="58" t="n">
        <f aca="false">DATE(2025,1,1)</f>
        <v>45658</v>
      </c>
      <c r="AR5" s="58" t="n">
        <f aca="false">DATE(2025,2,1)</f>
        <v>45689</v>
      </c>
      <c r="AS5" s="58" t="n">
        <f aca="false">DATE(2025,3,1)</f>
        <v>45717</v>
      </c>
      <c r="AT5" s="58" t="n">
        <f aca="false">DATE(2025,4,1)</f>
        <v>45748</v>
      </c>
      <c r="AU5" s="58" t="n">
        <f aca="false">DATE(2025,5,1)</f>
        <v>45778</v>
      </c>
      <c r="AV5" s="58" t="n">
        <f aca="false">DATE(2025,6,1)</f>
        <v>45809</v>
      </c>
      <c r="AW5" s="58" t="n">
        <f aca="false">DATE(2025,7,1)</f>
        <v>45839</v>
      </c>
      <c r="AX5" s="58" t="n">
        <f aca="false">DATE(2025,8,1)</f>
        <v>45870</v>
      </c>
      <c r="AY5" s="58" t="n">
        <f aca="false">DATE(2025,9,1)</f>
        <v>45901</v>
      </c>
      <c r="AZ5" s="58" t="n">
        <f aca="false">DATE(2025,10,1)</f>
        <v>45931</v>
      </c>
      <c r="BA5" s="58" t="n">
        <f aca="false">DATE(2025,11,1)</f>
        <v>45962</v>
      </c>
      <c r="BB5" s="58" t="n">
        <f aca="false">DATE(2025,12,1)</f>
        <v>45992</v>
      </c>
    </row>
    <row r="6" s="49" customFormat="true" ht="15" hidden="false" customHeight="true" outlineLevel="0" collapsed="false">
      <c r="A6" s="50"/>
      <c r="B6" s="59" t="s">
        <v>144</v>
      </c>
      <c r="C6" s="59" t="s">
        <v>144</v>
      </c>
      <c r="D6" s="60" t="s">
        <v>145</v>
      </c>
      <c r="E6" s="59" t="s">
        <v>144</v>
      </c>
      <c r="F6" s="59" t="s">
        <v>144</v>
      </c>
      <c r="G6" s="61" t="s">
        <v>146</v>
      </c>
      <c r="H6" s="62" t="s">
        <v>146</v>
      </c>
      <c r="I6" s="62" t="s">
        <v>146</v>
      </c>
      <c r="J6" s="62" t="s">
        <v>146</v>
      </c>
      <c r="K6" s="62" t="s">
        <v>146</v>
      </c>
      <c r="L6" s="63" t="s">
        <v>147</v>
      </c>
      <c r="M6" s="62" t="s">
        <v>146</v>
      </c>
      <c r="N6" s="63" t="s">
        <v>147</v>
      </c>
      <c r="O6" s="63" t="s">
        <v>147</v>
      </c>
      <c r="P6" s="59" t="s">
        <v>144</v>
      </c>
      <c r="Q6" s="60" t="s">
        <v>145</v>
      </c>
      <c r="R6" s="50"/>
      <c r="S6" s="64" t="n">
        <v>1</v>
      </c>
      <c r="T6" s="64" t="n">
        <v>2</v>
      </c>
      <c r="U6" s="64" t="n">
        <v>3</v>
      </c>
      <c r="V6" s="64" t="n">
        <v>4</v>
      </c>
      <c r="W6" s="64" t="n">
        <v>5</v>
      </c>
      <c r="X6" s="64" t="n">
        <v>6</v>
      </c>
      <c r="Y6" s="64" t="n">
        <v>7</v>
      </c>
      <c r="Z6" s="64" t="n">
        <v>8</v>
      </c>
      <c r="AA6" s="64" t="n">
        <v>9</v>
      </c>
      <c r="AB6" s="64" t="n">
        <v>10</v>
      </c>
      <c r="AC6" s="64" t="n">
        <v>11</v>
      </c>
      <c r="AD6" s="64" t="n">
        <v>12</v>
      </c>
      <c r="AE6" s="64" t="n">
        <v>1</v>
      </c>
      <c r="AF6" s="64" t="n">
        <v>2</v>
      </c>
      <c r="AG6" s="64" t="n">
        <v>3</v>
      </c>
      <c r="AH6" s="64" t="n">
        <v>4</v>
      </c>
      <c r="AI6" s="64" t="n">
        <v>5</v>
      </c>
      <c r="AJ6" s="64" t="n">
        <v>6</v>
      </c>
      <c r="AK6" s="64" t="n">
        <v>7</v>
      </c>
      <c r="AL6" s="64" t="n">
        <v>8</v>
      </c>
      <c r="AM6" s="64" t="n">
        <v>9</v>
      </c>
      <c r="AN6" s="64" t="n">
        <v>10</v>
      </c>
      <c r="AO6" s="64" t="n">
        <v>11</v>
      </c>
      <c r="AP6" s="64" t="n">
        <v>12</v>
      </c>
      <c r="AQ6" s="64" t="n">
        <v>1</v>
      </c>
      <c r="AR6" s="64" t="n">
        <v>2</v>
      </c>
      <c r="AS6" s="64" t="n">
        <v>3</v>
      </c>
      <c r="AT6" s="64" t="n">
        <v>4</v>
      </c>
      <c r="AU6" s="64" t="n">
        <v>5</v>
      </c>
      <c r="AV6" s="64" t="n">
        <v>6</v>
      </c>
      <c r="AW6" s="64" t="n">
        <v>7</v>
      </c>
      <c r="AX6" s="64" t="n">
        <v>8</v>
      </c>
      <c r="AY6" s="64" t="n">
        <v>9</v>
      </c>
      <c r="AZ6" s="64" t="n">
        <v>10</v>
      </c>
      <c r="BA6" s="64" t="n">
        <v>11</v>
      </c>
      <c r="BB6" s="64" t="n">
        <v>12</v>
      </c>
    </row>
    <row r="7" s="49" customFormat="true" ht="15" hidden="true" customHeight="true" outlineLevel="1" collapsed="false">
      <c r="A7" s="50"/>
      <c r="B7" s="50"/>
      <c r="C7" s="50"/>
      <c r="D7" s="50"/>
      <c r="E7" s="50"/>
      <c r="F7" s="50"/>
      <c r="G7" s="50"/>
      <c r="H7" s="50"/>
      <c r="I7" s="50"/>
      <c r="J7" s="50"/>
      <c r="O7" s="50"/>
      <c r="P7" s="65" t="s">
        <v>148</v>
      </c>
      <c r="R7" s="50"/>
      <c r="S7" s="66" t="n">
        <v>21</v>
      </c>
      <c r="T7" s="66" t="n">
        <v>20</v>
      </c>
      <c r="U7" s="66" t="n">
        <v>23</v>
      </c>
      <c r="V7" s="66" t="n">
        <v>18</v>
      </c>
      <c r="W7" s="66" t="n">
        <v>21</v>
      </c>
      <c r="X7" s="66" t="n">
        <v>20</v>
      </c>
      <c r="Y7" s="66" t="n">
        <v>21</v>
      </c>
      <c r="Z7" s="66" t="n">
        <v>23</v>
      </c>
      <c r="AA7" s="66" t="n">
        <v>21</v>
      </c>
      <c r="AB7" s="66" t="n">
        <v>22</v>
      </c>
      <c r="AC7" s="66" t="n">
        <v>22</v>
      </c>
      <c r="AD7" s="66" t="n">
        <v>19</v>
      </c>
      <c r="AE7" s="66" t="n">
        <v>22</v>
      </c>
      <c r="AF7" s="66" t="n">
        <v>21</v>
      </c>
      <c r="AG7" s="66" t="n">
        <v>20</v>
      </c>
      <c r="AH7" s="66" t="n">
        <v>21</v>
      </c>
      <c r="AI7" s="66" t="n">
        <v>19</v>
      </c>
      <c r="AJ7" s="66" t="n">
        <v>20</v>
      </c>
      <c r="AK7" s="66" t="n">
        <v>23</v>
      </c>
      <c r="AL7" s="66" t="n">
        <v>21</v>
      </c>
      <c r="AM7" s="66" t="n">
        <v>21</v>
      </c>
      <c r="AN7" s="66" t="n">
        <v>22</v>
      </c>
      <c r="AO7" s="66" t="n">
        <v>20</v>
      </c>
      <c r="AP7" s="66" t="n">
        <v>19</v>
      </c>
      <c r="AQ7" s="66" t="n">
        <v>21</v>
      </c>
      <c r="AR7" s="66" t="n">
        <v>20</v>
      </c>
      <c r="AS7" s="66" t="n">
        <v>21</v>
      </c>
      <c r="AT7" s="66" t="n">
        <v>20</v>
      </c>
      <c r="AU7" s="66" t="n">
        <v>20</v>
      </c>
      <c r="AV7" s="66" t="n">
        <v>19</v>
      </c>
      <c r="AW7" s="66" t="n">
        <v>23</v>
      </c>
      <c r="AX7" s="66" t="n">
        <v>20</v>
      </c>
      <c r="AY7" s="66" t="n">
        <v>22</v>
      </c>
      <c r="AZ7" s="66" t="n">
        <v>22</v>
      </c>
      <c r="BA7" s="66" t="n">
        <v>20</v>
      </c>
      <c r="BB7" s="66" t="n">
        <v>20</v>
      </c>
    </row>
    <row r="8" s="49" customFormat="true" ht="15" hidden="true" customHeight="true" outlineLevel="1" collapsed="false">
      <c r="A8" s="50"/>
      <c r="B8" s="50"/>
      <c r="C8" s="50"/>
      <c r="D8" s="50"/>
      <c r="E8" s="50"/>
      <c r="F8" s="50"/>
      <c r="G8" s="50"/>
      <c r="H8" s="50"/>
      <c r="I8" s="50"/>
      <c r="J8" s="50"/>
      <c r="O8" s="50"/>
      <c r="P8" s="65" t="s">
        <v>149</v>
      </c>
      <c r="R8" s="50"/>
      <c r="S8" s="67" t="n">
        <f aca="false">S$7*8</f>
        <v>168</v>
      </c>
      <c r="T8" s="67" t="n">
        <f aca="false">T$7*8</f>
        <v>160</v>
      </c>
      <c r="U8" s="67" t="n">
        <f aca="false">U$7*8</f>
        <v>184</v>
      </c>
      <c r="V8" s="67" t="n">
        <f aca="false">V$7*8</f>
        <v>144</v>
      </c>
      <c r="W8" s="67" t="n">
        <f aca="false">W$7*8</f>
        <v>168</v>
      </c>
      <c r="X8" s="67" t="n">
        <f aca="false">X$7*8</f>
        <v>160</v>
      </c>
      <c r="Y8" s="67" t="n">
        <f aca="false">Y$7*8</f>
        <v>168</v>
      </c>
      <c r="Z8" s="67" t="n">
        <f aca="false">Z$7*8</f>
        <v>184</v>
      </c>
      <c r="AA8" s="67" t="n">
        <f aca="false">AA$7*8</f>
        <v>168</v>
      </c>
      <c r="AB8" s="67" t="n">
        <f aca="false">AB$7*8</f>
        <v>176</v>
      </c>
      <c r="AC8" s="67" t="n">
        <f aca="false">AC$7*8</f>
        <v>176</v>
      </c>
      <c r="AD8" s="67" t="n">
        <f aca="false">AD$7*8</f>
        <v>152</v>
      </c>
      <c r="AE8" s="67" t="n">
        <f aca="false">AE$7*8</f>
        <v>176</v>
      </c>
      <c r="AF8" s="67" t="n">
        <f aca="false">AF$7*8</f>
        <v>168</v>
      </c>
      <c r="AG8" s="67" t="n">
        <f aca="false">AG$7*8</f>
        <v>160</v>
      </c>
      <c r="AH8" s="67" t="n">
        <f aca="false">AH$7*8</f>
        <v>168</v>
      </c>
      <c r="AI8" s="67" t="n">
        <f aca="false">AI$7*8</f>
        <v>152</v>
      </c>
      <c r="AJ8" s="67" t="n">
        <f aca="false">AJ$7*8</f>
        <v>160</v>
      </c>
      <c r="AK8" s="67" t="n">
        <f aca="false">AK$7*8</f>
        <v>184</v>
      </c>
      <c r="AL8" s="67" t="n">
        <f aca="false">AL$7*8</f>
        <v>168</v>
      </c>
      <c r="AM8" s="67" t="n">
        <f aca="false">AM$7*8</f>
        <v>168</v>
      </c>
      <c r="AN8" s="67" t="n">
        <f aca="false">AN$7*8</f>
        <v>176</v>
      </c>
      <c r="AO8" s="67" t="n">
        <f aca="false">AO$7*8</f>
        <v>160</v>
      </c>
      <c r="AP8" s="67" t="n">
        <f aca="false">AP$7*8</f>
        <v>152</v>
      </c>
      <c r="AQ8" s="67" t="n">
        <f aca="false">AQ$7*8</f>
        <v>168</v>
      </c>
      <c r="AR8" s="67" t="n">
        <f aca="false">AR$7*8</f>
        <v>160</v>
      </c>
      <c r="AS8" s="67" t="n">
        <f aca="false">AS$7*8</f>
        <v>168</v>
      </c>
      <c r="AT8" s="67" t="n">
        <f aca="false">AT$7*8</f>
        <v>160</v>
      </c>
      <c r="AU8" s="67" t="n">
        <f aca="false">AU$7*8</f>
        <v>160</v>
      </c>
      <c r="AV8" s="67" t="n">
        <f aca="false">AV$7*8</f>
        <v>152</v>
      </c>
      <c r="AW8" s="67" t="n">
        <f aca="false">AW$7*8</f>
        <v>184</v>
      </c>
      <c r="AX8" s="67" t="n">
        <f aca="false">AX$7*8</f>
        <v>160</v>
      </c>
      <c r="AY8" s="67" t="n">
        <f aca="false">AY$7*8</f>
        <v>176</v>
      </c>
      <c r="AZ8" s="67" t="n">
        <f aca="false">AZ$7*8</f>
        <v>176</v>
      </c>
      <c r="BA8" s="67" t="n">
        <f aca="false">BA$7*8</f>
        <v>160</v>
      </c>
      <c r="BB8" s="67" t="n">
        <f aca="false">BB$7*8</f>
        <v>160</v>
      </c>
    </row>
    <row r="9" s="49" customFormat="true" ht="15" hidden="true" customHeight="true" outlineLevel="1" collapsed="false">
      <c r="A9" s="50"/>
      <c r="B9" s="50"/>
      <c r="C9" s="50"/>
      <c r="D9" s="50"/>
      <c r="E9" s="50"/>
      <c r="F9" s="50"/>
      <c r="G9" s="50"/>
      <c r="H9" s="50"/>
      <c r="I9" s="50"/>
      <c r="J9" s="50"/>
      <c r="O9" s="50"/>
      <c r="P9" s="65" t="s">
        <v>150</v>
      </c>
      <c r="R9" s="50"/>
      <c r="S9" s="67" t="n">
        <f aca="false">S$8*ProdFac</f>
        <v>134.4</v>
      </c>
      <c r="T9" s="67" t="n">
        <f aca="false">T$8*ProdFac</f>
        <v>128</v>
      </c>
      <c r="U9" s="67" t="n">
        <f aca="false">U$8*ProdFac</f>
        <v>147.2</v>
      </c>
      <c r="V9" s="67" t="n">
        <f aca="false">V$8*ProdFac</f>
        <v>115.2</v>
      </c>
      <c r="W9" s="67" t="n">
        <f aca="false">W$8*ProdFac</f>
        <v>134.4</v>
      </c>
      <c r="X9" s="67" t="n">
        <f aca="false">X$8*ProdFac</f>
        <v>128</v>
      </c>
      <c r="Y9" s="67" t="n">
        <f aca="false">Y$8*ProdFac</f>
        <v>134.4</v>
      </c>
      <c r="Z9" s="67" t="n">
        <f aca="false">Z$8*ProdFac</f>
        <v>147.2</v>
      </c>
      <c r="AA9" s="67" t="n">
        <f aca="false">AA$8*ProdFac</f>
        <v>134.4</v>
      </c>
      <c r="AB9" s="67" t="n">
        <f aca="false">AB$8*ProdFac</f>
        <v>140.8</v>
      </c>
      <c r="AC9" s="67" t="n">
        <f aca="false">AC$8*ProdFac</f>
        <v>140.8</v>
      </c>
      <c r="AD9" s="67" t="n">
        <f aca="false">AD$8*ProdFac</f>
        <v>121.6</v>
      </c>
      <c r="AE9" s="67" t="n">
        <f aca="false">AE$8*ProdFac</f>
        <v>140.8</v>
      </c>
      <c r="AF9" s="67" t="n">
        <f aca="false">AF$8*ProdFac</f>
        <v>134.4</v>
      </c>
      <c r="AG9" s="67" t="n">
        <f aca="false">AG$8*ProdFac</f>
        <v>128</v>
      </c>
      <c r="AH9" s="67" t="n">
        <f aca="false">AH$8*ProdFac</f>
        <v>134.4</v>
      </c>
      <c r="AI9" s="67" t="n">
        <f aca="false">AI$8*ProdFac</f>
        <v>121.6</v>
      </c>
      <c r="AJ9" s="67" t="n">
        <f aca="false">AJ$8*ProdFac</f>
        <v>128</v>
      </c>
      <c r="AK9" s="67" t="n">
        <f aca="false">AK$8*ProdFac</f>
        <v>147.2</v>
      </c>
      <c r="AL9" s="67" t="n">
        <f aca="false">AL$8*ProdFac</f>
        <v>134.4</v>
      </c>
      <c r="AM9" s="67" t="n">
        <f aca="false">AM$8*ProdFac</f>
        <v>134.4</v>
      </c>
      <c r="AN9" s="67" t="n">
        <f aca="false">AN$8*ProdFac</f>
        <v>140.8</v>
      </c>
      <c r="AO9" s="67" t="n">
        <f aca="false">AO$8*ProdFac</f>
        <v>128</v>
      </c>
      <c r="AP9" s="67" t="n">
        <f aca="false">AP$8*ProdFac</f>
        <v>121.6</v>
      </c>
      <c r="AQ9" s="67" t="n">
        <f aca="false">AQ$8*ProdFac</f>
        <v>134.4</v>
      </c>
      <c r="AR9" s="67" t="n">
        <f aca="false">AR$8*ProdFac</f>
        <v>128</v>
      </c>
      <c r="AS9" s="67" t="n">
        <f aca="false">AS$8*ProdFac</f>
        <v>134.4</v>
      </c>
      <c r="AT9" s="67" t="n">
        <f aca="false">AT$8*ProdFac</f>
        <v>128</v>
      </c>
      <c r="AU9" s="67" t="n">
        <f aca="false">AU$8*ProdFac</f>
        <v>128</v>
      </c>
      <c r="AV9" s="67" t="n">
        <f aca="false">AV$8*ProdFac</f>
        <v>121.6</v>
      </c>
      <c r="AW9" s="67" t="n">
        <f aca="false">AW$8*ProdFac</f>
        <v>147.2</v>
      </c>
      <c r="AX9" s="67" t="n">
        <f aca="false">AX$8*ProdFac</f>
        <v>128</v>
      </c>
      <c r="AY9" s="67" t="n">
        <f aca="false">AY$8*ProdFac</f>
        <v>140.8</v>
      </c>
      <c r="AZ9" s="67" t="n">
        <f aca="false">AZ$8*ProdFac</f>
        <v>140.8</v>
      </c>
      <c r="BA9" s="67" t="n">
        <f aca="false">BA$8*ProdFac</f>
        <v>128</v>
      </c>
      <c r="BB9" s="67" t="n">
        <f aca="false">BB$8*ProdFac</f>
        <v>128</v>
      </c>
    </row>
    <row r="10" s="49" customFormat="true" ht="15" hidden="true" customHeight="true" outlineLevel="1" collapsed="false">
      <c r="A10" s="50"/>
      <c r="B10" s="50"/>
      <c r="C10" s="50"/>
      <c r="D10" s="50"/>
      <c r="E10" s="50"/>
      <c r="F10" s="50"/>
      <c r="G10" s="50"/>
      <c r="H10" s="50"/>
      <c r="I10" s="50"/>
      <c r="J10" s="50"/>
      <c r="O10" s="50"/>
      <c r="P10" s="65" t="s">
        <v>151</v>
      </c>
      <c r="R10" s="50"/>
      <c r="S10" s="68" t="n">
        <f aca="false">S$8*HighProdFac</f>
        <v>159.6</v>
      </c>
      <c r="T10" s="68" t="n">
        <f aca="false">T$8*HighProdFac</f>
        <v>152</v>
      </c>
      <c r="U10" s="68" t="n">
        <f aca="false">U$8*HighProdFac</f>
        <v>174.8</v>
      </c>
      <c r="V10" s="68" t="n">
        <f aca="false">V$8*HighProdFac</f>
        <v>136.8</v>
      </c>
      <c r="W10" s="68" t="n">
        <f aca="false">W$8*HighProdFac</f>
        <v>159.6</v>
      </c>
      <c r="X10" s="68" t="n">
        <f aca="false">X$8*HighProdFac</f>
        <v>152</v>
      </c>
      <c r="Y10" s="68" t="n">
        <f aca="false">Y$8*HighProdFac</f>
        <v>159.6</v>
      </c>
      <c r="Z10" s="68" t="n">
        <f aca="false">Z$8*HighProdFac</f>
        <v>174.8</v>
      </c>
      <c r="AA10" s="68" t="n">
        <f aca="false">AA$8*HighProdFac</f>
        <v>159.6</v>
      </c>
      <c r="AB10" s="68" t="n">
        <f aca="false">AB$8*HighProdFac</f>
        <v>167.2</v>
      </c>
      <c r="AC10" s="68" t="n">
        <f aca="false">AC$8*HighProdFac</f>
        <v>167.2</v>
      </c>
      <c r="AD10" s="68" t="n">
        <f aca="false">AD$8*HighProdFac</f>
        <v>144.4</v>
      </c>
      <c r="AE10" s="68" t="n">
        <f aca="false">AE$8*HighProdFac</f>
        <v>167.2</v>
      </c>
      <c r="AF10" s="68" t="n">
        <f aca="false">AF$8*HighProdFac</f>
        <v>159.6</v>
      </c>
      <c r="AG10" s="68" t="n">
        <f aca="false">AG$8*HighProdFac</f>
        <v>152</v>
      </c>
      <c r="AH10" s="68" t="n">
        <f aca="false">AH$8*HighProdFac</f>
        <v>159.6</v>
      </c>
      <c r="AI10" s="68" t="n">
        <f aca="false">AI$8*HighProdFac</f>
        <v>144.4</v>
      </c>
      <c r="AJ10" s="68" t="n">
        <f aca="false">AJ$8*HighProdFac</f>
        <v>152</v>
      </c>
      <c r="AK10" s="68" t="n">
        <f aca="false">AK$8*HighProdFac</f>
        <v>174.8</v>
      </c>
      <c r="AL10" s="68" t="n">
        <f aca="false">AL$8*HighProdFac</f>
        <v>159.6</v>
      </c>
      <c r="AM10" s="68" t="n">
        <f aca="false">AM$8*HighProdFac</f>
        <v>159.6</v>
      </c>
      <c r="AN10" s="68" t="n">
        <f aca="false">AN$8*HighProdFac</f>
        <v>167.2</v>
      </c>
      <c r="AO10" s="68" t="n">
        <f aca="false">AO$8*HighProdFac</f>
        <v>152</v>
      </c>
      <c r="AP10" s="68" t="n">
        <f aca="false">AP$8*HighProdFac</f>
        <v>144.4</v>
      </c>
      <c r="AQ10" s="68" t="n">
        <f aca="false">AQ$8*HighProdFac</f>
        <v>159.6</v>
      </c>
      <c r="AR10" s="68" t="n">
        <f aca="false">AR$8*HighProdFac</f>
        <v>152</v>
      </c>
      <c r="AS10" s="68" t="n">
        <f aca="false">AS$8*HighProdFac</f>
        <v>159.6</v>
      </c>
      <c r="AT10" s="68" t="n">
        <f aca="false">AT$8*HighProdFac</f>
        <v>152</v>
      </c>
      <c r="AU10" s="68" t="n">
        <f aca="false">AU$8*HighProdFac</f>
        <v>152</v>
      </c>
      <c r="AV10" s="68" t="n">
        <f aca="false">AV$8*HighProdFac</f>
        <v>144.4</v>
      </c>
      <c r="AW10" s="68" t="n">
        <f aca="false">AW$8*HighProdFac</f>
        <v>174.8</v>
      </c>
      <c r="AX10" s="68" t="n">
        <f aca="false">AX$8*HighProdFac</f>
        <v>152</v>
      </c>
      <c r="AY10" s="68" t="n">
        <f aca="false">AY$8*HighProdFac</f>
        <v>167.2</v>
      </c>
      <c r="AZ10" s="68" t="n">
        <f aca="false">AZ$8*HighProdFac</f>
        <v>167.2</v>
      </c>
      <c r="BA10" s="68" t="n">
        <f aca="false">BA$8*HighProdFac</f>
        <v>152</v>
      </c>
      <c r="BB10" s="68" t="n">
        <f aca="false">BB$8*HighProdFac</f>
        <v>152</v>
      </c>
    </row>
    <row r="11" s="49" customFormat="true" ht="15" hidden="false" customHeight="true" outlineLevel="0" collapsed="false">
      <c r="A11" s="50"/>
      <c r="B11" s="50"/>
      <c r="C11" s="50"/>
      <c r="D11" s="50"/>
      <c r="E11" s="50"/>
      <c r="F11" s="50"/>
      <c r="G11" s="50"/>
      <c r="H11" s="50"/>
      <c r="I11" s="50"/>
      <c r="J11" s="50"/>
      <c r="O11" s="50"/>
      <c r="P11" s="50"/>
      <c r="R11" s="5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</row>
    <row r="12" s="49" customFormat="true" ht="15" hidden="true" customHeight="true" outlineLevel="1" collapsed="false">
      <c r="A12" s="50"/>
      <c r="B12" s="69" t="s">
        <v>152</v>
      </c>
      <c r="C12" s="69" t="s">
        <v>153</v>
      </c>
      <c r="D12" s="69" t="s">
        <v>154</v>
      </c>
      <c r="E12" s="69" t="s">
        <v>155</v>
      </c>
      <c r="F12" s="69" t="s">
        <v>156</v>
      </c>
      <c r="G12" s="70"/>
      <c r="H12" s="69" t="s">
        <v>157</v>
      </c>
      <c r="I12" s="69" t="s">
        <v>158</v>
      </c>
      <c r="J12" s="69" t="s">
        <v>159</v>
      </c>
      <c r="K12" s="69" t="s">
        <v>160</v>
      </c>
      <c r="L12" s="69" t="s">
        <v>160</v>
      </c>
      <c r="M12" s="69" t="s">
        <v>161</v>
      </c>
      <c r="N12" s="69" t="s">
        <v>162</v>
      </c>
      <c r="O12" s="69" t="s">
        <v>162</v>
      </c>
      <c r="P12" s="69" t="s">
        <v>163</v>
      </c>
      <c r="Q12" s="69" t="s">
        <v>164</v>
      </c>
      <c r="R12" s="50"/>
      <c r="S12" s="71" t="str">
        <f aca="false">CONCATENATE(S7," / ",YEAR(S6)-2000)</f>
        <v>21 / -100</v>
      </c>
      <c r="T12" s="71" t="str">
        <f aca="false">CONCATENATE(T7," / ",YEAR(T6)-2000)</f>
        <v>20 / -100</v>
      </c>
      <c r="U12" s="71" t="str">
        <f aca="false">CONCATENATE(U7," / ",YEAR(U6)-2000)</f>
        <v>23 / -100</v>
      </c>
      <c r="V12" s="71" t="str">
        <f aca="false">CONCATENATE(V7," / ",YEAR(V6)-2000)</f>
        <v>18 / -100</v>
      </c>
      <c r="W12" s="71" t="str">
        <f aca="false">CONCATENATE(W7," / ",YEAR(W6)-2000)</f>
        <v>21 / -100</v>
      </c>
      <c r="X12" s="71" t="str">
        <f aca="false">CONCATENATE(X7," / ",YEAR(X6)-2000)</f>
        <v>20 / -100</v>
      </c>
      <c r="Y12" s="71" t="str">
        <f aca="false">CONCATENATE(Y7," / ",YEAR(Y6)-2000)</f>
        <v>21 / -100</v>
      </c>
      <c r="Z12" s="71" t="str">
        <f aca="false">CONCATENATE(Z7," / ",YEAR(Z6)-2000)</f>
        <v>23 / -100</v>
      </c>
      <c r="AA12" s="71" t="str">
        <f aca="false">CONCATENATE(AA7," / ",YEAR(AA6)-2000)</f>
        <v>21 / -100</v>
      </c>
      <c r="AB12" s="71" t="str">
        <f aca="false">CONCATENATE(AB7," / ",YEAR(AB6)-2000)</f>
        <v>22 / -100</v>
      </c>
      <c r="AC12" s="71" t="str">
        <f aca="false">CONCATENATE(AC7," / ",YEAR(AC6)-2000)</f>
        <v>22 / -100</v>
      </c>
      <c r="AD12" s="71" t="str">
        <f aca="false">CONCATENATE(AD7," / ",YEAR(AD6)-2000)</f>
        <v>19 / -100</v>
      </c>
      <c r="AE12" s="71" t="str">
        <f aca="false">CONCATENATE(AE7," / ",YEAR(AE6)-2000)</f>
        <v>22 / -100</v>
      </c>
      <c r="AF12" s="71" t="str">
        <f aca="false">CONCATENATE(AF7," / ",YEAR(AF6)-2000)</f>
        <v>21 / -100</v>
      </c>
      <c r="AG12" s="71" t="str">
        <f aca="false">CONCATENATE(AG7," / ",YEAR(AG6)-2000)</f>
        <v>20 / -100</v>
      </c>
      <c r="AH12" s="71" t="str">
        <f aca="false">CONCATENATE(AH7," / ",YEAR(AH6)-2000)</f>
        <v>21 / -100</v>
      </c>
      <c r="AI12" s="71" t="str">
        <f aca="false">CONCATENATE(AI7," / ",YEAR(AI6)-2000)</f>
        <v>19 / -100</v>
      </c>
      <c r="AJ12" s="71" t="str">
        <f aca="false">CONCATENATE(AJ7," / ",YEAR(AJ6)-2000)</f>
        <v>20 / -100</v>
      </c>
      <c r="AK12" s="71" t="str">
        <f aca="false">CONCATENATE(AK7," / ",YEAR(AK6)-2000)</f>
        <v>23 / -100</v>
      </c>
      <c r="AL12" s="71" t="str">
        <f aca="false">CONCATENATE(AL7," / ",YEAR(AL6)-2000)</f>
        <v>21 / -100</v>
      </c>
      <c r="AM12" s="71" t="str">
        <f aca="false">CONCATENATE(AM7," / ",YEAR(AM6)-2000)</f>
        <v>21 / -100</v>
      </c>
      <c r="AN12" s="71" t="str">
        <f aca="false">CONCATENATE(AN7," / ",YEAR(AN6)-2000)</f>
        <v>22 / -100</v>
      </c>
      <c r="AO12" s="71" t="str">
        <f aca="false">CONCATENATE(AO7," / ",YEAR(AO6)-2000)</f>
        <v>20 / -100</v>
      </c>
      <c r="AP12" s="71" t="str">
        <f aca="false">CONCATENATE(AP7," / ",YEAR(AP6)-2000)</f>
        <v>19 / -100</v>
      </c>
      <c r="AQ12" s="71" t="str">
        <f aca="false">CONCATENATE(AQ7," / ",YEAR(AQ6)-2000)</f>
        <v>21 / -100</v>
      </c>
      <c r="AR12" s="71" t="str">
        <f aca="false">CONCATENATE(AR7," / ",YEAR(AR6)-2000)</f>
        <v>20 / -100</v>
      </c>
      <c r="AS12" s="71" t="str">
        <f aca="false">CONCATENATE(AS7," / ",YEAR(AS6)-2000)</f>
        <v>21 / -100</v>
      </c>
      <c r="AT12" s="71" t="str">
        <f aca="false">CONCATENATE(AT7," / ",YEAR(AT6)-2000)</f>
        <v>20 / -100</v>
      </c>
      <c r="AU12" s="71" t="str">
        <f aca="false">CONCATENATE(AU7," / ",YEAR(AU6)-2000)</f>
        <v>20 / -100</v>
      </c>
      <c r="AV12" s="71" t="str">
        <f aca="false">CONCATENATE(AV7," / ",YEAR(AV6)-2000)</f>
        <v>19 / -100</v>
      </c>
      <c r="AW12" s="71" t="str">
        <f aca="false">CONCATENATE(AW7," / ",YEAR(AW6)-2000)</f>
        <v>23 / -100</v>
      </c>
      <c r="AX12" s="71" t="str">
        <f aca="false">CONCATENATE(AX7," / ",YEAR(AX6)-2000)</f>
        <v>20 / -100</v>
      </c>
      <c r="AY12" s="71" t="str">
        <f aca="false">CONCATENATE(AY7," / ",YEAR(AY6)-2000)</f>
        <v>22 / -100</v>
      </c>
      <c r="AZ12" s="71" t="str">
        <f aca="false">CONCATENATE(AZ7," / ",YEAR(AZ6)-2000)</f>
        <v>22 / -100</v>
      </c>
      <c r="BA12" s="71" t="str">
        <f aca="false">CONCATENATE(BA7," / ",YEAR(BA6)-2000)</f>
        <v>20 / -100</v>
      </c>
      <c r="BB12" s="71" t="str">
        <f aca="false">CONCATENATE(BB7," / ",YEAR(BB6)-2000)</f>
        <v>20 / -100</v>
      </c>
    </row>
    <row r="13" s="49" customFormat="true" ht="15" hidden="true" customHeight="true" outlineLevel="1" collapsed="false">
      <c r="A13" s="50"/>
      <c r="B13" s="72" t="s">
        <v>165</v>
      </c>
      <c r="C13" s="73"/>
      <c r="D13" s="73"/>
      <c r="E13" s="73"/>
      <c r="F13" s="73"/>
      <c r="G13" s="74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50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</row>
    <row r="14" s="49" customFormat="true" ht="17.25" hidden="true" customHeight="true" outlineLevel="1" collapsed="false">
      <c r="A14" s="50"/>
      <c r="B14" s="75"/>
      <c r="C14" s="76"/>
      <c r="D14" s="76"/>
      <c r="E14" s="76"/>
      <c r="F14" s="76"/>
      <c r="G14" s="74"/>
      <c r="H14" s="76"/>
      <c r="I14" s="76"/>
      <c r="J14" s="76"/>
      <c r="K14" s="77"/>
      <c r="L14" s="78" t="n">
        <f aca="false">SUM(S14:BB14)</f>
        <v>0</v>
      </c>
      <c r="M14" s="77"/>
      <c r="N14" s="79"/>
      <c r="O14" s="80"/>
      <c r="P14" s="76"/>
      <c r="Q14" s="76" t="n">
        <v>4.8</v>
      </c>
      <c r="R14" s="50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</row>
    <row r="15" s="49" customFormat="true" ht="17.25" hidden="true" customHeight="true" outlineLevel="1" collapsed="false">
      <c r="A15" s="50"/>
      <c r="B15" s="75"/>
      <c r="C15" s="76"/>
      <c r="D15" s="76"/>
      <c r="E15" s="76"/>
      <c r="F15" s="76"/>
      <c r="G15" s="74"/>
      <c r="H15" s="76"/>
      <c r="I15" s="76"/>
      <c r="J15" s="76"/>
      <c r="K15" s="77"/>
      <c r="L15" s="78" t="n">
        <f aca="false">SUM(S15:BB15)</f>
        <v>0</v>
      </c>
      <c r="M15" s="77"/>
      <c r="N15" s="79"/>
      <c r="O15" s="80"/>
      <c r="P15" s="76"/>
      <c r="Q15" s="76" t="n">
        <v>23</v>
      </c>
      <c r="R15" s="50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</row>
    <row r="16" s="49" customFormat="true" ht="17.25" hidden="true" customHeight="true" outlineLevel="1" collapsed="false">
      <c r="A16" s="50"/>
      <c r="B16" s="82"/>
      <c r="C16" s="76"/>
      <c r="D16" s="76"/>
      <c r="E16" s="76"/>
      <c r="F16" s="76"/>
      <c r="G16" s="74"/>
      <c r="H16" s="76"/>
      <c r="I16" s="76"/>
      <c r="J16" s="76"/>
      <c r="K16" s="77"/>
      <c r="L16" s="78" t="n">
        <f aca="false">SUM(S16:BB16)</f>
        <v>0</v>
      </c>
      <c r="M16" s="77"/>
      <c r="N16" s="79"/>
      <c r="O16" s="80"/>
      <c r="P16" s="76"/>
      <c r="Q16" s="77" t="n">
        <v>25</v>
      </c>
      <c r="R16" s="50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</row>
    <row r="17" s="49" customFormat="true" ht="17.25" hidden="true" customHeight="true" outlineLevel="1" collapsed="false">
      <c r="A17" s="50"/>
      <c r="B17" s="82"/>
      <c r="C17" s="76"/>
      <c r="D17" s="76"/>
      <c r="E17" s="76"/>
      <c r="F17" s="76"/>
      <c r="G17" s="74"/>
      <c r="H17" s="76"/>
      <c r="I17" s="76"/>
      <c r="J17" s="76"/>
      <c r="K17" s="77"/>
      <c r="L17" s="78" t="n">
        <f aca="false">SUM(S17:BB17)</f>
        <v>0</v>
      </c>
      <c r="M17" s="77"/>
      <c r="N17" s="79"/>
      <c r="O17" s="80"/>
      <c r="P17" s="76"/>
      <c r="Q17" s="77" t="n">
        <v>10.5</v>
      </c>
      <c r="R17" s="50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</row>
    <row r="18" s="49" customFormat="true" ht="17.25" hidden="true" customHeight="true" outlineLevel="1" collapsed="false">
      <c r="A18" s="50"/>
      <c r="B18" s="82"/>
      <c r="C18" s="76"/>
      <c r="D18" s="76"/>
      <c r="E18" s="76"/>
      <c r="F18" s="76"/>
      <c r="G18" s="74"/>
      <c r="H18" s="76"/>
      <c r="I18" s="76"/>
      <c r="J18" s="76"/>
      <c r="K18" s="77"/>
      <c r="L18" s="78" t="n">
        <f aca="false">SUM(S18:BB18)</f>
        <v>0</v>
      </c>
      <c r="M18" s="77"/>
      <c r="N18" s="79"/>
      <c r="O18" s="80"/>
      <c r="P18" s="76"/>
      <c r="Q18" s="77" t="n">
        <v>14.2</v>
      </c>
      <c r="R18" s="50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</row>
    <row r="19" s="49" customFormat="true" ht="17.25" hidden="true" customHeight="true" outlineLevel="1" collapsed="false">
      <c r="A19" s="50"/>
      <c r="B19" s="76"/>
      <c r="C19" s="76"/>
      <c r="D19" s="76"/>
      <c r="E19" s="76"/>
      <c r="F19" s="76"/>
      <c r="G19" s="74"/>
      <c r="H19" s="76"/>
      <c r="I19" s="76"/>
      <c r="J19" s="76"/>
      <c r="K19" s="77"/>
      <c r="L19" s="78" t="n">
        <f aca="false">SUM(S19:BB19)</f>
        <v>0</v>
      </c>
      <c r="M19" s="77"/>
      <c r="N19" s="79"/>
      <c r="O19" s="80"/>
      <c r="P19" s="76"/>
      <c r="Q19" s="77" t="n">
        <f aca="false">SUM(Q13:Q18)</f>
        <v>77.5</v>
      </c>
      <c r="R19" s="50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</row>
    <row r="20" s="49" customFormat="true" ht="15" hidden="true" customHeight="true" outlineLevel="1" collapsed="false">
      <c r="A20" s="50"/>
      <c r="B20" s="76"/>
      <c r="C20" s="76"/>
      <c r="D20" s="76"/>
      <c r="E20" s="76"/>
      <c r="F20" s="76"/>
      <c r="G20" s="74"/>
      <c r="H20" s="76"/>
      <c r="I20" s="76"/>
      <c r="J20" s="76"/>
      <c r="K20" s="77"/>
      <c r="L20" s="78" t="n">
        <f aca="false">SUM(S20:BB20)</f>
        <v>0</v>
      </c>
      <c r="M20" s="77"/>
      <c r="N20" s="79"/>
      <c r="O20" s="80"/>
      <c r="P20" s="76"/>
      <c r="Q20" s="76" t="n">
        <v>129.54</v>
      </c>
      <c r="R20" s="50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</row>
    <row r="21" s="49" customFormat="true" ht="15" hidden="true" customHeight="true" outlineLevel="1" collapsed="false">
      <c r="A21" s="50"/>
      <c r="B21" s="82"/>
      <c r="C21" s="76"/>
      <c r="D21" s="76"/>
      <c r="E21" s="76"/>
      <c r="F21" s="76"/>
      <c r="G21" s="74"/>
      <c r="H21" s="76"/>
      <c r="I21" s="76"/>
      <c r="J21" s="76"/>
      <c r="K21" s="83"/>
      <c r="L21" s="78" t="n">
        <f aca="false">SUM(S21:BB21)</f>
        <v>0</v>
      </c>
      <c r="M21" s="83"/>
      <c r="N21" s="84"/>
      <c r="O21" s="80"/>
      <c r="P21" s="76"/>
      <c r="Q21" s="83"/>
      <c r="R21" s="50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</row>
    <row r="22" s="49" customFormat="true" ht="15" hidden="true" customHeight="true" outlineLevel="1" collapsed="false">
      <c r="A22" s="50"/>
      <c r="B22" s="82"/>
      <c r="C22" s="76"/>
      <c r="D22" s="76"/>
      <c r="E22" s="76"/>
      <c r="F22" s="76"/>
      <c r="G22" s="74"/>
      <c r="H22" s="76"/>
      <c r="I22" s="76"/>
      <c r="J22" s="76"/>
      <c r="K22" s="83"/>
      <c r="L22" s="78" t="n">
        <f aca="false">SUM(S22:BB22)</f>
        <v>0</v>
      </c>
      <c r="M22" s="83"/>
      <c r="N22" s="84"/>
      <c r="O22" s="80"/>
      <c r="P22" s="76"/>
      <c r="Q22" s="83"/>
      <c r="R22" s="50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</row>
    <row r="23" s="49" customFormat="true" ht="15" hidden="true" customHeight="true" outlineLevel="1" collapsed="false">
      <c r="A23" s="50"/>
      <c r="B23" s="82"/>
      <c r="C23" s="76"/>
      <c r="D23" s="76"/>
      <c r="E23" s="76"/>
      <c r="F23" s="76"/>
      <c r="G23" s="74"/>
      <c r="H23" s="76"/>
      <c r="I23" s="76"/>
      <c r="J23" s="76"/>
      <c r="K23" s="83"/>
      <c r="L23" s="78" t="n">
        <f aca="false">SUM(S23:BB23)</f>
        <v>0</v>
      </c>
      <c r="M23" s="83"/>
      <c r="N23" s="84"/>
      <c r="O23" s="80"/>
      <c r="P23" s="76"/>
      <c r="Q23" s="83"/>
      <c r="R23" s="50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</row>
    <row r="24" s="49" customFormat="true" ht="17.25" hidden="true" customHeight="true" outlineLevel="1" collapsed="false">
      <c r="A24" s="50"/>
      <c r="B24" s="76"/>
      <c r="C24" s="76"/>
      <c r="D24" s="76"/>
      <c r="E24" s="76"/>
      <c r="F24" s="76"/>
      <c r="G24" s="74"/>
      <c r="H24" s="76"/>
      <c r="I24" s="76"/>
      <c r="J24" s="76"/>
      <c r="K24" s="77"/>
      <c r="L24" s="78" t="n">
        <f aca="false">SUM(S24:BB24)</f>
        <v>0</v>
      </c>
      <c r="M24" s="77"/>
      <c r="N24" s="79"/>
      <c r="O24" s="80"/>
      <c r="P24" s="76"/>
      <c r="Q24" s="76"/>
      <c r="R24" s="50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</row>
    <row r="25" s="49" customFormat="true" ht="17.25" hidden="true" customHeight="true" outlineLevel="1" collapsed="false">
      <c r="A25" s="50"/>
      <c r="B25" s="85"/>
      <c r="C25" s="76"/>
      <c r="D25" s="76"/>
      <c r="E25" s="76"/>
      <c r="F25" s="76"/>
      <c r="G25" s="74"/>
      <c r="H25" s="76"/>
      <c r="I25" s="76"/>
      <c r="J25" s="76"/>
      <c r="K25" s="77"/>
      <c r="L25" s="78" t="n">
        <f aca="false">SUM(S25:BB25)</f>
        <v>0</v>
      </c>
      <c r="M25" s="77"/>
      <c r="N25" s="79"/>
      <c r="O25" s="80"/>
      <c r="P25" s="76"/>
      <c r="Q25" s="76"/>
      <c r="R25" s="50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</row>
    <row r="26" s="49" customFormat="true" ht="17.25" hidden="true" customHeight="true" outlineLevel="1" collapsed="false">
      <c r="A26" s="50"/>
      <c r="B26" s="76"/>
      <c r="C26" s="76"/>
      <c r="D26" s="76"/>
      <c r="E26" s="76"/>
      <c r="F26" s="76"/>
      <c r="G26" s="74"/>
      <c r="H26" s="76"/>
      <c r="I26" s="76"/>
      <c r="J26" s="76"/>
      <c r="K26" s="77"/>
      <c r="L26" s="78" t="n">
        <f aca="false">SUM(S26:BB26)</f>
        <v>0</v>
      </c>
      <c r="M26" s="77"/>
      <c r="N26" s="79"/>
      <c r="O26" s="80"/>
      <c r="P26" s="76"/>
      <c r="Q26" s="76"/>
      <c r="R26" s="50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</row>
    <row r="27" s="49" customFormat="true" ht="17.25" hidden="true" customHeight="true" outlineLevel="1" collapsed="false">
      <c r="A27" s="50"/>
      <c r="B27" s="76"/>
      <c r="C27" s="76"/>
      <c r="D27" s="76"/>
      <c r="E27" s="76"/>
      <c r="F27" s="76"/>
      <c r="G27" s="74"/>
      <c r="H27" s="76"/>
      <c r="I27" s="76"/>
      <c r="J27" s="76"/>
      <c r="K27" s="77"/>
      <c r="L27" s="78" t="n">
        <f aca="false">SUM(S27:BB27)</f>
        <v>0</v>
      </c>
      <c r="M27" s="77"/>
      <c r="N27" s="79"/>
      <c r="O27" s="80"/>
      <c r="P27" s="76"/>
      <c r="Q27" s="76"/>
      <c r="R27" s="50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</row>
    <row r="28" s="49" customFormat="true" ht="17.25" hidden="true" customHeight="true" outlineLevel="1" collapsed="false">
      <c r="A28" s="50"/>
      <c r="B28" s="76"/>
      <c r="C28" s="76"/>
      <c r="D28" s="76"/>
      <c r="E28" s="76"/>
      <c r="F28" s="76"/>
      <c r="G28" s="74"/>
      <c r="H28" s="76"/>
      <c r="I28" s="76"/>
      <c r="J28" s="76"/>
      <c r="K28" s="77"/>
      <c r="L28" s="78"/>
      <c r="M28" s="77"/>
      <c r="N28" s="79"/>
      <c r="O28" s="80"/>
      <c r="P28" s="76"/>
      <c r="Q28" s="76"/>
      <c r="R28" s="50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</row>
    <row r="29" s="49" customFormat="true" ht="17.25" hidden="true" customHeight="true" outlineLevel="1" collapsed="false">
      <c r="A29" s="50"/>
      <c r="B29" s="76"/>
      <c r="C29" s="76"/>
      <c r="D29" s="76"/>
      <c r="E29" s="76"/>
      <c r="F29" s="76"/>
      <c r="G29" s="74"/>
      <c r="H29" s="76"/>
      <c r="I29" s="76"/>
      <c r="J29" s="76"/>
      <c r="K29" s="77"/>
      <c r="L29" s="78" t="n">
        <f aca="false">SUM(S29:BB29)</f>
        <v>0</v>
      </c>
      <c r="M29" s="77"/>
      <c r="N29" s="79"/>
      <c r="O29" s="80"/>
      <c r="P29" s="76"/>
      <c r="Q29" s="76"/>
      <c r="R29" s="50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</row>
    <row r="30" s="49" customFormat="true" ht="17.25" hidden="true" customHeight="true" outlineLevel="1" collapsed="false">
      <c r="A30" s="50"/>
      <c r="B30" s="76"/>
      <c r="C30" s="76"/>
      <c r="D30" s="76"/>
      <c r="E30" s="76"/>
      <c r="F30" s="76"/>
      <c r="G30" s="74"/>
      <c r="H30" s="76"/>
      <c r="I30" s="76"/>
      <c r="J30" s="76"/>
      <c r="K30" s="77"/>
      <c r="L30" s="78" t="n">
        <f aca="false">SUM(S30:BB30)</f>
        <v>0</v>
      </c>
      <c r="M30" s="77"/>
      <c r="N30" s="79"/>
      <c r="O30" s="80"/>
      <c r="P30" s="76"/>
      <c r="Q30" s="76"/>
      <c r="R30" s="50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</row>
    <row r="31" s="49" customFormat="true" ht="17.25" hidden="true" customHeight="true" outlineLevel="1" collapsed="false">
      <c r="A31" s="50"/>
      <c r="B31" s="76"/>
      <c r="C31" s="76"/>
      <c r="D31" s="76"/>
      <c r="E31" s="77"/>
      <c r="F31" s="76"/>
      <c r="G31" s="74"/>
      <c r="H31" s="76"/>
      <c r="I31" s="76"/>
      <c r="J31" s="76"/>
      <c r="K31" s="77"/>
      <c r="L31" s="78" t="n">
        <f aca="false">SUM(S31:BB31)</f>
        <v>0</v>
      </c>
      <c r="M31" s="77"/>
      <c r="N31" s="79"/>
      <c r="O31" s="80"/>
      <c r="P31" s="76"/>
      <c r="Q31" s="76"/>
      <c r="R31" s="50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</row>
    <row r="32" s="49" customFormat="true" ht="17.25" hidden="true" customHeight="true" outlineLevel="1" collapsed="false">
      <c r="A32" s="50"/>
      <c r="B32" s="75"/>
      <c r="C32" s="76"/>
      <c r="D32" s="76"/>
      <c r="E32" s="77"/>
      <c r="F32" s="76"/>
      <c r="G32" s="74"/>
      <c r="H32" s="76"/>
      <c r="I32" s="76"/>
      <c r="J32" s="76"/>
      <c r="K32" s="77"/>
      <c r="L32" s="78" t="n">
        <f aca="false">SUM(S32:BB32)</f>
        <v>0</v>
      </c>
      <c r="M32" s="77"/>
      <c r="N32" s="79"/>
      <c r="O32" s="80"/>
      <c r="P32" s="76"/>
      <c r="Q32" s="77"/>
      <c r="R32" s="50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</row>
    <row r="33" s="49" customFormat="true" ht="17.25" hidden="true" customHeight="true" outlineLevel="1" collapsed="false">
      <c r="A33" s="50"/>
      <c r="B33" s="75"/>
      <c r="C33" s="76"/>
      <c r="D33" s="76"/>
      <c r="E33" s="77"/>
      <c r="F33" s="76"/>
      <c r="G33" s="74"/>
      <c r="H33" s="76"/>
      <c r="I33" s="76"/>
      <c r="J33" s="77"/>
      <c r="K33" s="77"/>
      <c r="L33" s="78" t="n">
        <f aca="false">SUM(S33:BB33)</f>
        <v>0</v>
      </c>
      <c r="M33" s="77"/>
      <c r="N33" s="79"/>
      <c r="O33" s="80"/>
      <c r="P33" s="76"/>
      <c r="Q33" s="77"/>
      <c r="R33" s="50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</row>
    <row r="34" s="49" customFormat="true" ht="17.25" hidden="true" customHeight="true" outlineLevel="1" collapsed="false">
      <c r="A34" s="50"/>
      <c r="B34" s="76"/>
      <c r="C34" s="76"/>
      <c r="D34" s="76"/>
      <c r="E34" s="77"/>
      <c r="F34" s="76"/>
      <c r="G34" s="74"/>
      <c r="H34" s="76"/>
      <c r="I34" s="76"/>
      <c r="J34" s="77"/>
      <c r="K34" s="77"/>
      <c r="L34" s="78" t="n">
        <f aca="false">SUM(S34:BB34)</f>
        <v>0</v>
      </c>
      <c r="M34" s="77"/>
      <c r="N34" s="79"/>
      <c r="O34" s="80"/>
      <c r="P34" s="76"/>
      <c r="Q34" s="77"/>
      <c r="R34" s="50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</row>
    <row r="35" s="49" customFormat="true" ht="17.25" hidden="true" customHeight="true" outlineLevel="1" collapsed="false">
      <c r="A35" s="50"/>
      <c r="B35" s="76"/>
      <c r="C35" s="76"/>
      <c r="D35" s="76"/>
      <c r="E35" s="77"/>
      <c r="F35" s="76"/>
      <c r="G35" s="74"/>
      <c r="H35" s="76"/>
      <c r="I35" s="76"/>
      <c r="J35" s="77"/>
      <c r="K35" s="77"/>
      <c r="L35" s="78" t="n">
        <f aca="false">SUM(S35:BB35)</f>
        <v>0</v>
      </c>
      <c r="M35" s="77"/>
      <c r="N35" s="79"/>
      <c r="O35" s="80"/>
      <c r="P35" s="76"/>
      <c r="Q35" s="77"/>
      <c r="R35" s="46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</row>
    <row r="36" s="86" customFormat="true" ht="17.25" hidden="true" customHeight="true" outlineLevel="1" collapsed="false">
      <c r="A36" s="50"/>
      <c r="B36" s="85"/>
      <c r="C36" s="76"/>
      <c r="D36" s="76"/>
      <c r="E36" s="77"/>
      <c r="F36" s="76"/>
      <c r="G36" s="74"/>
      <c r="H36" s="76"/>
      <c r="I36" s="76"/>
      <c r="J36" s="77"/>
      <c r="K36" s="77"/>
      <c r="L36" s="78" t="n">
        <f aca="false">SUM(S36:BB36)</f>
        <v>0</v>
      </c>
      <c r="M36" s="77"/>
      <c r="N36" s="79"/>
      <c r="O36" s="80"/>
      <c r="P36" s="76"/>
      <c r="Q36" s="77"/>
      <c r="R36" s="46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</row>
    <row r="37" customFormat="false" ht="17.25" hidden="true" customHeight="true" outlineLevel="1" collapsed="false">
      <c r="B37" s="76"/>
      <c r="C37" s="76"/>
      <c r="D37" s="76"/>
      <c r="E37" s="77"/>
      <c r="F37" s="76"/>
      <c r="G37" s="74"/>
      <c r="H37" s="76"/>
      <c r="I37" s="76"/>
      <c r="J37" s="77"/>
      <c r="K37" s="77"/>
      <c r="L37" s="78" t="n">
        <f aca="false">SUM(S37:BB37)</f>
        <v>0</v>
      </c>
      <c r="M37" s="77"/>
      <c r="N37" s="79"/>
      <c r="O37" s="80"/>
      <c r="P37" s="76"/>
      <c r="Q37" s="77"/>
      <c r="R37" s="46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</row>
    <row r="38" customFormat="false" ht="4.5" hidden="true" customHeight="true" outlineLevel="1" collapsed="false">
      <c r="B38" s="50"/>
      <c r="C38" s="46"/>
      <c r="D38" s="46"/>
      <c r="F38" s="50"/>
      <c r="G38" s="50"/>
      <c r="H38" s="50"/>
      <c r="I38" s="50"/>
      <c r="K38" s="46"/>
      <c r="L38" s="46"/>
      <c r="M38" s="46"/>
      <c r="N38" s="46"/>
      <c r="O38" s="87"/>
      <c r="P38" s="87"/>
      <c r="Q38" s="87"/>
      <c r="R38" s="46"/>
    </row>
    <row r="39" s="91" customFormat="true" ht="15" hidden="true" customHeight="true" outlineLevel="1" collapsed="false">
      <c r="A39" s="88"/>
      <c r="B39" s="89" t="s">
        <v>166</v>
      </c>
      <c r="C39" s="90" t="s">
        <v>167</v>
      </c>
      <c r="D39" s="50"/>
      <c r="F39" s="50"/>
      <c r="G39" s="50"/>
      <c r="H39" s="50"/>
      <c r="I39" s="50"/>
      <c r="L39" s="92" t="s">
        <v>168</v>
      </c>
      <c r="M39" s="92"/>
      <c r="N39" s="92"/>
      <c r="O39" s="93" t="s">
        <v>169</v>
      </c>
      <c r="P39" s="94"/>
      <c r="Q39" s="95" t="n">
        <f aca="false">SUM(S39:BB39)</f>
        <v>0</v>
      </c>
      <c r="R39" s="96" t="s">
        <v>160</v>
      </c>
      <c r="S39" s="97" t="n">
        <f aca="false">SUMIF($B$13:$B$37,$P39,S$13:S$37)</f>
        <v>0</v>
      </c>
      <c r="T39" s="97" t="n">
        <f aca="false">SUMIF($B$13:$B$37,$P39,T$13:T$37)</f>
        <v>0</v>
      </c>
      <c r="U39" s="97" t="n">
        <f aca="false">SUMIF($B$13:$B$37,$P39,U$13:U$37)</f>
        <v>0</v>
      </c>
      <c r="V39" s="97" t="n">
        <f aca="false">SUMIF($B$13:$B$37,$P39,V$13:V$37)</f>
        <v>0</v>
      </c>
      <c r="W39" s="97" t="n">
        <f aca="false">SUMIF($B$13:$B$37,$P39,W$13:W$37)</f>
        <v>0</v>
      </c>
      <c r="X39" s="97" t="n">
        <f aca="false">SUMIF($B$13:$B$37,$P39,X$13:X$37)</f>
        <v>0</v>
      </c>
      <c r="Y39" s="97" t="n">
        <f aca="false">SUMIF($B$13:$B$37,$P39,Y$13:Y$37)</f>
        <v>0</v>
      </c>
      <c r="Z39" s="97" t="n">
        <f aca="false">SUMIF($B$13:$B$37,$P39,Z$13:Z$37)</f>
        <v>0</v>
      </c>
      <c r="AA39" s="97" t="n">
        <f aca="false">SUMIF($B$13:$B$37,$P39,AA$13:AA$37)</f>
        <v>0</v>
      </c>
      <c r="AB39" s="97" t="n">
        <f aca="false">SUMIF($B$13:$B$37,$P39,AB$13:AB$37)</f>
        <v>0</v>
      </c>
      <c r="AC39" s="97" t="n">
        <f aca="false">SUMIF($B$13:$B$37,$P39,AC$13:AC$37)</f>
        <v>0</v>
      </c>
      <c r="AD39" s="97" t="n">
        <f aca="false">SUMIF($B$13:$B$37,$P39,AD$13:AD$37)</f>
        <v>0</v>
      </c>
      <c r="AE39" s="97" t="n">
        <f aca="false">SUMIF($B$13:$B$37,$P39,AE$13:AE$37)</f>
        <v>0</v>
      </c>
      <c r="AF39" s="97" t="n">
        <f aca="false">SUMIF($B$13:$B$37,$P39,AF$13:AF$37)</f>
        <v>0</v>
      </c>
      <c r="AG39" s="97" t="n">
        <f aca="false">SUMIF($B$13:$B$37,$P39,AG$13:AG$37)</f>
        <v>0</v>
      </c>
      <c r="AH39" s="97" t="n">
        <f aca="false">SUMIF($B$13:$B$37,$P39,AH$13:AH$37)</f>
        <v>0</v>
      </c>
      <c r="AI39" s="97" t="n">
        <f aca="false">SUMIF($B$13:$B$37,$P39,AI$13:AI$37)</f>
        <v>0</v>
      </c>
      <c r="AJ39" s="97" t="n">
        <f aca="false">SUMIF($B$13:$B$37,$P39,AJ$13:AJ$37)</f>
        <v>0</v>
      </c>
      <c r="AK39" s="97" t="n">
        <f aca="false">SUMIF($B$13:$B$37,$P39,AK$13:AK$37)</f>
        <v>0</v>
      </c>
      <c r="AL39" s="97" t="n">
        <f aca="false">SUMIF($B$13:$B$37,$P39,AL$13:AL$37)</f>
        <v>0</v>
      </c>
      <c r="AM39" s="97" t="n">
        <f aca="false">SUMIF($B$13:$B$37,$P39,AM$13:AM$37)</f>
        <v>0</v>
      </c>
      <c r="AN39" s="97" t="n">
        <f aca="false">SUMIF($B$13:$B$37,$P39,AN$13:AN$37)</f>
        <v>0</v>
      </c>
      <c r="AO39" s="97" t="n">
        <f aca="false">SUMIF($B$13:$B$37,$P39,AO$13:AO$37)</f>
        <v>0</v>
      </c>
      <c r="AP39" s="97" t="n">
        <f aca="false">SUMIF($B$13:$B$37,$P39,AP$13:AP$37)</f>
        <v>0</v>
      </c>
      <c r="AQ39" s="97" t="n">
        <f aca="false">SUMIF($B$13:$B$37,$P39,AQ$13:AQ$37)</f>
        <v>0</v>
      </c>
      <c r="AR39" s="97" t="n">
        <f aca="false">SUMIF($B$13:$B$37,$P39,AR$13:AR$37)</f>
        <v>0</v>
      </c>
      <c r="AS39" s="97" t="n">
        <f aca="false">SUMIF($B$13:$B$37,$P39,AS$13:AS$37)</f>
        <v>0</v>
      </c>
      <c r="AT39" s="97" t="n">
        <f aca="false">SUMIF($B$13:$B$37,$P39,AT$13:AT$37)</f>
        <v>0</v>
      </c>
      <c r="AU39" s="97" t="n">
        <f aca="false">SUMIF($B$13:$B$37,$P39,AU$13:AU$37)</f>
        <v>0</v>
      </c>
      <c r="AV39" s="97" t="n">
        <f aca="false">SUMIF($B$13:$B$37,$P39,AV$13:AV$37)</f>
        <v>0</v>
      </c>
      <c r="AW39" s="97" t="n">
        <f aca="false">SUMIF($B$13:$B$37,$P39,AW$13:AW$37)</f>
        <v>0</v>
      </c>
      <c r="AX39" s="97" t="n">
        <f aca="false">SUMIF($B$13:$B$37,$P39,AX$13:AX$37)</f>
        <v>0</v>
      </c>
      <c r="AY39" s="97" t="n">
        <f aca="false">SUMIF($B$13:$B$37,$P39,AY$13:AY$37)</f>
        <v>0</v>
      </c>
      <c r="AZ39" s="97" t="n">
        <f aca="false">SUMIF($B$13:$B$37,$P39,AZ$13:AZ$37)</f>
        <v>0</v>
      </c>
      <c r="BA39" s="97" t="n">
        <f aca="false">SUMIF($B$13:$B$37,$P39,BA$13:BA$37)</f>
        <v>0</v>
      </c>
      <c r="BB39" s="97" t="n">
        <f aca="false">SUMIF($B$13:$B$37,$P39,BB$13:BB$37)</f>
        <v>0</v>
      </c>
    </row>
    <row r="40" customFormat="false" ht="15" hidden="true" customHeight="true" outlineLevel="1" collapsed="false">
      <c r="L40" s="92"/>
      <c r="M40" s="92"/>
      <c r="N40" s="92"/>
      <c r="O40" s="98" t="s">
        <v>170</v>
      </c>
      <c r="P40" s="99" t="n">
        <f aca="false">P39</f>
        <v>0</v>
      </c>
      <c r="Q40" s="100" t="n">
        <f aca="false">SUM(S40:BB40)</f>
        <v>0</v>
      </c>
      <c r="R40" s="96" t="s">
        <v>171</v>
      </c>
      <c r="S40" s="101" t="n">
        <f aca="false">SUMIF(Projects,$P40,S$50:S$50)</f>
        <v>0</v>
      </c>
      <c r="T40" s="101" t="n">
        <f aca="false">SUMIF(Projects,$P40,T$50:T$50)</f>
        <v>0</v>
      </c>
      <c r="U40" s="101" t="n">
        <f aca="false">SUMIF(Projects,$P40,U$50:U$50)</f>
        <v>0</v>
      </c>
      <c r="V40" s="101" t="n">
        <f aca="false">SUMIF(Projects,$P40,V$50:V$50)</f>
        <v>0</v>
      </c>
      <c r="W40" s="101" t="n">
        <f aca="false">SUMIF(Projects,$P40,W$50:W$50)</f>
        <v>0</v>
      </c>
      <c r="X40" s="101" t="n">
        <f aca="false">SUMIF(Projects,$P40,X$50:X$50)</f>
        <v>0</v>
      </c>
      <c r="Y40" s="101" t="n">
        <f aca="false">SUMIF(Projects,$P40,Y$50:Y$50)</f>
        <v>0</v>
      </c>
      <c r="Z40" s="101" t="n">
        <f aca="false">SUMIF(Projects,$P40,Z$50:Z$50)</f>
        <v>0</v>
      </c>
      <c r="AA40" s="101" t="n">
        <f aca="false">SUMIF(Projects,$P40,AA$50:AA$50)</f>
        <v>0</v>
      </c>
      <c r="AB40" s="101" t="n">
        <f aca="false">SUMIF(Projects,$P40,AB$50:AB$50)</f>
        <v>0</v>
      </c>
      <c r="AC40" s="101" t="n">
        <f aca="false">SUMIF(Projects,$P40,AC$50:AC$50)</f>
        <v>0</v>
      </c>
      <c r="AD40" s="101" t="n">
        <f aca="false">SUMIF(Projects,$P40,AD$50:AD$50)</f>
        <v>0</v>
      </c>
      <c r="AE40" s="101" t="n">
        <f aca="false">SUMIF(Projects,$P40,AE$50:AE$50)</f>
        <v>0</v>
      </c>
      <c r="AF40" s="101" t="n">
        <f aca="false">SUMIF(Projects,$P40,AF$50:AF$50)</f>
        <v>0</v>
      </c>
      <c r="AG40" s="101" t="n">
        <f aca="false">SUMIF(Projects,$P40,AG$50:AG$50)</f>
        <v>0</v>
      </c>
      <c r="AH40" s="101" t="n">
        <f aca="false">SUMIF(Projects,$P40,AH$50:AH$50)</f>
        <v>0</v>
      </c>
      <c r="AI40" s="101" t="n">
        <f aca="false">SUMIF(Projects,$P40,AI$50:AI$50)</f>
        <v>0</v>
      </c>
      <c r="AJ40" s="101" t="n">
        <f aca="false">SUMIF(Projects,$P40,AJ$50:AJ$50)</f>
        <v>0</v>
      </c>
      <c r="AK40" s="101" t="n">
        <f aca="false">SUMIF(Projects,$P40,AK$50:AK$50)</f>
        <v>0</v>
      </c>
      <c r="AL40" s="101" t="n">
        <f aca="false">SUMIF(Projects,$P40,AL$50:AL$50)</f>
        <v>0</v>
      </c>
      <c r="AM40" s="101" t="n">
        <f aca="false">SUMIF(Projects,$P40,AM$50:AM$50)</f>
        <v>0</v>
      </c>
      <c r="AN40" s="101" t="n">
        <f aca="false">SUMIF(Projects,$P40,AN$50:AN$50)</f>
        <v>0</v>
      </c>
      <c r="AO40" s="101" t="n">
        <f aca="false">SUMIF(Projects,$P40,AO$50:AO$50)</f>
        <v>0</v>
      </c>
      <c r="AP40" s="101" t="n">
        <f aca="false">SUMIF(Projects,$P40,AP$50:AP$50)</f>
        <v>0</v>
      </c>
      <c r="AQ40" s="101" t="n">
        <f aca="false">SUMIF(Projects,$P40,AQ$50:AQ$50)</f>
        <v>0</v>
      </c>
      <c r="AR40" s="101" t="n">
        <f aca="false">SUMIF(Projects,$P40,AR$50:AR$50)</f>
        <v>0</v>
      </c>
      <c r="AS40" s="101" t="n">
        <f aca="false">SUMIF(Projects,$P40,AS$50:AS$50)</f>
        <v>0</v>
      </c>
      <c r="AT40" s="101" t="n">
        <f aca="false">SUMIF(Projects,$P40,AT$50:AT$50)</f>
        <v>0</v>
      </c>
      <c r="AU40" s="101" t="n">
        <f aca="false">SUMIF(Projects,$P40,AU$50:AU$50)</f>
        <v>0</v>
      </c>
      <c r="AV40" s="101" t="n">
        <f aca="false">SUMIF(Projects,$P40,AV$50:AV$50)</f>
        <v>0</v>
      </c>
      <c r="AW40" s="101" t="n">
        <f aca="false">SUMIF(Projects,$P40,AW$50:AW$50)</f>
        <v>0</v>
      </c>
      <c r="AX40" s="101" t="n">
        <f aca="false">SUMIF(Projects,$P40,AX$50:AX$50)</f>
        <v>0</v>
      </c>
      <c r="AY40" s="101" t="n">
        <f aca="false">SUMIF(Projects,$P40,AY$50:AY$50)</f>
        <v>0</v>
      </c>
      <c r="AZ40" s="101" t="n">
        <f aca="false">SUMIF(Projects,$P40,AZ$50:AZ$50)</f>
        <v>0</v>
      </c>
      <c r="BA40" s="101" t="n">
        <f aca="false">SUMIF(Projects,$P40,BA$50:BA$50)</f>
        <v>0</v>
      </c>
      <c r="BB40" s="101" t="n">
        <f aca="false">SUMIF(Projects,$P40,BB$50:BB$50)</f>
        <v>0</v>
      </c>
    </row>
    <row r="41" customFormat="false" ht="15" hidden="true" customHeight="true" outlineLevel="1" collapsed="false">
      <c r="L41" s="92"/>
      <c r="M41" s="92"/>
      <c r="N41" s="92"/>
      <c r="O41" s="98" t="s">
        <v>172</v>
      </c>
      <c r="P41" s="99" t="n">
        <f aca="false">P39</f>
        <v>0</v>
      </c>
      <c r="Q41" s="102" t="str">
        <f aca="false">IF(Q40=0,"",1-(Q39/Q40))</f>
        <v/>
      </c>
      <c r="R41" s="103"/>
      <c r="S41" s="104" t="str">
        <f aca="false">IF(S40=0,"",1-(S39/S40))</f>
        <v/>
      </c>
      <c r="T41" s="104" t="str">
        <f aca="false">IF(T40=0,"",1-(T39/T40))</f>
        <v/>
      </c>
      <c r="U41" s="104" t="str">
        <f aca="false">IF(U40=0,"",1-(U39/U40))</f>
        <v/>
      </c>
      <c r="V41" s="104" t="str">
        <f aca="false">IF(V40=0,"",1-(V39/V40))</f>
        <v/>
      </c>
      <c r="W41" s="104" t="str">
        <f aca="false">IF(W40=0,"",1-(W39/W40))</f>
        <v/>
      </c>
      <c r="X41" s="104" t="str">
        <f aca="false">IF(X40=0,"",1-(X39/X40))</f>
        <v/>
      </c>
      <c r="Y41" s="104" t="str">
        <f aca="false">IF(Y40=0,"",1-(Y39/Y40))</f>
        <v/>
      </c>
      <c r="Z41" s="104" t="str">
        <f aca="false">IF(Z40=0,"",1-(Z39/Z40))</f>
        <v/>
      </c>
      <c r="AA41" s="104" t="str">
        <f aca="false">IF(AA40=0,"",1-(AA39/AA40))</f>
        <v/>
      </c>
      <c r="AB41" s="104" t="str">
        <f aca="false">IF(AB40=0,"",1-(AB39/AB40))</f>
        <v/>
      </c>
      <c r="AC41" s="104" t="str">
        <f aca="false">IF(AC40=0,"",1-(AC39/AC40))</f>
        <v/>
      </c>
      <c r="AD41" s="104" t="str">
        <f aca="false">IF(AD40=0,"",1-(AD39/AD40))</f>
        <v/>
      </c>
      <c r="AE41" s="104" t="str">
        <f aca="false">IF(AE40=0,"",1-(AE39/AE40))</f>
        <v/>
      </c>
      <c r="AF41" s="104" t="str">
        <f aca="false">IF(AF40=0,"",1-(AF39/AF40))</f>
        <v/>
      </c>
      <c r="AG41" s="104" t="str">
        <f aca="false">IF(AG40=0,"",1-(AG39/AG40))</f>
        <v/>
      </c>
      <c r="AH41" s="104" t="str">
        <f aca="false">IF(AH40=0,"",1-(AH39/AH40))</f>
        <v/>
      </c>
      <c r="AI41" s="104" t="str">
        <f aca="false">IF(AI40=0,"",1-(AI39/AI40))</f>
        <v/>
      </c>
      <c r="AJ41" s="104" t="str">
        <f aca="false">IF(AJ40=0,"",1-(AJ39/AJ40))</f>
        <v/>
      </c>
      <c r="AK41" s="104" t="str">
        <f aca="false">IF(AK40=0,"",1-(AK39/AK40))</f>
        <v/>
      </c>
      <c r="AL41" s="104" t="str">
        <f aca="false">IF(AL40=0,"",1-(AL39/AL40))</f>
        <v/>
      </c>
      <c r="AM41" s="104" t="str">
        <f aca="false">IF(AM40=0,"",1-(AM39/AM40))</f>
        <v/>
      </c>
      <c r="AN41" s="104" t="str">
        <f aca="false">IF(AN40=0,"",1-(AN39/AN40))</f>
        <v/>
      </c>
      <c r="AO41" s="104" t="str">
        <f aca="false">IF(AO40=0,"",1-(AO39/AO40))</f>
        <v/>
      </c>
      <c r="AP41" s="104" t="str">
        <f aca="false">IF(AP40=0,"",1-(AP39/AP40))</f>
        <v/>
      </c>
      <c r="AQ41" s="104" t="str">
        <f aca="false">IF(AQ40=0,"",1-(AQ39/AQ40))</f>
        <v/>
      </c>
      <c r="AR41" s="104" t="str">
        <f aca="false">IF(AR40=0,"",1-(AR39/AR40))</f>
        <v/>
      </c>
      <c r="AS41" s="104" t="str">
        <f aca="false">IF(AS40=0,"",1-(AS39/AS40))</f>
        <v/>
      </c>
      <c r="AT41" s="104" t="str">
        <f aca="false">IF(AT40=0,"",1-(AT39/AT40))</f>
        <v/>
      </c>
      <c r="AU41" s="104" t="str">
        <f aca="false">IF(AU40=0,"",1-(AU39/AU40))</f>
        <v/>
      </c>
      <c r="AV41" s="104" t="str">
        <f aca="false">IF(AV40=0,"",1-(AV39/AV40))</f>
        <v/>
      </c>
      <c r="AW41" s="104" t="str">
        <f aca="false">IF(AW40=0,"",1-(AW39/AW40))</f>
        <v/>
      </c>
      <c r="AX41" s="104" t="str">
        <f aca="false">IF(AX40=0,"",1-(AX39/AX40))</f>
        <v/>
      </c>
      <c r="AY41" s="104" t="str">
        <f aca="false">IF(AY40=0,"",1-(AY39/AY40))</f>
        <v/>
      </c>
      <c r="AZ41" s="104" t="str">
        <f aca="false">IF(AZ40=0,"",1-(AZ39/AZ40))</f>
        <v/>
      </c>
      <c r="BA41" s="104" t="str">
        <f aca="false">IF(BA40=0,"",1-(BA39/BA40))</f>
        <v/>
      </c>
      <c r="BB41" s="104" t="str">
        <f aca="false">IF(BB40=0,"",1-(BB39/BB40))</f>
        <v/>
      </c>
    </row>
    <row r="42" customFormat="false" ht="6.75" hidden="true" customHeight="true" outlineLevel="1" collapsed="false">
      <c r="B42" s="88"/>
      <c r="C42" s="88"/>
      <c r="D42" s="41"/>
      <c r="E42" s="41"/>
      <c r="F42" s="105"/>
      <c r="G42" s="105"/>
      <c r="H42" s="41"/>
      <c r="I42" s="41"/>
      <c r="J42" s="41"/>
      <c r="K42" s="41"/>
      <c r="L42" s="41"/>
      <c r="M42" s="41"/>
      <c r="N42" s="41"/>
      <c r="O42" s="106"/>
      <c r="P42" s="93"/>
      <c r="Q42" s="106"/>
      <c r="R42" s="93"/>
    </row>
    <row r="43" s="41" customFormat="true" ht="15" hidden="false" customHeight="true" outlineLevel="0" collapsed="false">
      <c r="A43" s="40"/>
      <c r="B43" s="89" t="s">
        <v>173</v>
      </c>
      <c r="C43" s="90" t="s">
        <v>167</v>
      </c>
      <c r="E43" s="107" t="s">
        <v>174</v>
      </c>
      <c r="F43" s="105" t="s">
        <v>0</v>
      </c>
      <c r="G43" s="105"/>
      <c r="L43" s="108" t="s">
        <v>175</v>
      </c>
      <c r="M43" s="108"/>
      <c r="N43" s="108"/>
      <c r="O43" s="93" t="s">
        <v>176</v>
      </c>
      <c r="P43" s="109"/>
      <c r="Q43" s="93"/>
      <c r="R43" s="93"/>
      <c r="S43" s="110" t="n">
        <f aca="false">SUMIF(Resource_Planning!$P$391:$P$490,$P43,Resource_Planning!S$391:S$490)</f>
        <v>0</v>
      </c>
      <c r="T43" s="110" t="n">
        <f aca="false">SUMIF(Resource_Planning!$P$391:$P$490,$P43,Resource_Planning!T$391:T$490)</f>
        <v>0</v>
      </c>
      <c r="U43" s="110" t="n">
        <f aca="false">SUMIF(Resource_Planning!$P$391:$P$490,$P43,Resource_Planning!U$391:U$490)</f>
        <v>0</v>
      </c>
      <c r="V43" s="110" t="n">
        <f aca="false">SUMIF(Resource_Planning!$P$391:$P$490,$P43,Resource_Planning!V$391:V$490)</f>
        <v>0</v>
      </c>
      <c r="W43" s="110" t="n">
        <f aca="false">SUMIF(Resource_Planning!$P$391:$P$490,$P43,Resource_Planning!W$391:W$490)</f>
        <v>0</v>
      </c>
      <c r="X43" s="110" t="n">
        <f aca="false">SUMIF(Resource_Planning!$P$391:$P$490,$P43,Resource_Planning!X$391:X$490)</f>
        <v>0</v>
      </c>
      <c r="Y43" s="110" t="n">
        <f aca="false">SUMIF(Resource_Planning!$P$391:$P$490,$P43,Resource_Planning!Y$391:Y$490)</f>
        <v>0</v>
      </c>
      <c r="Z43" s="110" t="n">
        <f aca="false">SUMIF(Resource_Planning!$P$391:$P$490,$P43,Resource_Planning!Z$391:Z$490)</f>
        <v>0</v>
      </c>
      <c r="AA43" s="110" t="n">
        <f aca="false">SUMIF(Resource_Planning!$P$391:$P$490,$P43,Resource_Planning!AA$391:AA$490)</f>
        <v>0</v>
      </c>
      <c r="AB43" s="110" t="n">
        <f aca="false">SUMIF(Resource_Planning!$P$391:$P$490,$P43,Resource_Planning!AB$391:AB$490)</f>
        <v>0</v>
      </c>
      <c r="AC43" s="110" t="n">
        <f aca="false">SUMIF(Resource_Planning!$P$391:$P$490,$P43,Resource_Planning!AC$391:AC$490)</f>
        <v>0</v>
      </c>
      <c r="AD43" s="110" t="n">
        <f aca="false">SUMIF(Resource_Planning!$P$391:$P$490,$P43,Resource_Planning!AD$391:AD$490)</f>
        <v>0</v>
      </c>
      <c r="AE43" s="110" t="n">
        <f aca="false">SUMIF(Resource_Planning!$P$391:$P$490,$P43,Resource_Planning!AE$391:AE$490)</f>
        <v>0</v>
      </c>
      <c r="AF43" s="110" t="n">
        <f aca="false">SUMIF(Resource_Planning!$P$391:$P$490,$P43,Resource_Planning!AF$391:AF$490)</f>
        <v>0</v>
      </c>
      <c r="AG43" s="110" t="n">
        <f aca="false">SUMIF(Resource_Planning!$P$391:$P$490,$P43,Resource_Planning!AG$391:AG$490)</f>
        <v>0</v>
      </c>
      <c r="AH43" s="110" t="n">
        <f aca="false">SUMIF(Resource_Planning!$P$391:$P$490,$P43,Resource_Planning!AH$391:AH$490)</f>
        <v>0</v>
      </c>
      <c r="AI43" s="110" t="n">
        <f aca="false">SUMIF(Resource_Planning!$P$391:$P$490,$P43,Resource_Planning!AI$391:AI$490)</f>
        <v>0</v>
      </c>
      <c r="AJ43" s="110" t="n">
        <f aca="false">SUMIF(Resource_Planning!$P$391:$P$490,$P43,Resource_Planning!AJ$391:AJ$490)</f>
        <v>0</v>
      </c>
      <c r="AK43" s="110" t="n">
        <f aca="false">SUMIF(Resource_Planning!$P$391:$P$490,$P43,Resource_Planning!AK$391:AK$490)</f>
        <v>0</v>
      </c>
      <c r="AL43" s="110" t="n">
        <f aca="false">SUMIF(Resource_Planning!$P$391:$P$490,$P43,Resource_Planning!AL$391:AL$490)</f>
        <v>0</v>
      </c>
      <c r="AM43" s="110" t="n">
        <f aca="false">SUMIF(Resource_Planning!$P$391:$P$490,$P43,Resource_Planning!AM$391:AM$490)</f>
        <v>0</v>
      </c>
      <c r="AN43" s="110" t="n">
        <f aca="false">SUMIF(Resource_Planning!$P$391:$P$490,$P43,Resource_Planning!AN$391:AN$490)</f>
        <v>0</v>
      </c>
      <c r="AO43" s="110" t="n">
        <f aca="false">SUMIF(Resource_Planning!$P$391:$P$490,$P43,Resource_Planning!AO$391:AO$490)</f>
        <v>0</v>
      </c>
      <c r="AP43" s="110" t="n">
        <f aca="false">SUMIF(Resource_Planning!$P$391:$P$490,$P43,Resource_Planning!AP$391:AP$490)</f>
        <v>0</v>
      </c>
      <c r="AQ43" s="110" t="n">
        <f aca="false">SUMIF(Resource_Planning!$P$391:$P$490,$P43,Resource_Planning!AQ$391:AQ$490)</f>
        <v>0</v>
      </c>
      <c r="AR43" s="110" t="n">
        <f aca="false">SUMIF(Resource_Planning!$P$391:$P$490,$P43,Resource_Planning!AR$391:AR$490)</f>
        <v>0</v>
      </c>
      <c r="AS43" s="110" t="n">
        <f aca="false">SUMIF(Resource_Planning!$P$391:$P$490,$P43,Resource_Planning!AS$391:AS$490)</f>
        <v>0</v>
      </c>
      <c r="AT43" s="110" t="n">
        <f aca="false">SUMIF(Resource_Planning!$P$391:$P$490,$P43,Resource_Planning!AT$391:AT$490)</f>
        <v>0</v>
      </c>
      <c r="AU43" s="110" t="n">
        <f aca="false">SUMIF(Resource_Planning!$P$391:$P$490,$P43,Resource_Planning!AU$391:AU$490)</f>
        <v>0</v>
      </c>
      <c r="AV43" s="110" t="n">
        <f aca="false">SUMIF(Resource_Planning!$P$391:$P$490,$P43,Resource_Planning!AV$391:AV$490)</f>
        <v>0</v>
      </c>
      <c r="AW43" s="110" t="n">
        <f aca="false">SUMIF(Resource_Planning!$P$391:$P$490,$P43,Resource_Planning!AW$391:AW$490)</f>
        <v>0</v>
      </c>
      <c r="AX43" s="110" t="n">
        <f aca="false">SUMIF(Resource_Planning!$P$391:$P$490,$P43,Resource_Planning!AX$391:AX$490)</f>
        <v>0</v>
      </c>
      <c r="AY43" s="110" t="n">
        <f aca="false">SUMIF(Resource_Planning!$P$391:$P$490,$P43,Resource_Planning!AY$391:AY$490)</f>
        <v>0</v>
      </c>
      <c r="AZ43" s="110" t="n">
        <f aca="false">SUMIF(Resource_Planning!$P$391:$P$490,$P43,Resource_Planning!AZ$391:AZ$490)</f>
        <v>0</v>
      </c>
      <c r="BA43" s="110" t="n">
        <f aca="false">SUMIF(Resource_Planning!$P$391:$P$490,$P43,Resource_Planning!BA$391:BA$490)</f>
        <v>0</v>
      </c>
      <c r="BB43" s="110" t="n">
        <f aca="false">SUMIF(Resource_Planning!$P$391:$P$490,$P43,Resource_Planning!BB$391:BB$490)</f>
        <v>0</v>
      </c>
    </row>
    <row r="44" s="41" customFormat="true" ht="15" hidden="false" customHeight="true" outlineLevel="0" collapsed="false">
      <c r="A44" s="40"/>
      <c r="B44" s="40"/>
      <c r="C44" s="40"/>
      <c r="F44" s="105"/>
      <c r="G44" s="105"/>
      <c r="L44" s="108"/>
      <c r="M44" s="108"/>
      <c r="N44" s="108"/>
      <c r="O44" s="93" t="s">
        <v>177</v>
      </c>
      <c r="P44" s="111" t="n">
        <f aca="false">P43</f>
        <v>0</v>
      </c>
      <c r="Q44" s="93"/>
      <c r="R44" s="111"/>
      <c r="S44" s="112" t="n">
        <f aca="false">SUMIF($P$254:$P$355,$P44,S$254:S$355)</f>
        <v>0</v>
      </c>
      <c r="T44" s="112" t="n">
        <f aca="false">SUMIF($P$254:$P$355,$P44,T$254:T$355)</f>
        <v>0</v>
      </c>
      <c r="U44" s="112" t="n">
        <f aca="false">SUMIF($P$254:$P$355,$P44,U$254:U$355)</f>
        <v>0</v>
      </c>
      <c r="V44" s="112" t="n">
        <f aca="false">SUMIF($P$254:$P$355,$P44,V$254:V$355)</f>
        <v>0</v>
      </c>
      <c r="W44" s="112" t="n">
        <f aca="false">SUMIF($P$254:$P$355,$P44,W$254:W$355)</f>
        <v>0</v>
      </c>
      <c r="X44" s="112" t="n">
        <f aca="false">SUMIF($P$254:$P$355,$P44,X$254:X$355)</f>
        <v>0</v>
      </c>
      <c r="Y44" s="112" t="n">
        <f aca="false">SUMIF($P$254:$P$355,$P44,Y$254:Y$355)</f>
        <v>0</v>
      </c>
      <c r="Z44" s="112" t="n">
        <f aca="false">SUMIF($P$254:$P$355,$P44,Z$254:Z$355)</f>
        <v>0</v>
      </c>
      <c r="AA44" s="112" t="n">
        <f aca="false">SUMIF($P$254:$P$355,$P44,AA$254:AA$355)</f>
        <v>0</v>
      </c>
      <c r="AB44" s="112" t="n">
        <f aca="false">SUMIF($P$254:$P$355,$P44,AB$254:AB$355)</f>
        <v>0</v>
      </c>
      <c r="AC44" s="112" t="n">
        <f aca="false">SUMIF($P$254:$P$355,$P44,AC$254:AC$355)</f>
        <v>0</v>
      </c>
      <c r="AD44" s="112" t="n">
        <f aca="false">SUMIF($P$254:$P$355,$P44,AD$254:AD$355)</f>
        <v>0</v>
      </c>
      <c r="AE44" s="112" t="n">
        <f aca="false">SUMIF($P$254:$P$355,$P44,AE$254:AE$355)</f>
        <v>0</v>
      </c>
      <c r="AF44" s="112" t="n">
        <f aca="false">SUMIF($P$254:$P$355,$P44,AF$254:AF$355)</f>
        <v>0</v>
      </c>
      <c r="AG44" s="112" t="n">
        <f aca="false">SUMIF($P$254:$P$355,$P44,AG$254:AG$355)</f>
        <v>0</v>
      </c>
      <c r="AH44" s="112" t="n">
        <f aca="false">SUMIF($P$254:$P$355,$P44,AH$254:AH$355)</f>
        <v>0</v>
      </c>
      <c r="AI44" s="112" t="n">
        <f aca="false">SUMIF($P$254:$P$355,$P44,AI$254:AI$355)</f>
        <v>0</v>
      </c>
      <c r="AJ44" s="112" t="n">
        <f aca="false">SUMIF($P$254:$P$355,$P44,AJ$254:AJ$355)</f>
        <v>0</v>
      </c>
      <c r="AK44" s="112" t="n">
        <f aca="false">SUMIF($P$254:$P$355,$P44,AK$254:AK$355)</f>
        <v>0</v>
      </c>
      <c r="AL44" s="112" t="n">
        <f aca="false">SUMIF($P$254:$P$355,$P44,AL$254:AL$355)</f>
        <v>0</v>
      </c>
      <c r="AM44" s="112" t="n">
        <f aca="false">SUMIF($P$254:$P$355,$P44,AM$254:AM$355)</f>
        <v>0</v>
      </c>
      <c r="AN44" s="112" t="n">
        <f aca="false">SUMIF($P$254:$P$355,$P44,AN$254:AN$355)</f>
        <v>0</v>
      </c>
      <c r="AO44" s="112" t="n">
        <f aca="false">SUMIF($P$254:$P$355,$P44,AO$254:AO$355)</f>
        <v>0</v>
      </c>
      <c r="AP44" s="112" t="n">
        <f aca="false">SUMIF($P$254:$P$355,$P44,AP$254:AP$355)</f>
        <v>0</v>
      </c>
      <c r="AQ44" s="112" t="n">
        <f aca="false">SUMIF($P$254:$P$355,$P44,AQ$254:AQ$355)</f>
        <v>0</v>
      </c>
      <c r="AR44" s="112" t="n">
        <f aca="false">SUMIF($P$254:$P$355,$P44,AR$254:AR$355)</f>
        <v>0</v>
      </c>
      <c r="AS44" s="112" t="n">
        <f aca="false">SUMIF($P$254:$P$355,$P44,AS$254:AS$355)</f>
        <v>0</v>
      </c>
      <c r="AT44" s="112" t="n">
        <f aca="false">SUMIF($P$254:$P$355,$P44,AT$254:AT$355)</f>
        <v>0</v>
      </c>
      <c r="AU44" s="112" t="n">
        <f aca="false">SUMIF($P$254:$P$355,$P44,AU$254:AU$355)</f>
        <v>0</v>
      </c>
      <c r="AV44" s="112" t="n">
        <f aca="false">SUMIF($P$254:$P$355,$P44,AV$254:AV$355)</f>
        <v>0</v>
      </c>
      <c r="AW44" s="112" t="n">
        <f aca="false">SUMIF($P$254:$P$355,$P44,AW$254:AW$355)</f>
        <v>0</v>
      </c>
      <c r="AX44" s="112" t="n">
        <f aca="false">SUMIF($P$254:$P$355,$P44,AX$254:AX$355)</f>
        <v>0</v>
      </c>
      <c r="AY44" s="112" t="n">
        <f aca="false">SUMIF($P$254:$P$355,$P44,AY$254:AY$355)</f>
        <v>0</v>
      </c>
      <c r="AZ44" s="112" t="n">
        <f aca="false">SUMIF($P$254:$P$355,$P44,AZ$254:AZ$355)</f>
        <v>0</v>
      </c>
      <c r="BA44" s="112" t="n">
        <f aca="false">SUMIF($P$254:$P$355,$P44,BA$254:BA$355)</f>
        <v>0</v>
      </c>
      <c r="BB44" s="112" t="n">
        <f aca="false">SUMIF($P$254:$P$355,$P44,BB$254:BB$355)</f>
        <v>0</v>
      </c>
    </row>
    <row r="45" s="41" customFormat="true" ht="15" hidden="false" customHeight="true" outlineLevel="0" collapsed="false">
      <c r="A45" s="40"/>
      <c r="B45" s="40"/>
      <c r="F45" s="105"/>
      <c r="G45" s="105"/>
      <c r="L45" s="108"/>
      <c r="M45" s="108"/>
      <c r="N45" s="108"/>
      <c r="O45" s="93" t="s">
        <v>178</v>
      </c>
      <c r="P45" s="113" t="n">
        <f aca="false">P44</f>
        <v>0</v>
      </c>
      <c r="Q45" s="93"/>
      <c r="R45" s="113"/>
      <c r="S45" s="114" t="n">
        <f aca="false">SUMIF($P$50:$P$250,$P45,S$50:S$250) - IF($F$43 ="n",SUMIFS(S$50:S$250,$P$50:$P$250,$P45,$E$50:$E$250,"pre_alloc"),0)</f>
        <v>0</v>
      </c>
      <c r="T45" s="114" t="n">
        <f aca="false">SUMIF($P$50:$P$250,$P45,T$50:T$250) - IF($F$43 ="n",SUMIFS(T$50:T$250,$P$50:$P$250,$P45,$E$50:$E$250,"pre_alloc"),0)</f>
        <v>0</v>
      </c>
      <c r="U45" s="114" t="n">
        <f aca="false">SUMIF($P$50:$P$250,$P45,U$50:U$250) - IF($F$43 ="n",SUMIFS(U$50:U$250,$P$50:$P$250,$P45,$E$50:$E$250,"pre_alloc"),0)</f>
        <v>0</v>
      </c>
      <c r="V45" s="114" t="n">
        <f aca="false">SUMIF($P$50:$P$250,$P45,V$50:V$250) - IF($F$43 ="n",SUMIFS(V$50:V$250,$P$50:$P$250,$P45,$E$50:$E$250,"pre_alloc"),0)</f>
        <v>0</v>
      </c>
      <c r="W45" s="114" t="n">
        <f aca="false">SUMIF($P$50:$P$250,$P45,W$50:W$250) - IF($F$43 ="n",SUMIFS(W$50:W$250,$P$50:$P$250,$P45,$E$50:$E$250,"pre_alloc"),0)</f>
        <v>0</v>
      </c>
      <c r="X45" s="114" t="n">
        <f aca="false">SUMIF($P$50:$P$250,$P45,X$50:X$250) - IF($F$43 ="n",SUMIFS(X$50:X$250,$P$50:$P$250,$P45,$E$50:$E$250,"pre_alloc"),0)</f>
        <v>0</v>
      </c>
      <c r="Y45" s="114" t="n">
        <f aca="false">SUMIF($P$50:$P$250,$P45,Y$50:Y$250) - IF($F$43 ="n",SUMIFS(Y$50:Y$250,$P$50:$P$250,$P45,$E$50:$E$250,"pre_alloc"),0)</f>
        <v>0</v>
      </c>
      <c r="Z45" s="114" t="n">
        <f aca="false">SUMIF($P$50:$P$250,$P45,Z$50:Z$250) - IF($F$43 ="n",SUMIFS(Z$50:Z$250,$P$50:$P$250,$P45,$E$50:$E$250,"pre_alloc"),0)</f>
        <v>0</v>
      </c>
      <c r="AA45" s="114" t="n">
        <f aca="false">SUMIF($P$50:$P$250,$P45,AA$50:AA$250) - IF($F$43 ="n",SUMIFS(AA$50:AA$250,$P$50:$P$250,$P45,$E$50:$E$250,"pre_alloc"),0)</f>
        <v>0</v>
      </c>
      <c r="AB45" s="114" t="n">
        <f aca="false">SUMIF($P$50:$P$250,$P45,AB$50:AB$250) - IF($F$43 ="n",SUMIFS(AB$50:AB$250,$P$50:$P$250,$P45,$E$50:$E$250,"pre_alloc"),0)</f>
        <v>0</v>
      </c>
      <c r="AC45" s="114" t="n">
        <f aca="false">SUMIF($P$50:$P$250,$P45,AC$50:AC$250) - IF($F$43 ="n",SUMIFS(AC$50:AC$250,$P$50:$P$250,$P45,$E$50:$E$250,"pre_alloc"),0)</f>
        <v>0</v>
      </c>
      <c r="AD45" s="114" t="n">
        <f aca="false">SUMIF($P$50:$P$250,$P45,AD$50:AD$250) - IF($F$43 ="n",SUMIFS(AD$50:AD$250,$P$50:$P$250,$P45,$E$50:$E$250,"pre_alloc"),0)</f>
        <v>0</v>
      </c>
      <c r="AE45" s="114" t="n">
        <f aca="false">SUMIF($P$50:$P$250,$P45,AE$50:AE$250) - IF($F$43 ="n",SUMIFS(AE$50:AE$250,$P$50:$P$250,$P45,$E$50:$E$250,"pre_alloc"),0)</f>
        <v>0</v>
      </c>
      <c r="AF45" s="114" t="n">
        <f aca="false">SUMIF($P$50:$P$250,$P45,AF$50:AF$250) - IF($F$43 ="n",SUMIFS(AF$50:AF$250,$P$50:$P$250,$P45,$E$50:$E$250,"pre_alloc"),0)</f>
        <v>0</v>
      </c>
      <c r="AG45" s="114" t="n">
        <f aca="false">SUMIF($P$50:$P$250,$P45,AG$50:AG$250) - IF($F$43 ="n",SUMIFS(AG$50:AG$250,$P$50:$P$250,$P45,$E$50:$E$250,"pre_alloc"),0)</f>
        <v>0</v>
      </c>
      <c r="AH45" s="114" t="n">
        <f aca="false">SUMIF($P$50:$P$250,$P45,AH$50:AH$250) - IF($F$43 ="n",SUMIFS(AH$50:AH$250,$P$50:$P$250,$P45,$E$50:$E$250,"pre_alloc"),0)</f>
        <v>0</v>
      </c>
      <c r="AI45" s="114" t="n">
        <f aca="false">SUMIF($P$50:$P$250,$P45,AI$50:AI$250) - IF($F$43 ="n",SUMIFS(AI$50:AI$250,$P$50:$P$250,$P45,$E$50:$E$250,"pre_alloc"),0)</f>
        <v>0</v>
      </c>
      <c r="AJ45" s="114" t="n">
        <f aca="false">SUMIF($P$50:$P$250,$P45,AJ$50:AJ$250) - IF($F$43 ="n",SUMIFS(AJ$50:AJ$250,$P$50:$P$250,$P45,$E$50:$E$250,"pre_alloc"),0)</f>
        <v>0</v>
      </c>
      <c r="AK45" s="114" t="n">
        <f aca="false">SUMIF($P$50:$P$250,$P45,AK$50:AK$250) - IF($F$43 ="n",SUMIFS(AK$50:AK$250,$P$50:$P$250,$P45,$E$50:$E$250,"pre_alloc"),0)</f>
        <v>0</v>
      </c>
      <c r="AL45" s="114" t="n">
        <f aca="false">SUMIF($P$50:$P$250,$P45,AL$50:AL$250) - IF($F$43 ="n",SUMIFS(AL$50:AL$250,$P$50:$P$250,$P45,$E$50:$E$250,"pre_alloc"),0)</f>
        <v>0</v>
      </c>
      <c r="AM45" s="114" t="n">
        <f aca="false">SUMIF($P$50:$P$250,$P45,AM$50:AM$250) - IF($F$43 ="n",SUMIFS(AM$50:AM$250,$P$50:$P$250,$P45,$E$50:$E$250,"pre_alloc"),0)</f>
        <v>0</v>
      </c>
      <c r="AN45" s="114" t="n">
        <f aca="false">SUMIF($P$50:$P$250,$P45,AN$50:AN$250) - IF($F$43 ="n",SUMIFS(AN$50:AN$250,$P$50:$P$250,$P45,$E$50:$E$250,"pre_alloc"),0)</f>
        <v>0</v>
      </c>
      <c r="AO45" s="114" t="n">
        <f aca="false">SUMIF($P$50:$P$250,$P45,AO$50:AO$250) - IF($F$43 ="n",SUMIFS(AO$50:AO$250,$P$50:$P$250,$P45,$E$50:$E$250,"pre_alloc"),0)</f>
        <v>0</v>
      </c>
      <c r="AP45" s="114" t="n">
        <f aca="false">SUMIF($P$50:$P$250,$P45,AP$50:AP$250) - IF($F$43 ="n",SUMIFS(AP$50:AP$250,$P$50:$P$250,$P45,$E$50:$E$250,"pre_alloc"),0)</f>
        <v>0</v>
      </c>
      <c r="AQ45" s="114" t="n">
        <f aca="false">SUMIF($P$50:$P$250,$P45,AQ$50:AQ$250) - IF($F$43 ="n",SUMIFS(AQ$50:AQ$250,$P$50:$P$250,$P45,$E$50:$E$250,"pre_alloc"),0)</f>
        <v>0</v>
      </c>
      <c r="AR45" s="114" t="n">
        <f aca="false">SUMIF($P$50:$P$250,$P45,AR$50:AR$250) - IF($F$43 ="n",SUMIFS(AR$50:AR$250,$P$50:$P$250,$P45,$E$50:$E$250,"pre_alloc"),0)</f>
        <v>0</v>
      </c>
      <c r="AS45" s="114" t="n">
        <f aca="false">SUMIF($P$50:$P$250,$P45,AS$50:AS$250) - IF($F$43 ="n",SUMIFS(AS$50:AS$250,$P$50:$P$250,$P45,$E$50:$E$250,"pre_alloc"),0)</f>
        <v>0</v>
      </c>
      <c r="AT45" s="114" t="n">
        <f aca="false">SUMIF($P$50:$P$250,$P45,AT$50:AT$250) - IF($F$43 ="n",SUMIFS(AT$50:AT$250,$P$50:$P$250,$P45,$E$50:$E$250,"pre_alloc"),0)</f>
        <v>0</v>
      </c>
      <c r="AU45" s="114" t="n">
        <f aca="false">SUMIF($P$50:$P$250,$P45,AU$50:AU$250) - IF($F$43 ="n",SUMIFS(AU$50:AU$250,$P$50:$P$250,$P45,$E$50:$E$250,"pre_alloc"),0)</f>
        <v>0</v>
      </c>
      <c r="AV45" s="114" t="n">
        <f aca="false">SUMIF($P$50:$P$250,$P45,AV$50:AV$250) - IF($F$43 ="n",SUMIFS(AV$50:AV$250,$P$50:$P$250,$P45,$E$50:$E$250,"pre_alloc"),0)</f>
        <v>0</v>
      </c>
      <c r="AW45" s="114" t="n">
        <f aca="false">SUMIF($P$50:$P$250,$P45,AW$50:AW$250) - IF($F$43 ="n",SUMIFS(AW$50:AW$250,$P$50:$P$250,$P45,$E$50:$E$250,"pre_alloc"),0)</f>
        <v>0</v>
      </c>
      <c r="AX45" s="114" t="n">
        <f aca="false">SUMIF($P$50:$P$250,$P45,AX$50:AX$250) - IF($F$43 ="n",SUMIFS(AX$50:AX$250,$P$50:$P$250,$P45,$E$50:$E$250,"pre_alloc"),0)</f>
        <v>0</v>
      </c>
      <c r="AY45" s="114" t="n">
        <f aca="false">SUMIF($P$50:$P$250,$P45,AY$50:AY$250) - IF($F$43 ="n",SUMIFS(AY$50:AY$250,$P$50:$P$250,$P45,$E$50:$E$250,"pre_alloc"),0)</f>
        <v>0</v>
      </c>
      <c r="AZ45" s="114" t="n">
        <f aca="false">SUMIF($P$50:$P$250,$P45,AZ$50:AZ$250) - IF($F$43 ="n",SUMIFS(AZ$50:AZ$250,$P$50:$P$250,$P45,$E$50:$E$250,"pre_alloc"),0)</f>
        <v>0</v>
      </c>
      <c r="BA45" s="114" t="n">
        <f aca="false">SUMIF($P$50:$P$250,$P45,BA$50:BA$250) - IF($F$43 ="n",SUMIFS(BA$50:BA$250,$P$50:$P$250,$P45,$E$50:$E$250,"pre_alloc"),0)</f>
        <v>0</v>
      </c>
      <c r="BB45" s="114" t="n">
        <f aca="false">SUMIF($P$50:$P$250,$P45,BB$50:BB$250) - IF($F$43 ="n",SUMIFS(BB$50:BB$250,$P$50:$P$250,$P45,$E$50:$E$250,"pre_alloc"),0)</f>
        <v>0</v>
      </c>
    </row>
    <row r="46" s="41" customFormat="true" ht="15" hidden="false" customHeight="true" outlineLevel="0" collapsed="false">
      <c r="A46" s="40"/>
      <c r="B46" s="40"/>
      <c r="F46" s="105"/>
      <c r="G46" s="105"/>
      <c r="L46" s="108"/>
      <c r="M46" s="108"/>
      <c r="N46" s="108"/>
      <c r="O46" s="93" t="s">
        <v>172</v>
      </c>
      <c r="P46" s="113" t="n">
        <f aca="false">P45</f>
        <v>0</v>
      </c>
      <c r="Q46" s="93"/>
      <c r="R46" s="113"/>
      <c r="S46" s="115" t="n">
        <f aca="false">S43-(S44+S45)</f>
        <v>0</v>
      </c>
      <c r="T46" s="115" t="n">
        <f aca="false">T43-(T44+T45)</f>
        <v>0</v>
      </c>
      <c r="U46" s="115" t="n">
        <f aca="false">U43-(U44+U45)</f>
        <v>0</v>
      </c>
      <c r="V46" s="115" t="n">
        <f aca="false">V43-(V44+V45)</f>
        <v>0</v>
      </c>
      <c r="W46" s="115" t="n">
        <f aca="false">W43-(W44+W45)</f>
        <v>0</v>
      </c>
      <c r="X46" s="115" t="n">
        <f aca="false">X43-(X44+X45)</f>
        <v>0</v>
      </c>
      <c r="Y46" s="115" t="n">
        <f aca="false">Y43-(Y44+Y45)</f>
        <v>0</v>
      </c>
      <c r="Z46" s="115" t="n">
        <f aca="false">Z43-(Z44+Z45)</f>
        <v>0</v>
      </c>
      <c r="AA46" s="115" t="n">
        <f aca="false">AA43-(AA44+AA45)</f>
        <v>0</v>
      </c>
      <c r="AB46" s="115" t="n">
        <f aca="false">AB43-(AB44+AB45)</f>
        <v>0</v>
      </c>
      <c r="AC46" s="115" t="n">
        <f aca="false">AC43-(AC44+AC45)</f>
        <v>0</v>
      </c>
      <c r="AD46" s="115" t="n">
        <f aca="false">AD43-(AD44+AD45)</f>
        <v>0</v>
      </c>
      <c r="AE46" s="115" t="n">
        <f aca="false">AE43-(AE44+AE45)</f>
        <v>0</v>
      </c>
      <c r="AF46" s="115" t="n">
        <f aca="false">AF43-(AF44+AF45)</f>
        <v>0</v>
      </c>
      <c r="AG46" s="115" t="n">
        <f aca="false">AG43-(AG44+AG45)</f>
        <v>0</v>
      </c>
      <c r="AH46" s="115" t="n">
        <f aca="false">AH43-(AH44+AH45)</f>
        <v>0</v>
      </c>
      <c r="AI46" s="115" t="n">
        <f aca="false">AI43-(AI44+AI45)</f>
        <v>0</v>
      </c>
      <c r="AJ46" s="115" t="n">
        <f aca="false">AJ43-(AJ44+AJ45)</f>
        <v>0</v>
      </c>
      <c r="AK46" s="115" t="n">
        <f aca="false">AK43-(AK44+AK45)</f>
        <v>0</v>
      </c>
      <c r="AL46" s="115" t="n">
        <f aca="false">AL43-(AL44+AL45)</f>
        <v>0</v>
      </c>
      <c r="AM46" s="115" t="n">
        <f aca="false">AM43-(AM44+AM45)</f>
        <v>0</v>
      </c>
      <c r="AN46" s="115" t="n">
        <f aca="false">AN43-(AN44+AN45)</f>
        <v>0</v>
      </c>
      <c r="AO46" s="115" t="n">
        <f aca="false">AO43-(AO44+AO45)</f>
        <v>0</v>
      </c>
      <c r="AP46" s="115" t="n">
        <f aca="false">AP43-(AP44+AP45)</f>
        <v>0</v>
      </c>
      <c r="AQ46" s="115" t="n">
        <f aca="false">AQ43-(AQ44+AQ45)</f>
        <v>0</v>
      </c>
      <c r="AR46" s="115" t="n">
        <f aca="false">AR43-(AR44+AR45)</f>
        <v>0</v>
      </c>
      <c r="AS46" s="115" t="n">
        <f aca="false">AS43-(AS44+AS45)</f>
        <v>0</v>
      </c>
      <c r="AT46" s="115" t="n">
        <f aca="false">AT43-(AT44+AT45)</f>
        <v>0</v>
      </c>
      <c r="AU46" s="115" t="n">
        <f aca="false">AU43-(AU44+AU45)</f>
        <v>0</v>
      </c>
      <c r="AV46" s="115" t="n">
        <f aca="false">AV43-(AV44+AV45)</f>
        <v>0</v>
      </c>
      <c r="AW46" s="115" t="n">
        <f aca="false">AW43-(AW44+AW45)</f>
        <v>0</v>
      </c>
      <c r="AX46" s="115" t="n">
        <f aca="false">AX43-(AX44+AX45)</f>
        <v>0</v>
      </c>
      <c r="AY46" s="115" t="n">
        <f aca="false">AY43-(AY44+AY45)</f>
        <v>0</v>
      </c>
      <c r="AZ46" s="115" t="n">
        <f aca="false">AZ43-(AZ44+AZ45)</f>
        <v>0</v>
      </c>
      <c r="BA46" s="115" t="n">
        <f aca="false">BA43-(BA44+BA45)</f>
        <v>0</v>
      </c>
      <c r="BB46" s="115" t="n">
        <f aca="false">BB43-(BB44+BB45)</f>
        <v>0</v>
      </c>
    </row>
    <row r="47" s="41" customFormat="true" ht="15" hidden="false" customHeight="false" outlineLevel="0" collapsed="false">
      <c r="A47" s="40"/>
      <c r="B47" s="40"/>
      <c r="F47" s="105"/>
      <c r="G47" s="105"/>
      <c r="S47" s="116"/>
      <c r="T47" s="117"/>
      <c r="U47" s="117"/>
      <c r="V47" s="117"/>
      <c r="W47" s="117"/>
      <c r="X47" s="117"/>
      <c r="Y47" s="117"/>
      <c r="Z47" s="117"/>
      <c r="AA47" s="117"/>
      <c r="AB47" s="116"/>
      <c r="AC47" s="116"/>
      <c r="AD47" s="116"/>
      <c r="AE47" s="116"/>
      <c r="AF47" s="117"/>
      <c r="AG47" s="117"/>
      <c r="AH47" s="117"/>
      <c r="AI47" s="117"/>
      <c r="AJ47" s="117"/>
      <c r="AK47" s="117"/>
      <c r="AL47" s="117"/>
      <c r="AM47" s="117"/>
      <c r="AN47" s="116"/>
      <c r="AO47" s="116"/>
      <c r="AP47" s="116"/>
      <c r="AQ47" s="116"/>
      <c r="AR47" s="117"/>
      <c r="AS47" s="117"/>
      <c r="AT47" s="117"/>
      <c r="AU47" s="117"/>
      <c r="AV47" s="117"/>
      <c r="AW47" s="117"/>
      <c r="AX47" s="117"/>
      <c r="AY47" s="117"/>
      <c r="AZ47" s="116"/>
      <c r="BA47" s="116"/>
      <c r="BB47" s="116"/>
    </row>
    <row r="48" s="86" customFormat="true" ht="21" hidden="false" customHeight="true" outlineLevel="0" collapsed="false">
      <c r="A48" s="50"/>
      <c r="B48" s="118" t="s">
        <v>152</v>
      </c>
      <c r="C48" s="119" t="s">
        <v>153</v>
      </c>
      <c r="D48" s="119" t="s">
        <v>154</v>
      </c>
      <c r="E48" s="119" t="s">
        <v>155</v>
      </c>
      <c r="F48" s="119" t="s">
        <v>156</v>
      </c>
      <c r="G48" s="120"/>
      <c r="H48" s="119" t="s">
        <v>179</v>
      </c>
      <c r="I48" s="119" t="s">
        <v>180</v>
      </c>
      <c r="J48" s="119" t="s">
        <v>181</v>
      </c>
      <c r="K48" s="119" t="s">
        <v>182</v>
      </c>
      <c r="L48" s="119" t="s">
        <v>183</v>
      </c>
      <c r="M48" s="119" t="s">
        <v>184</v>
      </c>
      <c r="N48" s="119" t="s">
        <v>14</v>
      </c>
      <c r="O48" s="119" t="s">
        <v>185</v>
      </c>
      <c r="P48" s="119" t="s">
        <v>13</v>
      </c>
      <c r="Q48" s="119" t="s">
        <v>164</v>
      </c>
      <c r="R48" s="121"/>
      <c r="S48" s="122" t="str">
        <f aca="false">CONCATENATE(S6," / ",YEAR(S5)-2000)</f>
        <v>1 / 23</v>
      </c>
      <c r="T48" s="122" t="str">
        <f aca="false">CONCATENATE(T6," / ",YEAR(T5)-2000)</f>
        <v>2 / 23</v>
      </c>
      <c r="U48" s="122" t="str">
        <f aca="false">CONCATENATE(U6," / ",YEAR(U5)-2000)</f>
        <v>3 / 23</v>
      </c>
      <c r="V48" s="122" t="str">
        <f aca="false">CONCATENATE(V6," / ",YEAR(V5)-2000)</f>
        <v>4 / 23</v>
      </c>
      <c r="W48" s="122" t="str">
        <f aca="false">CONCATENATE(W6," / ",YEAR(W5)-2000)</f>
        <v>5 / 23</v>
      </c>
      <c r="X48" s="122" t="str">
        <f aca="false">CONCATENATE(X6," / ",YEAR(X5)-2000)</f>
        <v>6 / 23</v>
      </c>
      <c r="Y48" s="122" t="str">
        <f aca="false">CONCATENATE(Y6," / ",YEAR(Y5)-2000)</f>
        <v>7 / 23</v>
      </c>
      <c r="Z48" s="122" t="str">
        <f aca="false">CONCATENATE(Z6," / ",YEAR(Z5)-2000)</f>
        <v>8 / 23</v>
      </c>
      <c r="AA48" s="122" t="str">
        <f aca="false">CONCATENATE(AA6," / ",YEAR(AA5)-2000)</f>
        <v>9 / 23</v>
      </c>
      <c r="AB48" s="122" t="str">
        <f aca="false">CONCATENATE(AB6," / ",YEAR(AB5)-2000)</f>
        <v>10 / 23</v>
      </c>
      <c r="AC48" s="122" t="str">
        <f aca="false">CONCATENATE(AC6," / ",YEAR(AC5)-2000)</f>
        <v>11 / 23</v>
      </c>
      <c r="AD48" s="122" t="str">
        <f aca="false">CONCATENATE(AD6," / ",YEAR(AD5)-2000)</f>
        <v>12 / 23</v>
      </c>
      <c r="AE48" s="122" t="str">
        <f aca="false">CONCATENATE(AE6," / ",YEAR(AE5)-2000)</f>
        <v>1 / 24</v>
      </c>
      <c r="AF48" s="122" t="str">
        <f aca="false">CONCATENATE(AF6," / ",YEAR(AF5)-2000)</f>
        <v>2 / 24</v>
      </c>
      <c r="AG48" s="122" t="str">
        <f aca="false">CONCATENATE(AG6," / ",YEAR(AG5)-2000)</f>
        <v>3 / 24</v>
      </c>
      <c r="AH48" s="122" t="str">
        <f aca="false">CONCATENATE(AH6," / ",YEAR(AH5)-2000)</f>
        <v>4 / 24</v>
      </c>
      <c r="AI48" s="122" t="str">
        <f aca="false">CONCATENATE(AI6," / ",YEAR(AI5)-2000)</f>
        <v>5 / 24</v>
      </c>
      <c r="AJ48" s="122" t="str">
        <f aca="false">CONCATENATE(AJ6," / ",YEAR(AJ5)-2000)</f>
        <v>6 / 24</v>
      </c>
      <c r="AK48" s="122" t="str">
        <f aca="false">CONCATENATE(AK6," / ",YEAR(AK5)-2000)</f>
        <v>7 / 24</v>
      </c>
      <c r="AL48" s="122" t="str">
        <f aca="false">CONCATENATE(AL6," / ",YEAR(AL5)-2000)</f>
        <v>8 / 24</v>
      </c>
      <c r="AM48" s="122" t="str">
        <f aca="false">CONCATENATE(AM6," / ",YEAR(AM5)-2000)</f>
        <v>9 / 24</v>
      </c>
      <c r="AN48" s="122" t="str">
        <f aca="false">CONCATENATE(AN6," / ",YEAR(AN5)-2000)</f>
        <v>10 / 24</v>
      </c>
      <c r="AO48" s="122" t="str">
        <f aca="false">CONCATENATE(AO6," / ",YEAR(AO5)-2000)</f>
        <v>11 / 24</v>
      </c>
      <c r="AP48" s="122" t="str">
        <f aca="false">CONCATENATE(AP6," / ",YEAR(AP5)-2000)</f>
        <v>12 / 24</v>
      </c>
      <c r="AQ48" s="122" t="str">
        <f aca="false">CONCATENATE(AQ6," / ",YEAR(AQ5)-2000)</f>
        <v>1 / 25</v>
      </c>
      <c r="AR48" s="122" t="str">
        <f aca="false">CONCATENATE(AR6," / ",YEAR(AR5)-2000)</f>
        <v>2 / 25</v>
      </c>
      <c r="AS48" s="122" t="str">
        <f aca="false">CONCATENATE(AS6," / ",YEAR(AS5)-2000)</f>
        <v>3 / 25</v>
      </c>
      <c r="AT48" s="122" t="str">
        <f aca="false">CONCATENATE(AT6," / ",YEAR(AT5)-2000)</f>
        <v>4 / 25</v>
      </c>
      <c r="AU48" s="122" t="str">
        <f aca="false">CONCATENATE(AU6," / ",YEAR(AU5)-2000)</f>
        <v>5 / 25</v>
      </c>
      <c r="AV48" s="122" t="str">
        <f aca="false">CONCATENATE(AV6," / ",YEAR(AV5)-2000)</f>
        <v>6 / 25</v>
      </c>
      <c r="AW48" s="122" t="str">
        <f aca="false">CONCATENATE(AW6," / ",YEAR(AW5)-2000)</f>
        <v>7 / 25</v>
      </c>
      <c r="AX48" s="122" t="str">
        <f aca="false">CONCATENATE(AX6," / ",YEAR(AX5)-2000)</f>
        <v>8 / 25</v>
      </c>
      <c r="AY48" s="122" t="str">
        <f aca="false">CONCATENATE(AY6," / ",YEAR(AY5)-2000)</f>
        <v>9 / 25</v>
      </c>
      <c r="AZ48" s="122" t="str">
        <f aca="false">CONCATENATE(AZ6," / ",YEAR(AZ5)-2000)</f>
        <v>10 / 25</v>
      </c>
      <c r="BA48" s="122" t="str">
        <f aca="false">CONCATENATE(BA6," / ",YEAR(BA5)-2000)</f>
        <v>11 / 25</v>
      </c>
      <c r="BB48" s="122" t="str">
        <f aca="false">CONCATENATE(BB6," / ",YEAR(BB5)-2000)</f>
        <v>12 / 25</v>
      </c>
    </row>
    <row r="49" s="86" customFormat="true" ht="12" hidden="false" customHeight="true" outlineLevel="0" collapsed="false">
      <c r="A49" s="50"/>
      <c r="B49" s="123" t="s">
        <v>186</v>
      </c>
      <c r="C49" s="124" t="n">
        <v>0</v>
      </c>
      <c r="D49" s="124" t="n">
        <v>0</v>
      </c>
      <c r="E49" s="124" t="n">
        <v>0</v>
      </c>
      <c r="F49" s="124" t="n">
        <v>0</v>
      </c>
      <c r="G49" s="125" t="n">
        <v>0</v>
      </c>
      <c r="H49" s="124" t="n">
        <v>0</v>
      </c>
      <c r="I49" s="124" t="n">
        <v>0</v>
      </c>
      <c r="J49" s="124" t="n">
        <v>0</v>
      </c>
      <c r="K49" s="124" t="n">
        <v>0</v>
      </c>
      <c r="L49" s="124" t="n">
        <v>0</v>
      </c>
      <c r="M49" s="124"/>
      <c r="N49" s="124"/>
      <c r="O49" s="124" t="n">
        <v>0</v>
      </c>
      <c r="P49" s="124" t="n">
        <v>0</v>
      </c>
      <c r="Q49" s="124" t="n">
        <v>0</v>
      </c>
      <c r="R49" s="126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</row>
    <row r="50" customFormat="false" ht="15" hidden="false" customHeight="false" outlineLevel="0" collapsed="false">
      <c r="B50" s="75" t="s">
        <v>187</v>
      </c>
      <c r="C50" s="128" t="s">
        <v>30</v>
      </c>
      <c r="D50" s="128"/>
      <c r="E50" s="128" t="s">
        <v>23</v>
      </c>
      <c r="F50" s="128" t="s">
        <v>188</v>
      </c>
      <c r="G50" s="129"/>
      <c r="H50" s="128"/>
      <c r="I50" s="128"/>
      <c r="J50" s="128"/>
      <c r="K50" s="128"/>
      <c r="L50" s="78" t="n">
        <f aca="false">SUM($S50:$BB50)</f>
        <v>1075.2</v>
      </c>
      <c r="M50" s="128"/>
      <c r="N50" s="130" t="str">
        <f aca="false">IF(ISERROR(VLOOKUP(P50,Member_Tab,2,FALSE())),"",VLOOKUP(P50,Member_Tab,2,FALSE()))</f>
        <v/>
      </c>
      <c r="O50" s="130" t="str">
        <f aca="false">IF(ISERROR(VLOOKUP(P50,Member_Tab,3,FALSE())),"",VLOOKUP(P50,Member_Tab,3,FALSE()))</f>
        <v/>
      </c>
      <c r="P50" s="75" t="s">
        <v>189</v>
      </c>
      <c r="Q50" s="128"/>
      <c r="R50" s="131"/>
      <c r="S50" s="132"/>
      <c r="T50" s="132"/>
      <c r="U50" s="132" t="n">
        <f aca="false">0.8*U$9</f>
        <v>117.76</v>
      </c>
      <c r="V50" s="132" t="n">
        <f aca="false">0.8*V$9</f>
        <v>92.16</v>
      </c>
      <c r="W50" s="132" t="n">
        <f aca="false">0.8*W$9</f>
        <v>107.52</v>
      </c>
      <c r="X50" s="132" t="n">
        <f aca="false">0.8*X$9</f>
        <v>102.4</v>
      </c>
      <c r="Y50" s="132" t="n">
        <f aca="false">0.8*Y$9</f>
        <v>107.52</v>
      </c>
      <c r="Z50" s="132" t="n">
        <f aca="false">0.8*Z$9</f>
        <v>117.76</v>
      </c>
      <c r="AA50" s="132" t="n">
        <f aca="false">0.8*AA$9</f>
        <v>107.52</v>
      </c>
      <c r="AB50" s="132" t="n">
        <f aca="false">0.8*AB$9</f>
        <v>112.64</v>
      </c>
      <c r="AC50" s="132" t="n">
        <f aca="false">0.8*AC$9</f>
        <v>112.64</v>
      </c>
      <c r="AD50" s="132" t="n">
        <f aca="false">0.8*AD$9</f>
        <v>97.28</v>
      </c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</row>
    <row r="51" customFormat="false" ht="15" hidden="false" customHeight="false" outlineLevel="0" collapsed="false">
      <c r="B51" s="75" t="s">
        <v>187</v>
      </c>
      <c r="C51" s="128" t="s">
        <v>30</v>
      </c>
      <c r="D51" s="128"/>
      <c r="E51" s="128" t="s">
        <v>23</v>
      </c>
      <c r="F51" s="128" t="s">
        <v>188</v>
      </c>
      <c r="G51" s="129"/>
      <c r="H51" s="128"/>
      <c r="I51" s="128"/>
      <c r="J51" s="128"/>
      <c r="K51" s="128"/>
      <c r="L51" s="78" t="n">
        <f aca="false">SUM($S51:$BB51)</f>
        <v>1344</v>
      </c>
      <c r="M51" s="128"/>
      <c r="N51" s="130" t="str">
        <f aca="false">IF(ISERROR(VLOOKUP(P51,Member_Tab,2,FALSE())),"",VLOOKUP(P51,Member_Tab,2,FALSE()))</f>
        <v/>
      </c>
      <c r="O51" s="130" t="str">
        <f aca="false">IF(ISERROR(VLOOKUP(P51,Member_Tab,3,FALSE())),"",VLOOKUP(P51,Member_Tab,3,FALSE()))</f>
        <v/>
      </c>
      <c r="P51" s="75" t="s">
        <v>190</v>
      </c>
      <c r="Q51" s="128"/>
      <c r="R51" s="131"/>
      <c r="S51" s="132"/>
      <c r="T51" s="132"/>
      <c r="U51" s="132" t="n">
        <f aca="false">U$9</f>
        <v>147.2</v>
      </c>
      <c r="V51" s="132" t="n">
        <f aca="false">V$9</f>
        <v>115.2</v>
      </c>
      <c r="W51" s="132" t="n">
        <f aca="false">W$9</f>
        <v>134.4</v>
      </c>
      <c r="X51" s="132" t="n">
        <f aca="false">X$9</f>
        <v>128</v>
      </c>
      <c r="Y51" s="132" t="n">
        <f aca="false">Y$9</f>
        <v>134.4</v>
      </c>
      <c r="Z51" s="132" t="n">
        <f aca="false">Z$9</f>
        <v>147.2</v>
      </c>
      <c r="AA51" s="132" t="n">
        <f aca="false">AA$9</f>
        <v>134.4</v>
      </c>
      <c r="AB51" s="132" t="n">
        <f aca="false">AB$9</f>
        <v>140.8</v>
      </c>
      <c r="AC51" s="132" t="n">
        <f aca="false">AC$9</f>
        <v>140.8</v>
      </c>
      <c r="AD51" s="132" t="n">
        <f aca="false">AD$9</f>
        <v>121.6</v>
      </c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</row>
    <row r="52" customFormat="false" ht="15" hidden="false" customHeight="false" outlineLevel="0" collapsed="false">
      <c r="B52" s="75" t="s">
        <v>191</v>
      </c>
      <c r="C52" s="128" t="s">
        <v>30</v>
      </c>
      <c r="D52" s="128"/>
      <c r="E52" s="128" t="s">
        <v>23</v>
      </c>
      <c r="F52" s="128" t="s">
        <v>192</v>
      </c>
      <c r="G52" s="129"/>
      <c r="H52" s="128"/>
      <c r="I52" s="128"/>
      <c r="J52" s="128"/>
      <c r="K52" s="128"/>
      <c r="L52" s="78" t="n">
        <f aca="false">SUM($S52:$BB52)</f>
        <v>262.4</v>
      </c>
      <c r="M52" s="128"/>
      <c r="N52" s="130" t="str">
        <f aca="false">IF(ISERROR(VLOOKUP(P52,Member_Tab,2,FALSE())),"",VLOOKUP(P52,Member_Tab,2,FALSE()))</f>
        <v/>
      </c>
      <c r="O52" s="130" t="str">
        <f aca="false">IF(ISERROR(VLOOKUP(P52,Member_Tab,3,FALSE())),"",VLOOKUP(P52,Member_Tab,3,FALSE()))</f>
        <v/>
      </c>
      <c r="P52" s="75" t="s">
        <v>193</v>
      </c>
      <c r="Q52" s="128"/>
      <c r="R52" s="131"/>
      <c r="S52" s="132"/>
      <c r="T52" s="132"/>
      <c r="U52" s="132" t="n">
        <f aca="false">1*U$9</f>
        <v>147.2</v>
      </c>
      <c r="V52" s="132" t="n">
        <f aca="false">1*V$9</f>
        <v>115.2</v>
      </c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</row>
    <row r="53" customFormat="false" ht="15" hidden="false" customHeight="false" outlineLevel="0" collapsed="false">
      <c r="B53" s="75" t="s">
        <v>194</v>
      </c>
      <c r="C53" s="128" t="s">
        <v>30</v>
      </c>
      <c r="D53" s="128"/>
      <c r="E53" s="128" t="s">
        <v>47</v>
      </c>
      <c r="F53" s="128" t="s">
        <v>195</v>
      </c>
      <c r="G53" s="129"/>
      <c r="H53" s="128"/>
      <c r="I53" s="128"/>
      <c r="J53" s="128"/>
      <c r="K53" s="128"/>
      <c r="L53" s="78" t="n">
        <f aca="false">SUM($S53:$BB53)</f>
        <v>1081.6</v>
      </c>
      <c r="M53" s="128"/>
      <c r="N53" s="130" t="str">
        <f aca="false">IF(ISERROR(VLOOKUP(P53,Member_Tab,2,FALSE())),"",VLOOKUP(P53,Member_Tab,2,FALSE()))</f>
        <v/>
      </c>
      <c r="O53" s="130" t="str">
        <f aca="false">IF(ISERROR(VLOOKUP(P53,Member_Tab,3,FALSE())),"",VLOOKUP(P53,Member_Tab,3,FALSE()))</f>
        <v/>
      </c>
      <c r="P53" s="75" t="s">
        <v>193</v>
      </c>
      <c r="Q53" s="128"/>
      <c r="R53" s="131"/>
      <c r="S53" s="132"/>
      <c r="T53" s="132"/>
      <c r="U53" s="132"/>
      <c r="V53" s="132"/>
      <c r="W53" s="132" t="n">
        <f aca="false">1*W$9</f>
        <v>134.4</v>
      </c>
      <c r="X53" s="132" t="n">
        <f aca="false">1*X$9</f>
        <v>128</v>
      </c>
      <c r="Y53" s="132" t="n">
        <f aca="false">1*Y$9</f>
        <v>134.4</v>
      </c>
      <c r="Z53" s="132" t="n">
        <f aca="false">1*Z$9</f>
        <v>147.2</v>
      </c>
      <c r="AA53" s="132" t="n">
        <f aca="false">1*AA$9</f>
        <v>134.4</v>
      </c>
      <c r="AB53" s="132" t="n">
        <f aca="false">1*AB$9</f>
        <v>140.8</v>
      </c>
      <c r="AC53" s="132" t="n">
        <f aca="false">1*AC$9</f>
        <v>140.8</v>
      </c>
      <c r="AD53" s="132" t="n">
        <f aca="false">1*AD$9</f>
        <v>121.6</v>
      </c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</row>
    <row r="54" customFormat="false" ht="15" hidden="false" customHeight="false" outlineLevel="0" collapsed="false">
      <c r="B54" s="75" t="s">
        <v>187</v>
      </c>
      <c r="C54" s="128" t="s">
        <v>30</v>
      </c>
      <c r="D54" s="128"/>
      <c r="E54" s="128" t="s">
        <v>23</v>
      </c>
      <c r="F54" s="128" t="s">
        <v>188</v>
      </c>
      <c r="G54" s="129"/>
      <c r="H54" s="128"/>
      <c r="I54" s="128"/>
      <c r="J54" s="128"/>
      <c r="K54" s="128"/>
      <c r="L54" s="78" t="n">
        <f aca="false">SUM($S54:$BB54)</f>
        <v>1344</v>
      </c>
      <c r="M54" s="128"/>
      <c r="N54" s="130" t="str">
        <f aca="false">IF(ISERROR(VLOOKUP(P54,Member_Tab,2,FALSE())),"",VLOOKUP(P54,Member_Tab,2,FALSE()))</f>
        <v/>
      </c>
      <c r="O54" s="130" t="str">
        <f aca="false">IF(ISERROR(VLOOKUP(P54,Member_Tab,3,FALSE())),"",VLOOKUP(P54,Member_Tab,3,FALSE()))</f>
        <v/>
      </c>
      <c r="P54" s="75" t="s">
        <v>196</v>
      </c>
      <c r="Q54" s="128"/>
      <c r="R54" s="131"/>
      <c r="S54" s="132"/>
      <c r="T54" s="132"/>
      <c r="U54" s="132" t="n">
        <f aca="false">1*U$9</f>
        <v>147.2</v>
      </c>
      <c r="V54" s="132" t="n">
        <f aca="false">1*V$9</f>
        <v>115.2</v>
      </c>
      <c r="W54" s="132" t="n">
        <f aca="false">1*W$9</f>
        <v>134.4</v>
      </c>
      <c r="X54" s="132" t="n">
        <f aca="false">1*X$9</f>
        <v>128</v>
      </c>
      <c r="Y54" s="132" t="n">
        <f aca="false">1*Y$9</f>
        <v>134.4</v>
      </c>
      <c r="Z54" s="132" t="n">
        <f aca="false">1*Z$9</f>
        <v>147.2</v>
      </c>
      <c r="AA54" s="132" t="n">
        <f aca="false">1*AA$9</f>
        <v>134.4</v>
      </c>
      <c r="AB54" s="132" t="n">
        <f aca="false">1*AB$9</f>
        <v>140.8</v>
      </c>
      <c r="AC54" s="132" t="n">
        <f aca="false">1*AC$9</f>
        <v>140.8</v>
      </c>
      <c r="AD54" s="132" t="n">
        <f aca="false">1*AD$9</f>
        <v>121.6</v>
      </c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</row>
    <row r="55" customFormat="false" ht="15" hidden="false" customHeight="false" outlineLevel="0" collapsed="false">
      <c r="B55" s="75" t="s">
        <v>187</v>
      </c>
      <c r="C55" s="128" t="s">
        <v>30</v>
      </c>
      <c r="D55" s="128"/>
      <c r="E55" s="128" t="s">
        <v>23</v>
      </c>
      <c r="F55" s="128" t="s">
        <v>188</v>
      </c>
      <c r="G55" s="129"/>
      <c r="H55" s="128"/>
      <c r="I55" s="128"/>
      <c r="J55" s="128"/>
      <c r="K55" s="128"/>
      <c r="L55" s="78" t="n">
        <f aca="false">SUM($S55:$BB55)</f>
        <v>1344</v>
      </c>
      <c r="M55" s="128"/>
      <c r="N55" s="130" t="str">
        <f aca="false">IF(ISERROR(VLOOKUP(P55,Member_Tab,2,FALSE())),"",VLOOKUP(P55,Member_Tab,2,FALSE()))</f>
        <v/>
      </c>
      <c r="O55" s="130" t="str">
        <f aca="false">IF(ISERROR(VLOOKUP(P55,Member_Tab,3,FALSE())),"",VLOOKUP(P55,Member_Tab,3,FALSE()))</f>
        <v/>
      </c>
      <c r="P55" s="75" t="s">
        <v>197</v>
      </c>
      <c r="Q55" s="128"/>
      <c r="R55" s="131"/>
      <c r="S55" s="132"/>
      <c r="T55" s="132"/>
      <c r="U55" s="132" t="n">
        <f aca="false">1*U$9</f>
        <v>147.2</v>
      </c>
      <c r="V55" s="132" t="n">
        <f aca="false">1*V$9</f>
        <v>115.2</v>
      </c>
      <c r="W55" s="132" t="n">
        <f aca="false">1*W$9</f>
        <v>134.4</v>
      </c>
      <c r="X55" s="132" t="n">
        <f aca="false">1*X$9</f>
        <v>128</v>
      </c>
      <c r="Y55" s="132" t="n">
        <f aca="false">1*Y$9</f>
        <v>134.4</v>
      </c>
      <c r="Z55" s="132" t="n">
        <f aca="false">1*Z$9</f>
        <v>147.2</v>
      </c>
      <c r="AA55" s="132" t="n">
        <f aca="false">1*AA$9</f>
        <v>134.4</v>
      </c>
      <c r="AB55" s="132" t="n">
        <f aca="false">1*AB$9</f>
        <v>140.8</v>
      </c>
      <c r="AC55" s="132" t="n">
        <f aca="false">1*AC$9</f>
        <v>140.8</v>
      </c>
      <c r="AD55" s="132" t="n">
        <f aca="false">1*AD$9</f>
        <v>121.6</v>
      </c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</row>
    <row r="56" customFormat="false" ht="15" hidden="false" customHeight="false" outlineLevel="0" collapsed="false">
      <c r="B56" s="75" t="s">
        <v>187</v>
      </c>
      <c r="C56" s="128" t="s">
        <v>30</v>
      </c>
      <c r="D56" s="128"/>
      <c r="E56" s="128" t="s">
        <v>23</v>
      </c>
      <c r="F56" s="128" t="s">
        <v>188</v>
      </c>
      <c r="G56" s="129"/>
      <c r="H56" s="128"/>
      <c r="I56" s="128"/>
      <c r="J56" s="128"/>
      <c r="K56" s="128"/>
      <c r="L56" s="78" t="n">
        <f aca="false">SUM($S56:$BB56)</f>
        <v>1344</v>
      </c>
      <c r="M56" s="128"/>
      <c r="N56" s="130" t="str">
        <f aca="false">IF(ISERROR(VLOOKUP(P56,Member_Tab,2,FALSE())),"",VLOOKUP(P56,Member_Tab,2,FALSE()))</f>
        <v/>
      </c>
      <c r="O56" s="130" t="str">
        <f aca="false">IF(ISERROR(VLOOKUP(P56,Member_Tab,3,FALSE())),"",VLOOKUP(P56,Member_Tab,3,FALSE()))</f>
        <v/>
      </c>
      <c r="P56" s="75" t="s">
        <v>198</v>
      </c>
      <c r="Q56" s="128"/>
      <c r="R56" s="131"/>
      <c r="S56" s="132"/>
      <c r="T56" s="132"/>
      <c r="U56" s="132" t="n">
        <f aca="false">1*U$9</f>
        <v>147.2</v>
      </c>
      <c r="V56" s="132" t="n">
        <f aca="false">1*V$9</f>
        <v>115.2</v>
      </c>
      <c r="W56" s="132" t="n">
        <f aca="false">1*W$9</f>
        <v>134.4</v>
      </c>
      <c r="X56" s="132" t="n">
        <f aca="false">1*X$9</f>
        <v>128</v>
      </c>
      <c r="Y56" s="132" t="n">
        <f aca="false">1*Y$9</f>
        <v>134.4</v>
      </c>
      <c r="Z56" s="132" t="n">
        <f aca="false">1*Z$9</f>
        <v>147.2</v>
      </c>
      <c r="AA56" s="132" t="n">
        <f aca="false">1*AA$9</f>
        <v>134.4</v>
      </c>
      <c r="AB56" s="132" t="n">
        <f aca="false">1*AB$9</f>
        <v>140.8</v>
      </c>
      <c r="AC56" s="132" t="n">
        <f aca="false">1*AC$9</f>
        <v>140.8</v>
      </c>
      <c r="AD56" s="132" t="n">
        <f aca="false">1*AD$9</f>
        <v>121.6</v>
      </c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</row>
    <row r="57" customFormat="false" ht="15" hidden="false" customHeight="false" outlineLevel="0" collapsed="false">
      <c r="B57" s="75" t="s">
        <v>187</v>
      </c>
      <c r="C57" s="128" t="s">
        <v>30</v>
      </c>
      <c r="D57" s="128"/>
      <c r="E57" s="128" t="s">
        <v>23</v>
      </c>
      <c r="F57" s="128" t="s">
        <v>188</v>
      </c>
      <c r="G57" s="129"/>
      <c r="H57" s="128"/>
      <c r="I57" s="128"/>
      <c r="J57" s="128"/>
      <c r="K57" s="128"/>
      <c r="L57" s="78" t="n">
        <f aca="false">SUM($S57:$BB57)</f>
        <v>1344</v>
      </c>
      <c r="M57" s="128"/>
      <c r="N57" s="130" t="str">
        <f aca="false">IF(ISERROR(VLOOKUP(P57,Member_Tab,2,FALSE())),"",VLOOKUP(P57,Member_Tab,2,FALSE()))</f>
        <v/>
      </c>
      <c r="O57" s="130" t="str">
        <f aca="false">IF(ISERROR(VLOOKUP(P57,Member_Tab,3,FALSE())),"",VLOOKUP(P57,Member_Tab,3,FALSE()))</f>
        <v/>
      </c>
      <c r="P57" s="75" t="s">
        <v>199</v>
      </c>
      <c r="Q57" s="128"/>
      <c r="R57" s="131"/>
      <c r="S57" s="132"/>
      <c r="T57" s="132"/>
      <c r="U57" s="132" t="n">
        <f aca="false">1*U$9</f>
        <v>147.2</v>
      </c>
      <c r="V57" s="132" t="n">
        <f aca="false">1*V$9</f>
        <v>115.2</v>
      </c>
      <c r="W57" s="132" t="n">
        <f aca="false">1*W$9</f>
        <v>134.4</v>
      </c>
      <c r="X57" s="132" t="n">
        <f aca="false">1*X$9</f>
        <v>128</v>
      </c>
      <c r="Y57" s="132" t="n">
        <f aca="false">1*Y$9</f>
        <v>134.4</v>
      </c>
      <c r="Z57" s="132" t="n">
        <f aca="false">1*Z$9</f>
        <v>147.2</v>
      </c>
      <c r="AA57" s="132" t="n">
        <f aca="false">1*AA$9</f>
        <v>134.4</v>
      </c>
      <c r="AB57" s="132" t="n">
        <f aca="false">1*AB$9</f>
        <v>140.8</v>
      </c>
      <c r="AC57" s="132" t="n">
        <f aca="false">1*AC$9</f>
        <v>140.8</v>
      </c>
      <c r="AD57" s="132" t="n">
        <f aca="false">1*AD$9</f>
        <v>121.6</v>
      </c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</row>
    <row r="58" customFormat="false" ht="15" hidden="false" customHeight="false" outlineLevel="0" collapsed="false">
      <c r="B58" s="75" t="s">
        <v>187</v>
      </c>
      <c r="C58" s="128" t="s">
        <v>30</v>
      </c>
      <c r="D58" s="128"/>
      <c r="E58" s="128" t="s">
        <v>23</v>
      </c>
      <c r="F58" s="128" t="s">
        <v>188</v>
      </c>
      <c r="G58" s="129"/>
      <c r="H58" s="128"/>
      <c r="I58" s="128"/>
      <c r="J58" s="128"/>
      <c r="K58" s="128"/>
      <c r="L58" s="78" t="n">
        <f aca="false">SUM($S58:$BB58)</f>
        <v>672</v>
      </c>
      <c r="M58" s="128"/>
      <c r="N58" s="130" t="str">
        <f aca="false">IF(ISERROR(VLOOKUP(P58,Member_Tab,2,FALSE())),"",VLOOKUP(P58,Member_Tab,2,FALSE()))</f>
        <v/>
      </c>
      <c r="O58" s="130" t="str">
        <f aca="false">IF(ISERROR(VLOOKUP(P58,Member_Tab,3,FALSE())),"",VLOOKUP(P58,Member_Tab,3,FALSE()))</f>
        <v/>
      </c>
      <c r="P58" s="75" t="s">
        <v>200</v>
      </c>
      <c r="Q58" s="128"/>
      <c r="R58" s="131"/>
      <c r="S58" s="132"/>
      <c r="T58" s="132"/>
      <c r="U58" s="132" t="n">
        <f aca="false">0.5*U$9</f>
        <v>73.6</v>
      </c>
      <c r="V58" s="132" t="n">
        <f aca="false">0.5*V$9</f>
        <v>57.6</v>
      </c>
      <c r="W58" s="132" t="n">
        <f aca="false">0.5*W$9</f>
        <v>67.2</v>
      </c>
      <c r="X58" s="132" t="n">
        <f aca="false">0.5*X$9</f>
        <v>64</v>
      </c>
      <c r="Y58" s="132" t="n">
        <f aca="false">0.5*Y$9</f>
        <v>67.2</v>
      </c>
      <c r="Z58" s="132" t="n">
        <f aca="false">0.5*Z$9</f>
        <v>73.6</v>
      </c>
      <c r="AA58" s="132" t="n">
        <f aca="false">0.5*AA$9</f>
        <v>67.2</v>
      </c>
      <c r="AB58" s="132" t="n">
        <f aca="false">0.5*AB$9</f>
        <v>70.4</v>
      </c>
      <c r="AC58" s="132" t="n">
        <f aca="false">0.5*AC$9</f>
        <v>70.4</v>
      </c>
      <c r="AD58" s="132" t="n">
        <f aca="false">0.5*AD$9</f>
        <v>60.8</v>
      </c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</row>
    <row r="59" customFormat="false" ht="15" hidden="false" customHeight="false" outlineLevel="0" collapsed="false">
      <c r="B59" s="75" t="s">
        <v>191</v>
      </c>
      <c r="C59" s="128" t="s">
        <v>30</v>
      </c>
      <c r="D59" s="128"/>
      <c r="E59" s="128" t="s">
        <v>23</v>
      </c>
      <c r="F59" s="128" t="s">
        <v>192</v>
      </c>
      <c r="G59" s="129"/>
      <c r="H59" s="128"/>
      <c r="I59" s="128"/>
      <c r="J59" s="128"/>
      <c r="K59" s="128"/>
      <c r="L59" s="78" t="n">
        <f aca="false">SUM($S59:$BB59)</f>
        <v>262.4</v>
      </c>
      <c r="M59" s="128"/>
      <c r="N59" s="130" t="str">
        <f aca="false">IF(ISERROR(VLOOKUP(P59,Member_Tab,2,FALSE())),"",VLOOKUP(P59,Member_Tab,2,FALSE()))</f>
        <v/>
      </c>
      <c r="O59" s="130" t="str">
        <f aca="false">IF(ISERROR(VLOOKUP(P59,Member_Tab,3,FALSE())),"",VLOOKUP(P59,Member_Tab,3,FALSE()))</f>
        <v/>
      </c>
      <c r="P59" s="75" t="s">
        <v>201</v>
      </c>
      <c r="Q59" s="128"/>
      <c r="R59" s="131"/>
      <c r="S59" s="132"/>
      <c r="T59" s="132"/>
      <c r="U59" s="132" t="n">
        <f aca="false">1*U$9</f>
        <v>147.2</v>
      </c>
      <c r="V59" s="132" t="n">
        <f aca="false">1*V$9</f>
        <v>115.2</v>
      </c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</row>
    <row r="60" customFormat="false" ht="15" hidden="false" customHeight="false" outlineLevel="0" collapsed="false">
      <c r="B60" s="75" t="s">
        <v>194</v>
      </c>
      <c r="C60" s="128" t="s">
        <v>30</v>
      </c>
      <c r="D60" s="128"/>
      <c r="E60" s="128" t="s">
        <v>47</v>
      </c>
      <c r="F60" s="128" t="s">
        <v>195</v>
      </c>
      <c r="G60" s="129"/>
      <c r="H60" s="128"/>
      <c r="I60" s="128"/>
      <c r="J60" s="128"/>
      <c r="K60" s="128"/>
      <c r="L60" s="78" t="n">
        <f aca="false">SUM($S60:$BB60)</f>
        <v>1081.6</v>
      </c>
      <c r="M60" s="128"/>
      <c r="N60" s="130" t="str">
        <f aca="false">IF(ISERROR(VLOOKUP(P60,Member_Tab,2,FALSE())),"",VLOOKUP(P60,Member_Tab,2,FALSE()))</f>
        <v/>
      </c>
      <c r="O60" s="130" t="str">
        <f aca="false">IF(ISERROR(VLOOKUP(P60,Member_Tab,3,FALSE())),"",VLOOKUP(P60,Member_Tab,3,FALSE()))</f>
        <v/>
      </c>
      <c r="P60" s="75" t="s">
        <v>201</v>
      </c>
      <c r="Q60" s="128"/>
      <c r="R60" s="131"/>
      <c r="S60" s="132"/>
      <c r="T60" s="132"/>
      <c r="U60" s="132"/>
      <c r="V60" s="132"/>
      <c r="W60" s="132" t="n">
        <f aca="false">1*W$9</f>
        <v>134.4</v>
      </c>
      <c r="X60" s="132" t="n">
        <f aca="false">1*X$9</f>
        <v>128</v>
      </c>
      <c r="Y60" s="132" t="n">
        <f aca="false">1*Y$9</f>
        <v>134.4</v>
      </c>
      <c r="Z60" s="132" t="n">
        <f aca="false">1*Z$9</f>
        <v>147.2</v>
      </c>
      <c r="AA60" s="132" t="n">
        <f aca="false">1*AA$9</f>
        <v>134.4</v>
      </c>
      <c r="AB60" s="132" t="n">
        <f aca="false">1*AB$9</f>
        <v>140.8</v>
      </c>
      <c r="AC60" s="132" t="n">
        <f aca="false">1*AC$9</f>
        <v>140.8</v>
      </c>
      <c r="AD60" s="132" t="n">
        <f aca="false">1*AD$9</f>
        <v>121.6</v>
      </c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</row>
    <row r="61" customFormat="false" ht="15" hidden="false" customHeight="false" outlineLevel="0" collapsed="false">
      <c r="B61" s="75" t="s">
        <v>187</v>
      </c>
      <c r="C61" s="128" t="s">
        <v>30</v>
      </c>
      <c r="D61" s="128"/>
      <c r="E61" s="128" t="s">
        <v>23</v>
      </c>
      <c r="F61" s="128" t="s">
        <v>188</v>
      </c>
      <c r="G61" s="129"/>
      <c r="H61" s="128"/>
      <c r="I61" s="128"/>
      <c r="J61" s="128"/>
      <c r="K61" s="128"/>
      <c r="L61" s="78" t="n">
        <f aca="false">SUM($S61:$BB61)</f>
        <v>672</v>
      </c>
      <c r="M61" s="128"/>
      <c r="N61" s="130" t="str">
        <f aca="false">IF(ISERROR(VLOOKUP(P61,Member_Tab,2,FALSE())),"",VLOOKUP(P61,Member_Tab,2,FALSE()))</f>
        <v/>
      </c>
      <c r="O61" s="130" t="str">
        <f aca="false">IF(ISERROR(VLOOKUP(P61,Member_Tab,3,FALSE())),"",VLOOKUP(P61,Member_Tab,3,FALSE()))</f>
        <v/>
      </c>
      <c r="P61" s="75" t="s">
        <v>202</v>
      </c>
      <c r="Q61" s="128"/>
      <c r="R61" s="131"/>
      <c r="S61" s="132"/>
      <c r="T61" s="132"/>
      <c r="U61" s="132" t="n">
        <f aca="false">0.5*U$9</f>
        <v>73.6</v>
      </c>
      <c r="V61" s="132" t="n">
        <f aca="false">0.5*V$9</f>
        <v>57.6</v>
      </c>
      <c r="W61" s="132" t="n">
        <f aca="false">0.5*W$9</f>
        <v>67.2</v>
      </c>
      <c r="X61" s="132" t="n">
        <f aca="false">0.5*X$9</f>
        <v>64</v>
      </c>
      <c r="Y61" s="132" t="n">
        <f aca="false">0.5*Y$9</f>
        <v>67.2</v>
      </c>
      <c r="Z61" s="132" t="n">
        <f aca="false">0.5*Z$9</f>
        <v>73.6</v>
      </c>
      <c r="AA61" s="132" t="n">
        <f aca="false">0.5*AA$9</f>
        <v>67.2</v>
      </c>
      <c r="AB61" s="132" t="n">
        <f aca="false">0.5*AB$9</f>
        <v>70.4</v>
      </c>
      <c r="AC61" s="132" t="n">
        <f aca="false">0.5*AC$9</f>
        <v>70.4</v>
      </c>
      <c r="AD61" s="132" t="n">
        <f aca="false">0.5*AD$9</f>
        <v>60.8</v>
      </c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</row>
    <row r="62" customFormat="false" ht="15" hidden="false" customHeight="false" outlineLevel="0" collapsed="false">
      <c r="B62" s="75" t="s">
        <v>191</v>
      </c>
      <c r="C62" s="128" t="s">
        <v>30</v>
      </c>
      <c r="D62" s="128"/>
      <c r="E62" s="128" t="s">
        <v>23</v>
      </c>
      <c r="F62" s="128" t="s">
        <v>192</v>
      </c>
      <c r="G62" s="129"/>
      <c r="H62" s="128"/>
      <c r="I62" s="128"/>
      <c r="J62" s="128"/>
      <c r="K62" s="128"/>
      <c r="L62" s="78" t="n">
        <f aca="false">SUM($S62:$BB62)</f>
        <v>131.2</v>
      </c>
      <c r="M62" s="128"/>
      <c r="N62" s="130" t="str">
        <f aca="false">IF(ISERROR(VLOOKUP(P62,Member_Tab,2,FALSE())),"",VLOOKUP(P62,Member_Tab,2,FALSE()))</f>
        <v/>
      </c>
      <c r="O62" s="130" t="str">
        <f aca="false">IF(ISERROR(VLOOKUP(P62,Member_Tab,3,FALSE())),"",VLOOKUP(P62,Member_Tab,3,FALSE()))</f>
        <v/>
      </c>
      <c r="P62" s="75" t="s">
        <v>202</v>
      </c>
      <c r="Q62" s="128"/>
      <c r="R62" s="131"/>
      <c r="S62" s="132"/>
      <c r="T62" s="132"/>
      <c r="U62" s="132" t="n">
        <f aca="false">0.5*U$9</f>
        <v>73.6</v>
      </c>
      <c r="V62" s="132" t="n">
        <f aca="false">0.5*V$9</f>
        <v>57.6</v>
      </c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</row>
    <row r="63" customFormat="false" ht="15" hidden="false" customHeight="false" outlineLevel="0" collapsed="false">
      <c r="B63" s="75" t="s">
        <v>194</v>
      </c>
      <c r="C63" s="128" t="s">
        <v>30</v>
      </c>
      <c r="D63" s="128"/>
      <c r="E63" s="128" t="s">
        <v>47</v>
      </c>
      <c r="F63" s="128" t="s">
        <v>195</v>
      </c>
      <c r="G63" s="129"/>
      <c r="H63" s="128"/>
      <c r="I63" s="128"/>
      <c r="J63" s="128"/>
      <c r="K63" s="128"/>
      <c r="L63" s="78" t="n">
        <f aca="false">SUM($S63:$BB63)</f>
        <v>540.8</v>
      </c>
      <c r="M63" s="128"/>
      <c r="N63" s="130" t="str">
        <f aca="false">IF(ISERROR(VLOOKUP(P63,Member_Tab,2,FALSE())),"",VLOOKUP(P63,Member_Tab,2,FALSE()))</f>
        <v/>
      </c>
      <c r="O63" s="130" t="str">
        <f aca="false">IF(ISERROR(VLOOKUP(P63,Member_Tab,3,FALSE())),"",VLOOKUP(P63,Member_Tab,3,FALSE()))</f>
        <v/>
      </c>
      <c r="P63" s="75" t="s">
        <v>202</v>
      </c>
      <c r="Q63" s="128"/>
      <c r="R63" s="131"/>
      <c r="S63" s="132"/>
      <c r="T63" s="132"/>
      <c r="U63" s="132"/>
      <c r="V63" s="132"/>
      <c r="W63" s="132" t="n">
        <f aca="false">0.5*W$9</f>
        <v>67.2</v>
      </c>
      <c r="X63" s="132" t="n">
        <f aca="false">0.5*X$9</f>
        <v>64</v>
      </c>
      <c r="Y63" s="132" t="n">
        <f aca="false">0.5*Y$9</f>
        <v>67.2</v>
      </c>
      <c r="Z63" s="132" t="n">
        <f aca="false">0.5*Z$9</f>
        <v>73.6</v>
      </c>
      <c r="AA63" s="132" t="n">
        <f aca="false">0.5*AA$9</f>
        <v>67.2</v>
      </c>
      <c r="AB63" s="132" t="n">
        <f aca="false">0.5*AB$9</f>
        <v>70.4</v>
      </c>
      <c r="AC63" s="132" t="n">
        <f aca="false">0.5*AC$9</f>
        <v>70.4</v>
      </c>
      <c r="AD63" s="132" t="n">
        <f aca="false">0.5*AD$9</f>
        <v>60.8</v>
      </c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</row>
    <row r="64" customFormat="false" ht="15" hidden="false" customHeight="false" outlineLevel="0" collapsed="false">
      <c r="B64" s="75" t="s">
        <v>187</v>
      </c>
      <c r="C64" s="128" t="s">
        <v>30</v>
      </c>
      <c r="D64" s="128"/>
      <c r="E64" s="128" t="s">
        <v>23</v>
      </c>
      <c r="F64" s="128" t="s">
        <v>188</v>
      </c>
      <c r="G64" s="129"/>
      <c r="H64" s="128"/>
      <c r="I64" s="128"/>
      <c r="J64" s="128"/>
      <c r="K64" s="128"/>
      <c r="L64" s="78" t="n">
        <f aca="false">SUM($S64:$BB64)</f>
        <v>1344</v>
      </c>
      <c r="M64" s="128"/>
      <c r="N64" s="130" t="str">
        <f aca="false">IF(ISERROR(VLOOKUP(P64,Member_Tab,2,FALSE())),"",VLOOKUP(P64,Member_Tab,2,FALSE()))</f>
        <v/>
      </c>
      <c r="O64" s="130" t="str">
        <f aca="false">IF(ISERROR(VLOOKUP(P64,Member_Tab,3,FALSE())),"",VLOOKUP(P64,Member_Tab,3,FALSE()))</f>
        <v/>
      </c>
      <c r="P64" s="75" t="s">
        <v>203</v>
      </c>
      <c r="Q64" s="128"/>
      <c r="R64" s="131"/>
      <c r="S64" s="132"/>
      <c r="T64" s="132"/>
      <c r="U64" s="132" t="n">
        <f aca="false">1*U$9</f>
        <v>147.2</v>
      </c>
      <c r="V64" s="132" t="n">
        <f aca="false">1*V$9</f>
        <v>115.2</v>
      </c>
      <c r="W64" s="132" t="n">
        <f aca="false">1*W$9</f>
        <v>134.4</v>
      </c>
      <c r="X64" s="132" t="n">
        <f aca="false">1*X$9</f>
        <v>128</v>
      </c>
      <c r="Y64" s="132" t="n">
        <f aca="false">1*Y$9</f>
        <v>134.4</v>
      </c>
      <c r="Z64" s="132" t="n">
        <f aca="false">1*Z$9</f>
        <v>147.2</v>
      </c>
      <c r="AA64" s="132" t="n">
        <f aca="false">1*AA$9</f>
        <v>134.4</v>
      </c>
      <c r="AB64" s="132" t="n">
        <f aca="false">1*AB$9</f>
        <v>140.8</v>
      </c>
      <c r="AC64" s="132" t="n">
        <f aca="false">1*AC$9</f>
        <v>140.8</v>
      </c>
      <c r="AD64" s="132" t="n">
        <f aca="false">1*AD$9</f>
        <v>121.6</v>
      </c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</row>
    <row r="65" customFormat="false" ht="15" hidden="false" customHeight="false" outlineLevel="0" collapsed="false">
      <c r="B65" s="75" t="s">
        <v>191</v>
      </c>
      <c r="C65" s="128" t="s">
        <v>30</v>
      </c>
      <c r="D65" s="128"/>
      <c r="E65" s="128" t="s">
        <v>23</v>
      </c>
      <c r="F65" s="128" t="s">
        <v>192</v>
      </c>
      <c r="G65" s="129"/>
      <c r="H65" s="128"/>
      <c r="I65" s="128"/>
      <c r="J65" s="128"/>
      <c r="K65" s="128"/>
      <c r="L65" s="78" t="n">
        <f aca="false">SUM($S65:$BB65)</f>
        <v>262.4</v>
      </c>
      <c r="M65" s="128"/>
      <c r="N65" s="130" t="str">
        <f aca="false">IF(ISERROR(VLOOKUP(P65,Member_Tab,2,FALSE())),"",VLOOKUP(P65,Member_Tab,2,FALSE()))</f>
        <v/>
      </c>
      <c r="O65" s="130" t="str">
        <f aca="false">IF(ISERROR(VLOOKUP(P65,Member_Tab,3,FALSE())),"",VLOOKUP(P65,Member_Tab,3,FALSE()))</f>
        <v/>
      </c>
      <c r="P65" s="75" t="s">
        <v>204</v>
      </c>
      <c r="Q65" s="128"/>
      <c r="R65" s="131"/>
      <c r="S65" s="132"/>
      <c r="T65" s="132"/>
      <c r="U65" s="132" t="n">
        <f aca="false">1*U$9</f>
        <v>147.2</v>
      </c>
      <c r="V65" s="132" t="n">
        <f aca="false">1*V$9</f>
        <v>115.2</v>
      </c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</row>
    <row r="66" customFormat="false" ht="15" hidden="false" customHeight="false" outlineLevel="0" collapsed="false">
      <c r="B66" s="75" t="s">
        <v>194</v>
      </c>
      <c r="C66" s="128" t="s">
        <v>30</v>
      </c>
      <c r="D66" s="128"/>
      <c r="E66" s="128" t="s">
        <v>47</v>
      </c>
      <c r="F66" s="128" t="s">
        <v>195</v>
      </c>
      <c r="G66" s="129"/>
      <c r="H66" s="128"/>
      <c r="I66" s="128"/>
      <c r="J66" s="128"/>
      <c r="K66" s="128"/>
      <c r="L66" s="78" t="n">
        <f aca="false">SUM($S66:$BB66)</f>
        <v>1081.6</v>
      </c>
      <c r="M66" s="128"/>
      <c r="N66" s="130" t="str">
        <f aca="false">IF(ISERROR(VLOOKUP(P66,Member_Tab,2,FALSE())),"",VLOOKUP(P66,Member_Tab,2,FALSE()))</f>
        <v/>
      </c>
      <c r="O66" s="130" t="str">
        <f aca="false">IF(ISERROR(VLOOKUP(P66,Member_Tab,3,FALSE())),"",VLOOKUP(P66,Member_Tab,3,FALSE()))</f>
        <v/>
      </c>
      <c r="P66" s="75" t="s">
        <v>204</v>
      </c>
      <c r="Q66" s="128"/>
      <c r="R66" s="131"/>
      <c r="S66" s="132"/>
      <c r="T66" s="132"/>
      <c r="U66" s="132"/>
      <c r="V66" s="132"/>
      <c r="W66" s="132" t="n">
        <f aca="false">1*W$9</f>
        <v>134.4</v>
      </c>
      <c r="X66" s="132" t="n">
        <f aca="false">1*X$9</f>
        <v>128</v>
      </c>
      <c r="Y66" s="132" t="n">
        <f aca="false">1*Y$9</f>
        <v>134.4</v>
      </c>
      <c r="Z66" s="132" t="n">
        <f aca="false">1*Z$9</f>
        <v>147.2</v>
      </c>
      <c r="AA66" s="132" t="n">
        <f aca="false">1*AA$9</f>
        <v>134.4</v>
      </c>
      <c r="AB66" s="132" t="n">
        <f aca="false">1*AB$9</f>
        <v>140.8</v>
      </c>
      <c r="AC66" s="132" t="n">
        <f aca="false">1*AC$9</f>
        <v>140.8</v>
      </c>
      <c r="AD66" s="132" t="n">
        <f aca="false">1*AD$9</f>
        <v>121.6</v>
      </c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</row>
    <row r="67" customFormat="false" ht="15" hidden="false" customHeight="false" outlineLevel="0" collapsed="false">
      <c r="B67" s="75" t="s">
        <v>191</v>
      </c>
      <c r="C67" s="128" t="s">
        <v>30</v>
      </c>
      <c r="D67" s="128"/>
      <c r="E67" s="128" t="s">
        <v>23</v>
      </c>
      <c r="F67" s="128" t="s">
        <v>192</v>
      </c>
      <c r="G67" s="129"/>
      <c r="H67" s="128"/>
      <c r="I67" s="128"/>
      <c r="J67" s="128"/>
      <c r="K67" s="128"/>
      <c r="L67" s="78" t="n">
        <f aca="false">SUM($S67:$BB67)</f>
        <v>262.4</v>
      </c>
      <c r="M67" s="128"/>
      <c r="N67" s="130" t="str">
        <f aca="false">IF(ISERROR(VLOOKUP(P67,Member_Tab,2,FALSE())),"",VLOOKUP(P67,Member_Tab,2,FALSE()))</f>
        <v/>
      </c>
      <c r="O67" s="130" t="str">
        <f aca="false">IF(ISERROR(VLOOKUP(P67,Member_Tab,3,FALSE())),"",VLOOKUP(P67,Member_Tab,3,FALSE()))</f>
        <v/>
      </c>
      <c r="P67" s="75" t="s">
        <v>205</v>
      </c>
      <c r="Q67" s="128"/>
      <c r="R67" s="131"/>
      <c r="S67" s="132"/>
      <c r="T67" s="132"/>
      <c r="U67" s="132" t="n">
        <f aca="false">1*U$9</f>
        <v>147.2</v>
      </c>
      <c r="V67" s="132" t="n">
        <f aca="false">1*V$9</f>
        <v>115.2</v>
      </c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</row>
    <row r="68" customFormat="false" ht="15" hidden="false" customHeight="false" outlineLevel="0" collapsed="false">
      <c r="B68" s="75" t="s">
        <v>194</v>
      </c>
      <c r="C68" s="128" t="s">
        <v>30</v>
      </c>
      <c r="D68" s="128"/>
      <c r="E68" s="128" t="s">
        <v>47</v>
      </c>
      <c r="F68" s="128" t="s">
        <v>195</v>
      </c>
      <c r="G68" s="129"/>
      <c r="H68" s="128"/>
      <c r="I68" s="128"/>
      <c r="J68" s="128"/>
      <c r="K68" s="128"/>
      <c r="L68" s="78" t="n">
        <f aca="false">SUM($S68:$BB68)</f>
        <v>1081.6</v>
      </c>
      <c r="M68" s="128"/>
      <c r="N68" s="130" t="str">
        <f aca="false">IF(ISERROR(VLOOKUP(P68,Member_Tab,2,FALSE())),"",VLOOKUP(P68,Member_Tab,2,FALSE()))</f>
        <v/>
      </c>
      <c r="O68" s="130" t="str">
        <f aca="false">IF(ISERROR(VLOOKUP(P68,Member_Tab,3,FALSE())),"",VLOOKUP(P68,Member_Tab,3,FALSE()))</f>
        <v/>
      </c>
      <c r="P68" s="75" t="s">
        <v>205</v>
      </c>
      <c r="Q68" s="128"/>
      <c r="R68" s="131"/>
      <c r="S68" s="132"/>
      <c r="T68" s="132"/>
      <c r="U68" s="132"/>
      <c r="V68" s="132"/>
      <c r="W68" s="132" t="n">
        <f aca="false">1*W$9</f>
        <v>134.4</v>
      </c>
      <c r="X68" s="132" t="n">
        <f aca="false">1*X$9</f>
        <v>128</v>
      </c>
      <c r="Y68" s="132" t="n">
        <f aca="false">1*Y$9</f>
        <v>134.4</v>
      </c>
      <c r="Z68" s="132" t="n">
        <f aca="false">1*Z$9</f>
        <v>147.2</v>
      </c>
      <c r="AA68" s="132" t="n">
        <f aca="false">1*AA$9</f>
        <v>134.4</v>
      </c>
      <c r="AB68" s="132" t="n">
        <f aca="false">1*AB$9</f>
        <v>140.8</v>
      </c>
      <c r="AC68" s="132" t="n">
        <f aca="false">1*AC$9</f>
        <v>140.8</v>
      </c>
      <c r="AD68" s="132" t="n">
        <f aca="false">1*AD$9</f>
        <v>121.6</v>
      </c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</row>
    <row r="69" customFormat="false" ht="15" hidden="false" customHeight="false" outlineLevel="0" collapsed="false">
      <c r="B69" s="75" t="s">
        <v>187</v>
      </c>
      <c r="C69" s="128" t="s">
        <v>30</v>
      </c>
      <c r="D69" s="128"/>
      <c r="E69" s="128" t="s">
        <v>23</v>
      </c>
      <c r="F69" s="128" t="s">
        <v>188</v>
      </c>
      <c r="G69" s="129"/>
      <c r="H69" s="128"/>
      <c r="I69" s="128"/>
      <c r="J69" s="128"/>
      <c r="K69" s="128"/>
      <c r="L69" s="78" t="n">
        <f aca="false">SUM($S69:$BB69)</f>
        <v>672</v>
      </c>
      <c r="M69" s="128"/>
      <c r="N69" s="130" t="str">
        <f aca="false">IF(ISERROR(VLOOKUP(P69,Member_Tab,2,FALSE())),"",VLOOKUP(P69,Member_Tab,2,FALSE()))</f>
        <v/>
      </c>
      <c r="O69" s="130" t="str">
        <f aca="false">IF(ISERROR(VLOOKUP(P69,Member_Tab,3,FALSE())),"",VLOOKUP(P69,Member_Tab,3,FALSE()))</f>
        <v/>
      </c>
      <c r="P69" s="75" t="s">
        <v>206</v>
      </c>
      <c r="Q69" s="128"/>
      <c r="R69" s="131"/>
      <c r="S69" s="132"/>
      <c r="T69" s="132"/>
      <c r="U69" s="132" t="n">
        <f aca="false">0.5*U$9</f>
        <v>73.6</v>
      </c>
      <c r="V69" s="132" t="n">
        <f aca="false">0.5*V$9</f>
        <v>57.6</v>
      </c>
      <c r="W69" s="132" t="n">
        <f aca="false">0.5*W$9</f>
        <v>67.2</v>
      </c>
      <c r="X69" s="132" t="n">
        <f aca="false">0.5*X$9</f>
        <v>64</v>
      </c>
      <c r="Y69" s="132" t="n">
        <f aca="false">0.5*Y$9</f>
        <v>67.2</v>
      </c>
      <c r="Z69" s="132" t="n">
        <f aca="false">0.5*Z$9</f>
        <v>73.6</v>
      </c>
      <c r="AA69" s="132" t="n">
        <f aca="false">0.5*AA$9</f>
        <v>67.2</v>
      </c>
      <c r="AB69" s="132" t="n">
        <f aca="false">0.5*AB$9</f>
        <v>70.4</v>
      </c>
      <c r="AC69" s="132" t="n">
        <f aca="false">0.5*AC$9</f>
        <v>70.4</v>
      </c>
      <c r="AD69" s="132" t="n">
        <f aca="false">0.5*AD$9</f>
        <v>60.8</v>
      </c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</row>
    <row r="70" customFormat="false" ht="15" hidden="false" customHeight="false" outlineLevel="0" collapsed="false">
      <c r="B70" s="75" t="s">
        <v>191</v>
      </c>
      <c r="C70" s="128" t="s">
        <v>30</v>
      </c>
      <c r="D70" s="128"/>
      <c r="E70" s="128" t="s">
        <v>23</v>
      </c>
      <c r="F70" s="128" t="s">
        <v>192</v>
      </c>
      <c r="G70" s="129"/>
      <c r="H70" s="128"/>
      <c r="I70" s="128"/>
      <c r="J70" s="128"/>
      <c r="K70" s="128"/>
      <c r="L70" s="78" t="n">
        <f aca="false">SUM($S70:$BB70)</f>
        <v>131.2</v>
      </c>
      <c r="M70" s="128"/>
      <c r="N70" s="130" t="str">
        <f aca="false">IF(ISERROR(VLOOKUP(P70,Member_Tab,2,FALSE())),"",VLOOKUP(P70,Member_Tab,2,FALSE()))</f>
        <v/>
      </c>
      <c r="O70" s="130" t="str">
        <f aca="false">IF(ISERROR(VLOOKUP(P70,Member_Tab,3,FALSE())),"",VLOOKUP(P70,Member_Tab,3,FALSE()))</f>
        <v/>
      </c>
      <c r="P70" s="75" t="s">
        <v>206</v>
      </c>
      <c r="Q70" s="128"/>
      <c r="R70" s="131"/>
      <c r="S70" s="132"/>
      <c r="T70" s="132"/>
      <c r="U70" s="132" t="n">
        <f aca="false">0.5*U$9</f>
        <v>73.6</v>
      </c>
      <c r="V70" s="132" t="n">
        <f aca="false">0.5*V$9</f>
        <v>57.6</v>
      </c>
      <c r="W70" s="132"/>
      <c r="X70" s="132"/>
      <c r="Y70" s="132"/>
      <c r="Z70" s="132"/>
      <c r="AA70" s="132"/>
      <c r="AB70" s="132"/>
      <c r="AC70" s="132"/>
      <c r="AD70" s="132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</row>
    <row r="71" customFormat="false" ht="15" hidden="false" customHeight="false" outlineLevel="0" collapsed="false">
      <c r="B71" s="75" t="s">
        <v>194</v>
      </c>
      <c r="C71" s="128" t="s">
        <v>30</v>
      </c>
      <c r="D71" s="128"/>
      <c r="E71" s="128" t="s">
        <v>47</v>
      </c>
      <c r="F71" s="128" t="s">
        <v>195</v>
      </c>
      <c r="G71" s="129"/>
      <c r="H71" s="128"/>
      <c r="I71" s="128"/>
      <c r="J71" s="128"/>
      <c r="K71" s="128"/>
      <c r="L71" s="78" t="n">
        <f aca="false">SUM($S71:$BB71)</f>
        <v>540.8</v>
      </c>
      <c r="M71" s="128"/>
      <c r="N71" s="130" t="str">
        <f aca="false">IF(ISERROR(VLOOKUP(P71,Member_Tab,2,FALSE())),"",VLOOKUP(P71,Member_Tab,2,FALSE()))</f>
        <v/>
      </c>
      <c r="O71" s="130" t="str">
        <f aca="false">IF(ISERROR(VLOOKUP(P71,Member_Tab,3,FALSE())),"",VLOOKUP(P71,Member_Tab,3,FALSE()))</f>
        <v/>
      </c>
      <c r="P71" s="75" t="s">
        <v>206</v>
      </c>
      <c r="Q71" s="128"/>
      <c r="R71" s="131"/>
      <c r="S71" s="132"/>
      <c r="T71" s="132"/>
      <c r="U71" s="132"/>
      <c r="V71" s="132"/>
      <c r="W71" s="132" t="n">
        <f aca="false">0.5*W$9</f>
        <v>67.2</v>
      </c>
      <c r="X71" s="132" t="n">
        <f aca="false">0.5*X$9</f>
        <v>64</v>
      </c>
      <c r="Y71" s="132" t="n">
        <f aca="false">0.5*Y$9</f>
        <v>67.2</v>
      </c>
      <c r="Z71" s="132" t="n">
        <f aca="false">0.5*Z$9</f>
        <v>73.6</v>
      </c>
      <c r="AA71" s="132" t="n">
        <f aca="false">0.5*AA$9</f>
        <v>67.2</v>
      </c>
      <c r="AB71" s="132" t="n">
        <f aca="false">0.5*AB$9</f>
        <v>70.4</v>
      </c>
      <c r="AC71" s="132" t="n">
        <f aca="false">0.5*AC$9</f>
        <v>70.4</v>
      </c>
      <c r="AD71" s="132" t="n">
        <f aca="false">0.5*AD$9</f>
        <v>60.8</v>
      </c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</row>
    <row r="72" customFormat="false" ht="15" hidden="false" customHeight="false" outlineLevel="0" collapsed="false">
      <c r="B72" s="75" t="s">
        <v>191</v>
      </c>
      <c r="C72" s="128" t="s">
        <v>30</v>
      </c>
      <c r="D72" s="128"/>
      <c r="E72" s="128" t="s">
        <v>23</v>
      </c>
      <c r="F72" s="128" t="s">
        <v>192</v>
      </c>
      <c r="G72" s="129"/>
      <c r="H72" s="128"/>
      <c r="I72" s="128"/>
      <c r="J72" s="128"/>
      <c r="K72" s="128"/>
      <c r="L72" s="78" t="n">
        <f aca="false">SUM($S72:$BB72)</f>
        <v>262.4</v>
      </c>
      <c r="M72" s="128"/>
      <c r="N72" s="130" t="str">
        <f aca="false">IF(ISERROR(VLOOKUP(P72,Member_Tab,2,FALSE())),"",VLOOKUP(P72,Member_Tab,2,FALSE()))</f>
        <v/>
      </c>
      <c r="O72" s="130" t="str">
        <f aca="false">IF(ISERROR(VLOOKUP(P72,Member_Tab,3,FALSE())),"",VLOOKUP(P72,Member_Tab,3,FALSE()))</f>
        <v/>
      </c>
      <c r="P72" s="75" t="s">
        <v>207</v>
      </c>
      <c r="Q72" s="128"/>
      <c r="R72" s="131"/>
      <c r="S72" s="132"/>
      <c r="T72" s="132"/>
      <c r="U72" s="132" t="n">
        <f aca="false">1*U$9</f>
        <v>147.2</v>
      </c>
      <c r="V72" s="132" t="n">
        <f aca="false">1*V$9</f>
        <v>115.2</v>
      </c>
      <c r="W72" s="132"/>
      <c r="X72" s="132"/>
      <c r="Y72" s="132"/>
      <c r="Z72" s="132"/>
      <c r="AA72" s="132"/>
      <c r="AB72" s="132"/>
      <c r="AC72" s="132"/>
      <c r="AD72" s="132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</row>
    <row r="73" customFormat="false" ht="15" hidden="false" customHeight="false" outlineLevel="0" collapsed="false">
      <c r="B73" s="75" t="s">
        <v>194</v>
      </c>
      <c r="C73" s="128" t="s">
        <v>30</v>
      </c>
      <c r="D73" s="128"/>
      <c r="E73" s="128" t="s">
        <v>47</v>
      </c>
      <c r="F73" s="128" t="s">
        <v>195</v>
      </c>
      <c r="G73" s="129"/>
      <c r="H73" s="128"/>
      <c r="I73" s="128"/>
      <c r="J73" s="128"/>
      <c r="K73" s="128"/>
      <c r="L73" s="78" t="n">
        <f aca="false">SUM($S73:$BB73)</f>
        <v>1081.6</v>
      </c>
      <c r="M73" s="128"/>
      <c r="N73" s="130" t="str">
        <f aca="false">IF(ISERROR(VLOOKUP(P73,Member_Tab,2,FALSE())),"",VLOOKUP(P73,Member_Tab,2,FALSE()))</f>
        <v/>
      </c>
      <c r="O73" s="130" t="str">
        <f aca="false">IF(ISERROR(VLOOKUP(P73,Member_Tab,3,FALSE())),"",VLOOKUP(P73,Member_Tab,3,FALSE()))</f>
        <v/>
      </c>
      <c r="P73" s="75" t="s">
        <v>207</v>
      </c>
      <c r="Q73" s="128"/>
      <c r="R73" s="131"/>
      <c r="S73" s="132"/>
      <c r="T73" s="132"/>
      <c r="U73" s="132"/>
      <c r="V73" s="132"/>
      <c r="W73" s="132" t="n">
        <f aca="false">1*W$9</f>
        <v>134.4</v>
      </c>
      <c r="X73" s="132" t="n">
        <f aca="false">1*X$9</f>
        <v>128</v>
      </c>
      <c r="Y73" s="132" t="n">
        <f aca="false">1*Y$9</f>
        <v>134.4</v>
      </c>
      <c r="Z73" s="132" t="n">
        <f aca="false">1*Z$9</f>
        <v>147.2</v>
      </c>
      <c r="AA73" s="132" t="n">
        <f aca="false">1*AA$9</f>
        <v>134.4</v>
      </c>
      <c r="AB73" s="132" t="n">
        <f aca="false">1*AB$9</f>
        <v>140.8</v>
      </c>
      <c r="AC73" s="132" t="n">
        <f aca="false">1*AC$9</f>
        <v>140.8</v>
      </c>
      <c r="AD73" s="132" t="n">
        <f aca="false">1*AD$9</f>
        <v>121.6</v>
      </c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</row>
    <row r="74" customFormat="false" ht="15" hidden="false" customHeight="false" outlineLevel="0" collapsed="false">
      <c r="B74" s="75" t="s">
        <v>191</v>
      </c>
      <c r="C74" s="128" t="s">
        <v>30</v>
      </c>
      <c r="D74" s="128"/>
      <c r="E74" s="128" t="s">
        <v>23</v>
      </c>
      <c r="F74" s="128" t="s">
        <v>192</v>
      </c>
      <c r="G74" s="129"/>
      <c r="H74" s="128"/>
      <c r="I74" s="128"/>
      <c r="J74" s="128"/>
      <c r="K74" s="128"/>
      <c r="L74" s="78" t="n">
        <f aca="false">SUM($S74:$BB74)</f>
        <v>65.6</v>
      </c>
      <c r="M74" s="128"/>
      <c r="N74" s="130" t="str">
        <f aca="false">IF(ISERROR(VLOOKUP(P74,Member_Tab,2,FALSE())),"",VLOOKUP(P74,Member_Tab,2,FALSE()))</f>
        <v/>
      </c>
      <c r="O74" s="130" t="str">
        <f aca="false">IF(ISERROR(VLOOKUP(P74,Member_Tab,3,FALSE())),"",VLOOKUP(P74,Member_Tab,3,FALSE()))</f>
        <v/>
      </c>
      <c r="P74" s="75" t="s">
        <v>208</v>
      </c>
      <c r="Q74" s="128"/>
      <c r="R74" s="131"/>
      <c r="S74" s="132"/>
      <c r="T74" s="132"/>
      <c r="U74" s="132" t="n">
        <f aca="false">0.25*U$9</f>
        <v>36.8</v>
      </c>
      <c r="V74" s="132" t="n">
        <f aca="false">0.25*V$9</f>
        <v>28.8</v>
      </c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</row>
    <row r="75" customFormat="false" ht="15" hidden="false" customHeight="false" outlineLevel="0" collapsed="false">
      <c r="B75" s="75" t="s">
        <v>194</v>
      </c>
      <c r="C75" s="128" t="s">
        <v>30</v>
      </c>
      <c r="D75" s="128"/>
      <c r="E75" s="128" t="s">
        <v>47</v>
      </c>
      <c r="F75" s="128" t="s">
        <v>195</v>
      </c>
      <c r="G75" s="129"/>
      <c r="H75" s="128"/>
      <c r="I75" s="128"/>
      <c r="J75" s="128"/>
      <c r="K75" s="128"/>
      <c r="L75" s="78" t="n">
        <f aca="false">SUM($S75:$BB75)</f>
        <v>270.4</v>
      </c>
      <c r="M75" s="128"/>
      <c r="N75" s="130" t="str">
        <f aca="false">IF(ISERROR(VLOOKUP(P75,Member_Tab,2,FALSE())),"",VLOOKUP(P75,Member_Tab,2,FALSE()))</f>
        <v/>
      </c>
      <c r="O75" s="130" t="str">
        <f aca="false">IF(ISERROR(VLOOKUP(P75,Member_Tab,3,FALSE())),"",VLOOKUP(P75,Member_Tab,3,FALSE()))</f>
        <v/>
      </c>
      <c r="P75" s="75" t="s">
        <v>208</v>
      </c>
      <c r="Q75" s="128"/>
      <c r="R75" s="131"/>
      <c r="S75" s="132"/>
      <c r="T75" s="132"/>
      <c r="U75" s="132"/>
      <c r="V75" s="132"/>
      <c r="W75" s="132" t="n">
        <f aca="false">0.25*W$9</f>
        <v>33.6</v>
      </c>
      <c r="X75" s="132" t="n">
        <f aca="false">0.25*X$9</f>
        <v>32</v>
      </c>
      <c r="Y75" s="132" t="n">
        <f aca="false">0.25*Y$9</f>
        <v>33.6</v>
      </c>
      <c r="Z75" s="132" t="n">
        <f aca="false">0.25*Z$9</f>
        <v>36.8</v>
      </c>
      <c r="AA75" s="132" t="n">
        <f aca="false">0.25*AA$9</f>
        <v>33.6</v>
      </c>
      <c r="AB75" s="132" t="n">
        <f aca="false">0.25*AB$9</f>
        <v>35.2</v>
      </c>
      <c r="AC75" s="132" t="n">
        <f aca="false">0.25*AC$9</f>
        <v>35.2</v>
      </c>
      <c r="AD75" s="132" t="n">
        <f aca="false">0.25*AD$9</f>
        <v>30.4</v>
      </c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</row>
    <row r="76" customFormat="false" ht="15" hidden="false" customHeight="false" outlineLevel="0" collapsed="false">
      <c r="B76" s="75" t="s">
        <v>187</v>
      </c>
      <c r="C76" s="128" t="s">
        <v>30</v>
      </c>
      <c r="D76" s="128"/>
      <c r="E76" s="128" t="s">
        <v>23</v>
      </c>
      <c r="F76" s="128" t="s">
        <v>188</v>
      </c>
      <c r="G76" s="129"/>
      <c r="H76" s="128"/>
      <c r="I76" s="128"/>
      <c r="J76" s="128"/>
      <c r="K76" s="128"/>
      <c r="L76" s="78" t="n">
        <f aca="false">SUM($S76:$BB76)</f>
        <v>336</v>
      </c>
      <c r="M76" s="128"/>
      <c r="N76" s="130" t="str">
        <f aca="false">IF(ISERROR(VLOOKUP(P76,Member_Tab,2,FALSE())),"",VLOOKUP(P76,Member_Tab,2,FALSE()))</f>
        <v/>
      </c>
      <c r="O76" s="130" t="str">
        <f aca="false">IF(ISERROR(VLOOKUP(P76,Member_Tab,3,FALSE())),"",VLOOKUP(P76,Member_Tab,3,FALSE()))</f>
        <v/>
      </c>
      <c r="P76" s="75" t="s">
        <v>208</v>
      </c>
      <c r="Q76" s="128"/>
      <c r="R76" s="131"/>
      <c r="S76" s="132"/>
      <c r="T76" s="132"/>
      <c r="U76" s="132" t="n">
        <f aca="false">0.25*U$9</f>
        <v>36.8</v>
      </c>
      <c r="V76" s="132" t="n">
        <f aca="false">0.25*V$9</f>
        <v>28.8</v>
      </c>
      <c r="W76" s="132" t="n">
        <f aca="false">0.25*W$9</f>
        <v>33.6</v>
      </c>
      <c r="X76" s="132" t="n">
        <f aca="false">0.25*X$9</f>
        <v>32</v>
      </c>
      <c r="Y76" s="132" t="n">
        <f aca="false">0.25*Y$9</f>
        <v>33.6</v>
      </c>
      <c r="Z76" s="132" t="n">
        <f aca="false">0.25*Z$9</f>
        <v>36.8</v>
      </c>
      <c r="AA76" s="132" t="n">
        <f aca="false">0.25*AA$9</f>
        <v>33.6</v>
      </c>
      <c r="AB76" s="132" t="n">
        <f aca="false">0.25*AB$9</f>
        <v>35.2</v>
      </c>
      <c r="AC76" s="132" t="n">
        <f aca="false">0.25*AC$9</f>
        <v>35.2</v>
      </c>
      <c r="AD76" s="132" t="n">
        <f aca="false">0.25*AD$9</f>
        <v>30.4</v>
      </c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</row>
    <row r="77" customFormat="false" ht="15" hidden="false" customHeight="false" outlineLevel="0" collapsed="false">
      <c r="B77" s="75" t="s">
        <v>187</v>
      </c>
      <c r="C77" s="128" t="s">
        <v>30</v>
      </c>
      <c r="D77" s="128"/>
      <c r="E77" s="128" t="s">
        <v>23</v>
      </c>
      <c r="F77" s="128" t="s">
        <v>188</v>
      </c>
      <c r="G77" s="129"/>
      <c r="H77" s="128"/>
      <c r="I77" s="128"/>
      <c r="J77" s="128"/>
      <c r="K77" s="128"/>
      <c r="L77" s="78" t="n">
        <f aca="false">SUM($S77:$BB77)</f>
        <v>672</v>
      </c>
      <c r="M77" s="128"/>
      <c r="N77" s="134" t="s">
        <v>27</v>
      </c>
      <c r="O77" s="130" t="str">
        <f aca="false">IF(ISERROR(VLOOKUP(P77,Member_Tab,3,FALSE())),"",VLOOKUP(P77,Member_Tab,3,FALSE()))</f>
        <v/>
      </c>
      <c r="P77" s="75" t="s">
        <v>209</v>
      </c>
      <c r="Q77" s="128"/>
      <c r="R77" s="131"/>
      <c r="S77" s="132"/>
      <c r="T77" s="132"/>
      <c r="U77" s="132" t="n">
        <f aca="false">0.5*U$9</f>
        <v>73.6</v>
      </c>
      <c r="V77" s="132" t="n">
        <f aca="false">0.5*V$9</f>
        <v>57.6</v>
      </c>
      <c r="W77" s="132" t="n">
        <f aca="false">0.5*W$9</f>
        <v>67.2</v>
      </c>
      <c r="X77" s="132" t="n">
        <f aca="false">0.5*X$9</f>
        <v>64</v>
      </c>
      <c r="Y77" s="132" t="n">
        <f aca="false">0.5*Y$9</f>
        <v>67.2</v>
      </c>
      <c r="Z77" s="132" t="n">
        <f aca="false">0.5*Z$9</f>
        <v>73.6</v>
      </c>
      <c r="AA77" s="132" t="n">
        <f aca="false">0.5*AA$9</f>
        <v>67.2</v>
      </c>
      <c r="AB77" s="132" t="n">
        <f aca="false">0.5*AB$9</f>
        <v>70.4</v>
      </c>
      <c r="AC77" s="132" t="n">
        <f aca="false">0.5*AC$9</f>
        <v>70.4</v>
      </c>
      <c r="AD77" s="132" t="n">
        <f aca="false">0.5*AD$9</f>
        <v>60.8</v>
      </c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</row>
    <row r="78" customFormat="false" ht="15" hidden="false" customHeight="false" outlineLevel="0" collapsed="false">
      <c r="B78" s="75" t="s">
        <v>191</v>
      </c>
      <c r="C78" s="128" t="s">
        <v>30</v>
      </c>
      <c r="D78" s="128"/>
      <c r="E78" s="128" t="s">
        <v>23</v>
      </c>
      <c r="F78" s="128" t="s">
        <v>192</v>
      </c>
      <c r="G78" s="129"/>
      <c r="H78" s="128"/>
      <c r="I78" s="128"/>
      <c r="J78" s="128"/>
      <c r="K78" s="128"/>
      <c r="L78" s="78" t="n">
        <f aca="false">SUM($S78:$BB78)</f>
        <v>131.2</v>
      </c>
      <c r="M78" s="128"/>
      <c r="N78" s="130" t="str">
        <f aca="false">IF(ISERROR(VLOOKUP(P78,Member_Tab,2,FALSE())),"",VLOOKUP(P78,Member_Tab,2,FALSE()))</f>
        <v/>
      </c>
      <c r="O78" s="130" t="str">
        <f aca="false">IF(ISERROR(VLOOKUP(P78,Member_Tab,3,FALSE())),"",VLOOKUP(P78,Member_Tab,3,FALSE()))</f>
        <v/>
      </c>
      <c r="P78" s="75" t="s">
        <v>209</v>
      </c>
      <c r="Q78" s="128"/>
      <c r="R78" s="131"/>
      <c r="S78" s="132"/>
      <c r="T78" s="132"/>
      <c r="U78" s="132" t="n">
        <f aca="false">0.5*U$9</f>
        <v>73.6</v>
      </c>
      <c r="V78" s="132" t="n">
        <f aca="false">0.5*V$9</f>
        <v>57.6</v>
      </c>
      <c r="W78" s="132"/>
      <c r="X78" s="132"/>
      <c r="Y78" s="132"/>
      <c r="Z78" s="132"/>
      <c r="AA78" s="132"/>
      <c r="AB78" s="132"/>
      <c r="AC78" s="132"/>
      <c r="AD78" s="132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</row>
    <row r="79" customFormat="false" ht="15" hidden="false" customHeight="false" outlineLevel="0" collapsed="false">
      <c r="B79" s="75" t="s">
        <v>194</v>
      </c>
      <c r="C79" s="128" t="s">
        <v>30</v>
      </c>
      <c r="D79" s="128"/>
      <c r="E79" s="128" t="s">
        <v>47</v>
      </c>
      <c r="F79" s="128" t="s">
        <v>195</v>
      </c>
      <c r="G79" s="129"/>
      <c r="H79" s="128"/>
      <c r="I79" s="128"/>
      <c r="J79" s="128"/>
      <c r="K79" s="128"/>
      <c r="L79" s="78" t="n">
        <f aca="false">SUM($S79:$BB79)</f>
        <v>540.8</v>
      </c>
      <c r="M79" s="128"/>
      <c r="N79" s="130" t="str">
        <f aca="false">IF(ISERROR(VLOOKUP(P79,Member_Tab,2,FALSE())),"",VLOOKUP(P79,Member_Tab,2,FALSE()))</f>
        <v/>
      </c>
      <c r="O79" s="130" t="str">
        <f aca="false">IF(ISERROR(VLOOKUP(P79,Member_Tab,3,FALSE())),"",VLOOKUP(P79,Member_Tab,3,FALSE()))</f>
        <v/>
      </c>
      <c r="P79" s="75" t="s">
        <v>209</v>
      </c>
      <c r="Q79" s="128"/>
      <c r="R79" s="131"/>
      <c r="S79" s="132"/>
      <c r="T79" s="132"/>
      <c r="U79" s="132"/>
      <c r="V79" s="132"/>
      <c r="W79" s="132" t="n">
        <f aca="false">0.5*W$9</f>
        <v>67.2</v>
      </c>
      <c r="X79" s="132" t="n">
        <f aca="false">0.5*X$9</f>
        <v>64</v>
      </c>
      <c r="Y79" s="132" t="n">
        <f aca="false">0.5*Y$9</f>
        <v>67.2</v>
      </c>
      <c r="Z79" s="132" t="n">
        <f aca="false">0.5*Z$9</f>
        <v>73.6</v>
      </c>
      <c r="AA79" s="132" t="n">
        <f aca="false">0.5*AA$9</f>
        <v>67.2</v>
      </c>
      <c r="AB79" s="132" t="n">
        <f aca="false">0.5*AB$9</f>
        <v>70.4</v>
      </c>
      <c r="AC79" s="132" t="n">
        <f aca="false">0.5*AC$9</f>
        <v>70.4</v>
      </c>
      <c r="AD79" s="132" t="n">
        <f aca="false">0.5*AD$9</f>
        <v>60.8</v>
      </c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</row>
    <row r="80" customFormat="false" ht="15" hidden="false" customHeight="false" outlineLevel="0" collapsed="false">
      <c r="B80" s="75"/>
      <c r="C80" s="128"/>
      <c r="D80" s="128"/>
      <c r="E80" s="128"/>
      <c r="F80" s="128"/>
      <c r="G80" s="129"/>
      <c r="H80" s="128"/>
      <c r="I80" s="128"/>
      <c r="J80" s="128"/>
      <c r="K80" s="128"/>
      <c r="L80" s="78" t="n">
        <f aca="false">SUM($S80:$BB80)</f>
        <v>0</v>
      </c>
      <c r="M80" s="128"/>
      <c r="N80" s="130" t="str">
        <f aca="false">IF(ISERROR(VLOOKUP(P80,Member_Tab,2,FALSE())),"",VLOOKUP(P80,Member_Tab,2,FALSE()))</f>
        <v/>
      </c>
      <c r="O80" s="130" t="str">
        <f aca="false">IF(ISERROR(VLOOKUP(P80,Member_Tab,3,FALSE())),"",VLOOKUP(P80,Member_Tab,3,FALSE()))</f>
        <v/>
      </c>
      <c r="P80" s="75"/>
      <c r="Q80" s="128"/>
      <c r="R80" s="131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</row>
    <row r="81" customFormat="false" ht="15" hidden="false" customHeight="false" outlineLevel="0" collapsed="false">
      <c r="B81" s="75"/>
      <c r="C81" s="128"/>
      <c r="D81" s="128"/>
      <c r="E81" s="128"/>
      <c r="F81" s="128"/>
      <c r="G81" s="129"/>
      <c r="H81" s="128"/>
      <c r="I81" s="128"/>
      <c r="J81" s="128"/>
      <c r="K81" s="128"/>
      <c r="L81" s="78" t="n">
        <f aca="false">SUM($S81:$BB81)</f>
        <v>0</v>
      </c>
      <c r="M81" s="128"/>
      <c r="N81" s="130" t="str">
        <f aca="false">IF(ISERROR(VLOOKUP(P81,Member_Tab,2,FALSE())),"",VLOOKUP(P81,Member_Tab,2,FALSE()))</f>
        <v/>
      </c>
      <c r="O81" s="130" t="str">
        <f aca="false">IF(ISERROR(VLOOKUP(P81,Member_Tab,3,FALSE())),"",VLOOKUP(P81,Member_Tab,3,FALSE()))</f>
        <v/>
      </c>
      <c r="P81" s="75"/>
      <c r="Q81" s="128"/>
      <c r="R81" s="131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</row>
    <row r="82" customFormat="false" ht="15" hidden="false" customHeight="false" outlineLevel="0" collapsed="false">
      <c r="B82" s="75"/>
      <c r="C82" s="128"/>
      <c r="D82" s="128"/>
      <c r="E82" s="128"/>
      <c r="F82" s="128"/>
      <c r="G82" s="129"/>
      <c r="H82" s="128"/>
      <c r="I82" s="128"/>
      <c r="J82" s="128"/>
      <c r="K82" s="128"/>
      <c r="L82" s="78" t="n">
        <f aca="false">SUM($S82:$BB82)</f>
        <v>0</v>
      </c>
      <c r="M82" s="128"/>
      <c r="N82" s="130" t="str">
        <f aca="false">IF(ISERROR(VLOOKUP(P82,Member_Tab,2,FALSE())),"",VLOOKUP(P82,Member_Tab,2,FALSE()))</f>
        <v/>
      </c>
      <c r="O82" s="130" t="str">
        <f aca="false">IF(ISERROR(VLOOKUP(P82,Member_Tab,3,FALSE())),"",VLOOKUP(P82,Member_Tab,3,FALSE()))</f>
        <v/>
      </c>
      <c r="P82" s="75"/>
      <c r="Q82" s="128"/>
      <c r="R82" s="131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</row>
    <row r="83" customFormat="false" ht="15" hidden="false" customHeight="false" outlineLevel="0" collapsed="false">
      <c r="B83" s="75"/>
      <c r="C83" s="128"/>
      <c r="D83" s="128"/>
      <c r="E83" s="128"/>
      <c r="F83" s="128"/>
      <c r="G83" s="129"/>
      <c r="H83" s="128"/>
      <c r="I83" s="128"/>
      <c r="J83" s="128"/>
      <c r="K83" s="128"/>
      <c r="L83" s="78" t="n">
        <f aca="false">SUM($S83:$BB83)</f>
        <v>0</v>
      </c>
      <c r="M83" s="128"/>
      <c r="N83" s="130" t="str">
        <f aca="false">IF(ISERROR(VLOOKUP(P83,Member_Tab,2,FALSE())),"",VLOOKUP(P83,Member_Tab,2,FALSE()))</f>
        <v/>
      </c>
      <c r="O83" s="130" t="str">
        <f aca="false">IF(ISERROR(VLOOKUP(P83,Member_Tab,3,FALSE())),"",VLOOKUP(P83,Member_Tab,3,FALSE()))</f>
        <v/>
      </c>
      <c r="P83" s="75"/>
      <c r="Q83" s="128"/>
      <c r="R83" s="131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</row>
    <row r="84" customFormat="false" ht="15" hidden="false" customHeight="false" outlineLevel="0" collapsed="false">
      <c r="B84" s="75"/>
      <c r="C84" s="128"/>
      <c r="D84" s="128"/>
      <c r="E84" s="128"/>
      <c r="F84" s="128"/>
      <c r="G84" s="129"/>
      <c r="H84" s="128"/>
      <c r="I84" s="128"/>
      <c r="J84" s="128"/>
      <c r="K84" s="128"/>
      <c r="L84" s="78" t="n">
        <f aca="false">SUM($S84:$BB84)</f>
        <v>0</v>
      </c>
      <c r="M84" s="128"/>
      <c r="N84" s="130" t="str">
        <f aca="false">IF(ISERROR(VLOOKUP(P84,Member_Tab,2,FALSE())),"",VLOOKUP(P84,Member_Tab,2,FALSE()))</f>
        <v/>
      </c>
      <c r="O84" s="130" t="str">
        <f aca="false">IF(ISERROR(VLOOKUP(P84,Member_Tab,3,FALSE())),"",VLOOKUP(P84,Member_Tab,3,FALSE()))</f>
        <v/>
      </c>
      <c r="P84" s="75"/>
      <c r="Q84" s="128"/>
      <c r="R84" s="131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</row>
    <row r="85" customFormat="false" ht="15" hidden="false" customHeight="false" outlineLevel="0" collapsed="false">
      <c r="B85" s="75"/>
      <c r="C85" s="128"/>
      <c r="D85" s="128"/>
      <c r="E85" s="128"/>
      <c r="F85" s="128"/>
      <c r="G85" s="129"/>
      <c r="H85" s="128"/>
      <c r="I85" s="128"/>
      <c r="J85" s="128"/>
      <c r="K85" s="128"/>
      <c r="L85" s="78" t="n">
        <f aca="false">SUM($S85:$BB85)</f>
        <v>0</v>
      </c>
      <c r="M85" s="128"/>
      <c r="N85" s="130" t="str">
        <f aca="false">IF(ISERROR(VLOOKUP(P85,Member_Tab,2,FALSE())),"",VLOOKUP(P85,Member_Tab,2,FALSE()))</f>
        <v/>
      </c>
      <c r="O85" s="130" t="str">
        <f aca="false">IF(ISERROR(VLOOKUP(P85,Member_Tab,3,FALSE())),"",VLOOKUP(P85,Member_Tab,3,FALSE()))</f>
        <v/>
      </c>
      <c r="P85" s="75"/>
      <c r="Q85" s="128"/>
      <c r="R85" s="131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</row>
    <row r="86" customFormat="false" ht="15" hidden="false" customHeight="false" outlineLevel="0" collapsed="false">
      <c r="B86" s="75"/>
      <c r="C86" s="128"/>
      <c r="D86" s="128"/>
      <c r="E86" s="128"/>
      <c r="F86" s="128"/>
      <c r="G86" s="129"/>
      <c r="H86" s="128"/>
      <c r="I86" s="128"/>
      <c r="J86" s="128"/>
      <c r="K86" s="128"/>
      <c r="L86" s="78" t="n">
        <f aca="false">SUM($S86:$BB86)</f>
        <v>0</v>
      </c>
      <c r="M86" s="128"/>
      <c r="N86" s="130" t="str">
        <f aca="false">IF(ISERROR(VLOOKUP(P86,Member_Tab,2,FALSE())),"",VLOOKUP(P86,Member_Tab,2,FALSE()))</f>
        <v/>
      </c>
      <c r="O86" s="130" t="str">
        <f aca="false">IF(ISERROR(VLOOKUP(P86,Member_Tab,3,FALSE())),"",VLOOKUP(P86,Member_Tab,3,FALSE()))</f>
        <v/>
      </c>
      <c r="P86" s="75"/>
      <c r="Q86" s="128"/>
      <c r="R86" s="131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</row>
    <row r="87" customFormat="false" ht="15" hidden="false" customHeight="false" outlineLevel="0" collapsed="false">
      <c r="B87" s="75"/>
      <c r="C87" s="128"/>
      <c r="D87" s="128"/>
      <c r="E87" s="128"/>
      <c r="F87" s="128"/>
      <c r="G87" s="129"/>
      <c r="H87" s="128"/>
      <c r="I87" s="128"/>
      <c r="J87" s="128"/>
      <c r="K87" s="128"/>
      <c r="L87" s="78" t="n">
        <f aca="false">SUM($S87:$BB87)</f>
        <v>0</v>
      </c>
      <c r="M87" s="128"/>
      <c r="N87" s="130" t="str">
        <f aca="false">IF(ISERROR(VLOOKUP(P87,Member_Tab,2,FALSE())),"",VLOOKUP(P87,Member_Tab,2,FALSE()))</f>
        <v/>
      </c>
      <c r="O87" s="130" t="str">
        <f aca="false">IF(ISERROR(VLOOKUP(P87,Member_Tab,3,FALSE())),"",VLOOKUP(P87,Member_Tab,3,FALSE()))</f>
        <v/>
      </c>
      <c r="P87" s="75"/>
      <c r="Q87" s="128"/>
      <c r="R87" s="131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</row>
    <row r="88" customFormat="false" ht="15" hidden="false" customHeight="false" outlineLevel="0" collapsed="false">
      <c r="B88" s="75"/>
      <c r="C88" s="128"/>
      <c r="D88" s="128"/>
      <c r="E88" s="128"/>
      <c r="F88" s="128"/>
      <c r="G88" s="129"/>
      <c r="H88" s="128"/>
      <c r="I88" s="128"/>
      <c r="J88" s="128"/>
      <c r="K88" s="128"/>
      <c r="L88" s="78" t="n">
        <f aca="false">SUM($S88:$BB88)</f>
        <v>0</v>
      </c>
      <c r="M88" s="128"/>
      <c r="N88" s="130" t="str">
        <f aca="false">IF(ISERROR(VLOOKUP(P88,Member_Tab,2,FALSE())),"",VLOOKUP(P88,Member_Tab,2,FALSE()))</f>
        <v/>
      </c>
      <c r="O88" s="130" t="str">
        <f aca="false">IF(ISERROR(VLOOKUP(P88,Member_Tab,3,FALSE())),"",VLOOKUP(P88,Member_Tab,3,FALSE()))</f>
        <v/>
      </c>
      <c r="P88" s="75"/>
      <c r="Q88" s="128"/>
      <c r="R88" s="131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</row>
    <row r="89" customFormat="false" ht="15" hidden="false" customHeight="false" outlineLevel="0" collapsed="false">
      <c r="B89" s="75"/>
      <c r="C89" s="128"/>
      <c r="D89" s="128"/>
      <c r="E89" s="128"/>
      <c r="F89" s="128"/>
      <c r="G89" s="129"/>
      <c r="H89" s="128"/>
      <c r="I89" s="128"/>
      <c r="J89" s="128"/>
      <c r="K89" s="128"/>
      <c r="L89" s="78" t="n">
        <f aca="false">SUM($S89:$BB89)</f>
        <v>0</v>
      </c>
      <c r="M89" s="128"/>
      <c r="N89" s="130" t="str">
        <f aca="false">IF(ISERROR(VLOOKUP(P89,Member_Tab,2,FALSE())),"",VLOOKUP(P89,Member_Tab,2,FALSE()))</f>
        <v/>
      </c>
      <c r="O89" s="130" t="str">
        <f aca="false">IF(ISERROR(VLOOKUP(P89,Member_Tab,3,FALSE())),"",VLOOKUP(P89,Member_Tab,3,FALSE()))</f>
        <v/>
      </c>
      <c r="P89" s="75"/>
      <c r="Q89" s="128"/>
      <c r="R89" s="131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</row>
    <row r="90" customFormat="false" ht="15" hidden="false" customHeight="false" outlineLevel="0" collapsed="false">
      <c r="B90" s="75"/>
      <c r="C90" s="128"/>
      <c r="D90" s="128"/>
      <c r="E90" s="128"/>
      <c r="F90" s="128"/>
      <c r="G90" s="129"/>
      <c r="H90" s="128"/>
      <c r="I90" s="128"/>
      <c r="J90" s="128"/>
      <c r="K90" s="128"/>
      <c r="L90" s="78" t="n">
        <f aca="false">SUM($S90:$BB90)</f>
        <v>0</v>
      </c>
      <c r="M90" s="128"/>
      <c r="N90" s="130" t="str">
        <f aca="false">IF(ISERROR(VLOOKUP(P90,Member_Tab,2,FALSE())),"",VLOOKUP(P90,Member_Tab,2,FALSE()))</f>
        <v/>
      </c>
      <c r="O90" s="130" t="str">
        <f aca="false">IF(ISERROR(VLOOKUP(P90,Member_Tab,3,FALSE())),"",VLOOKUP(P90,Member_Tab,3,FALSE()))</f>
        <v/>
      </c>
      <c r="P90" s="75"/>
      <c r="Q90" s="128"/>
      <c r="R90" s="131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</row>
    <row r="91" customFormat="false" ht="15" hidden="false" customHeight="false" outlineLevel="0" collapsed="false">
      <c r="B91" s="75"/>
      <c r="C91" s="128"/>
      <c r="D91" s="128"/>
      <c r="E91" s="128"/>
      <c r="F91" s="128"/>
      <c r="G91" s="129"/>
      <c r="H91" s="128"/>
      <c r="I91" s="128"/>
      <c r="J91" s="128"/>
      <c r="K91" s="128"/>
      <c r="L91" s="78" t="n">
        <f aca="false">SUM($S91:$BB91)</f>
        <v>0</v>
      </c>
      <c r="M91" s="128"/>
      <c r="N91" s="130" t="str">
        <f aca="false">IF(ISERROR(VLOOKUP(P91,Member_Tab,2,FALSE())),"",VLOOKUP(P91,Member_Tab,2,FALSE()))</f>
        <v/>
      </c>
      <c r="O91" s="130" t="str">
        <f aca="false">IF(ISERROR(VLOOKUP(P91,Member_Tab,3,FALSE())),"",VLOOKUP(P91,Member_Tab,3,FALSE()))</f>
        <v/>
      </c>
      <c r="P91" s="75"/>
      <c r="Q91" s="128"/>
      <c r="R91" s="131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</row>
    <row r="92" customFormat="false" ht="15" hidden="false" customHeight="false" outlineLevel="0" collapsed="false">
      <c r="B92" s="75"/>
      <c r="C92" s="128"/>
      <c r="D92" s="128"/>
      <c r="E92" s="128"/>
      <c r="F92" s="128"/>
      <c r="G92" s="129"/>
      <c r="H92" s="128"/>
      <c r="I92" s="128"/>
      <c r="J92" s="128"/>
      <c r="K92" s="128"/>
      <c r="L92" s="78" t="n">
        <f aca="false">SUM($S92:$BB92)</f>
        <v>0</v>
      </c>
      <c r="M92" s="128"/>
      <c r="N92" s="130" t="str">
        <f aca="false">IF(ISERROR(VLOOKUP(P92,Member_Tab,2,FALSE())),"",VLOOKUP(P92,Member_Tab,2,FALSE()))</f>
        <v/>
      </c>
      <c r="O92" s="130" t="str">
        <f aca="false">IF(ISERROR(VLOOKUP(P92,Member_Tab,3,FALSE())),"",VLOOKUP(P92,Member_Tab,3,FALSE()))</f>
        <v/>
      </c>
      <c r="P92" s="75"/>
      <c r="Q92" s="128"/>
      <c r="R92" s="131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  <c r="BA92" s="133"/>
      <c r="BB92" s="133"/>
    </row>
    <row r="93" customFormat="false" ht="15" hidden="false" customHeight="false" outlineLevel="0" collapsed="false">
      <c r="B93" s="75"/>
      <c r="C93" s="128"/>
      <c r="D93" s="128"/>
      <c r="E93" s="128"/>
      <c r="F93" s="128"/>
      <c r="G93" s="129"/>
      <c r="H93" s="128"/>
      <c r="I93" s="128"/>
      <c r="J93" s="128"/>
      <c r="K93" s="128"/>
      <c r="L93" s="78" t="n">
        <f aca="false">SUM($S93:$BB93)</f>
        <v>0</v>
      </c>
      <c r="M93" s="128"/>
      <c r="N93" s="130" t="str">
        <f aca="false">IF(ISERROR(VLOOKUP(P93,Member_Tab,2,FALSE())),"",VLOOKUP(P93,Member_Tab,2,FALSE()))</f>
        <v/>
      </c>
      <c r="O93" s="130" t="str">
        <f aca="false">IF(ISERROR(VLOOKUP(P93,Member_Tab,3,FALSE())),"",VLOOKUP(P93,Member_Tab,3,FALSE()))</f>
        <v/>
      </c>
      <c r="P93" s="75"/>
      <c r="Q93" s="128"/>
      <c r="R93" s="131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  <c r="BA93" s="133"/>
      <c r="BB93" s="133"/>
    </row>
    <row r="94" customFormat="false" ht="15" hidden="false" customHeight="false" outlineLevel="0" collapsed="false">
      <c r="B94" s="75"/>
      <c r="C94" s="128"/>
      <c r="D94" s="128"/>
      <c r="E94" s="128"/>
      <c r="F94" s="128"/>
      <c r="G94" s="129"/>
      <c r="H94" s="128"/>
      <c r="I94" s="128"/>
      <c r="J94" s="128"/>
      <c r="K94" s="128"/>
      <c r="L94" s="78" t="n">
        <f aca="false">SUM($S94:$BB94)</f>
        <v>0</v>
      </c>
      <c r="M94" s="128"/>
      <c r="N94" s="130" t="str">
        <f aca="false">IF(ISERROR(VLOOKUP(P94,Member_Tab,2,FALSE())),"",VLOOKUP(P94,Member_Tab,2,FALSE()))</f>
        <v/>
      </c>
      <c r="O94" s="130" t="str">
        <f aca="false">IF(ISERROR(VLOOKUP(P94,Member_Tab,3,FALSE())),"",VLOOKUP(P94,Member_Tab,3,FALSE()))</f>
        <v/>
      </c>
      <c r="P94" s="75"/>
      <c r="Q94" s="128"/>
      <c r="R94" s="131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</row>
    <row r="95" customFormat="false" ht="15" hidden="false" customHeight="false" outlineLevel="0" collapsed="false">
      <c r="B95" s="75"/>
      <c r="C95" s="128"/>
      <c r="D95" s="128"/>
      <c r="E95" s="128"/>
      <c r="F95" s="128"/>
      <c r="G95" s="129"/>
      <c r="H95" s="128"/>
      <c r="I95" s="128"/>
      <c r="J95" s="128"/>
      <c r="K95" s="128"/>
      <c r="L95" s="78" t="n">
        <f aca="false">SUM($S95:$BB95)</f>
        <v>0</v>
      </c>
      <c r="M95" s="128"/>
      <c r="N95" s="130" t="str">
        <f aca="false">IF(ISERROR(VLOOKUP(P95,Member_Tab,2,FALSE())),"",VLOOKUP(P95,Member_Tab,2,FALSE()))</f>
        <v/>
      </c>
      <c r="O95" s="130" t="str">
        <f aca="false">IF(ISERROR(VLOOKUP(P95,Member_Tab,3,FALSE())),"",VLOOKUP(P95,Member_Tab,3,FALSE()))</f>
        <v/>
      </c>
      <c r="P95" s="75"/>
      <c r="Q95" s="128"/>
      <c r="R95" s="131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</row>
    <row r="96" customFormat="false" ht="15" hidden="false" customHeight="false" outlineLevel="0" collapsed="false">
      <c r="B96" s="75"/>
      <c r="C96" s="128"/>
      <c r="D96" s="128"/>
      <c r="E96" s="128"/>
      <c r="F96" s="128"/>
      <c r="G96" s="129"/>
      <c r="H96" s="128"/>
      <c r="I96" s="128"/>
      <c r="J96" s="128"/>
      <c r="K96" s="128"/>
      <c r="L96" s="78" t="n">
        <f aca="false">SUM($S96:$BB96)</f>
        <v>0</v>
      </c>
      <c r="M96" s="128"/>
      <c r="N96" s="130" t="str">
        <f aca="false">IF(ISERROR(VLOOKUP(P96,Member_Tab,2,FALSE())),"",VLOOKUP(P96,Member_Tab,2,FALSE()))</f>
        <v/>
      </c>
      <c r="O96" s="130" t="str">
        <f aca="false">IF(ISERROR(VLOOKUP(P96,Member_Tab,3,FALSE())),"",VLOOKUP(P96,Member_Tab,3,FALSE()))</f>
        <v/>
      </c>
      <c r="P96" s="75"/>
      <c r="Q96" s="128"/>
      <c r="R96" s="131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</row>
    <row r="97" customFormat="false" ht="15" hidden="false" customHeight="false" outlineLevel="0" collapsed="false">
      <c r="B97" s="75"/>
      <c r="C97" s="128"/>
      <c r="D97" s="128"/>
      <c r="E97" s="128"/>
      <c r="F97" s="128"/>
      <c r="G97" s="129"/>
      <c r="H97" s="128"/>
      <c r="I97" s="128"/>
      <c r="J97" s="128"/>
      <c r="K97" s="128"/>
      <c r="L97" s="78" t="n">
        <f aca="false">SUM($S97:$BB97)</f>
        <v>0</v>
      </c>
      <c r="M97" s="128"/>
      <c r="N97" s="130" t="str">
        <f aca="false">IF(ISERROR(VLOOKUP(P97,Member_Tab,2,FALSE())),"",VLOOKUP(P97,Member_Tab,2,FALSE()))</f>
        <v/>
      </c>
      <c r="O97" s="130" t="str">
        <f aca="false">IF(ISERROR(VLOOKUP(P97,Member_Tab,3,FALSE())),"",VLOOKUP(P97,Member_Tab,3,FALSE()))</f>
        <v/>
      </c>
      <c r="P97" s="75"/>
      <c r="Q97" s="128"/>
      <c r="R97" s="131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</row>
    <row r="98" customFormat="false" ht="15" hidden="false" customHeight="false" outlineLevel="0" collapsed="false">
      <c r="B98" s="75"/>
      <c r="C98" s="128"/>
      <c r="D98" s="128"/>
      <c r="E98" s="128"/>
      <c r="F98" s="128"/>
      <c r="G98" s="129"/>
      <c r="H98" s="128"/>
      <c r="I98" s="128"/>
      <c r="J98" s="128"/>
      <c r="K98" s="128"/>
      <c r="L98" s="78" t="n">
        <f aca="false">SUM($S98:$BB98)</f>
        <v>0</v>
      </c>
      <c r="M98" s="128"/>
      <c r="N98" s="130" t="str">
        <f aca="false">IF(ISERROR(VLOOKUP(P98,Member_Tab,2,FALSE())),"",VLOOKUP(P98,Member_Tab,2,FALSE()))</f>
        <v/>
      </c>
      <c r="O98" s="130" t="str">
        <f aca="false">IF(ISERROR(VLOOKUP(P98,Member_Tab,3,FALSE())),"",VLOOKUP(P98,Member_Tab,3,FALSE()))</f>
        <v/>
      </c>
      <c r="P98" s="75"/>
      <c r="Q98" s="128"/>
      <c r="R98" s="131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</row>
    <row r="99" customFormat="false" ht="15" hidden="false" customHeight="false" outlineLevel="0" collapsed="false">
      <c r="B99" s="75"/>
      <c r="C99" s="128"/>
      <c r="D99" s="128"/>
      <c r="E99" s="128"/>
      <c r="F99" s="128"/>
      <c r="G99" s="129"/>
      <c r="H99" s="128"/>
      <c r="I99" s="128"/>
      <c r="J99" s="128"/>
      <c r="K99" s="128"/>
      <c r="L99" s="78" t="n">
        <f aca="false">SUM($S99:$BB99)</f>
        <v>0</v>
      </c>
      <c r="M99" s="128"/>
      <c r="N99" s="130" t="str">
        <f aca="false">IF(ISERROR(VLOOKUP(P99,Member_Tab,2,FALSE())),"",VLOOKUP(P99,Member_Tab,2,FALSE()))</f>
        <v/>
      </c>
      <c r="O99" s="130" t="str">
        <f aca="false">IF(ISERROR(VLOOKUP(P99,Member_Tab,3,FALSE())),"",VLOOKUP(P99,Member_Tab,3,FALSE()))</f>
        <v/>
      </c>
      <c r="P99" s="75"/>
      <c r="Q99" s="128"/>
      <c r="R99" s="131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</row>
    <row r="100" customFormat="false" ht="15" hidden="false" customHeight="false" outlineLevel="0" collapsed="false">
      <c r="B100" s="75"/>
      <c r="C100" s="128"/>
      <c r="D100" s="128"/>
      <c r="E100" s="128"/>
      <c r="F100" s="128"/>
      <c r="G100" s="129"/>
      <c r="H100" s="128"/>
      <c r="I100" s="128"/>
      <c r="J100" s="128"/>
      <c r="K100" s="128"/>
      <c r="L100" s="78" t="n">
        <f aca="false">SUM($S100:$BB100)</f>
        <v>0</v>
      </c>
      <c r="M100" s="128"/>
      <c r="N100" s="130" t="str">
        <f aca="false">IF(ISERROR(VLOOKUP(P100,Member_Tab,2,FALSE())),"",VLOOKUP(P100,Member_Tab,2,FALSE()))</f>
        <v/>
      </c>
      <c r="O100" s="130" t="str">
        <f aca="false">IF(ISERROR(VLOOKUP(P100,Member_Tab,3,FALSE())),"",VLOOKUP(P100,Member_Tab,3,FALSE()))</f>
        <v/>
      </c>
      <c r="P100" s="75"/>
      <c r="Q100" s="128"/>
      <c r="R100" s="131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</row>
    <row r="101" customFormat="false" ht="15" hidden="false" customHeight="false" outlineLevel="0" collapsed="false">
      <c r="B101" s="75"/>
      <c r="C101" s="128"/>
      <c r="D101" s="128"/>
      <c r="E101" s="128"/>
      <c r="F101" s="128"/>
      <c r="G101" s="129"/>
      <c r="H101" s="128"/>
      <c r="I101" s="128"/>
      <c r="J101" s="128"/>
      <c r="K101" s="128"/>
      <c r="L101" s="78" t="n">
        <f aca="false">SUM($S101:$BB101)</f>
        <v>0</v>
      </c>
      <c r="M101" s="128"/>
      <c r="N101" s="130" t="str">
        <f aca="false">IF(ISERROR(VLOOKUP(P101,Member_Tab,2,FALSE())),"",VLOOKUP(P101,Member_Tab,2,FALSE()))</f>
        <v/>
      </c>
      <c r="O101" s="130" t="str">
        <f aca="false">IF(ISERROR(VLOOKUP(P101,Member_Tab,3,FALSE())),"",VLOOKUP(P101,Member_Tab,3,FALSE()))</f>
        <v/>
      </c>
      <c r="P101" s="75"/>
      <c r="Q101" s="128"/>
      <c r="R101" s="131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  <c r="AC101" s="133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</row>
    <row r="102" customFormat="false" ht="15" hidden="false" customHeight="false" outlineLevel="0" collapsed="false">
      <c r="B102" s="75"/>
      <c r="C102" s="128"/>
      <c r="D102" s="128"/>
      <c r="E102" s="128"/>
      <c r="F102" s="128"/>
      <c r="G102" s="129"/>
      <c r="H102" s="128"/>
      <c r="I102" s="128"/>
      <c r="J102" s="128"/>
      <c r="K102" s="128"/>
      <c r="L102" s="78" t="n">
        <f aca="false">SUM($S102:$BB102)</f>
        <v>0</v>
      </c>
      <c r="M102" s="128"/>
      <c r="N102" s="130" t="str">
        <f aca="false">IF(ISERROR(VLOOKUP(P102,Member_Tab,2,FALSE())),"",VLOOKUP(P102,Member_Tab,2,FALSE()))</f>
        <v/>
      </c>
      <c r="O102" s="130" t="str">
        <f aca="false">IF(ISERROR(VLOOKUP(P102,Member_Tab,3,FALSE())),"",VLOOKUP(P102,Member_Tab,3,FALSE()))</f>
        <v/>
      </c>
      <c r="P102" s="75"/>
      <c r="Q102" s="128"/>
      <c r="R102" s="131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  <c r="AC102" s="133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</row>
    <row r="103" customFormat="false" ht="15" hidden="false" customHeight="false" outlineLevel="0" collapsed="false">
      <c r="B103" s="75"/>
      <c r="C103" s="128"/>
      <c r="D103" s="128"/>
      <c r="E103" s="128"/>
      <c r="F103" s="128"/>
      <c r="G103" s="129"/>
      <c r="H103" s="128"/>
      <c r="I103" s="128"/>
      <c r="J103" s="128"/>
      <c r="K103" s="128"/>
      <c r="L103" s="78" t="n">
        <f aca="false">SUM($S103:$BB103)</f>
        <v>0</v>
      </c>
      <c r="M103" s="128"/>
      <c r="N103" s="130" t="str">
        <f aca="false">IF(ISERROR(VLOOKUP(P103,Member_Tab,2,FALSE())),"",VLOOKUP(P103,Member_Tab,2,FALSE()))</f>
        <v/>
      </c>
      <c r="O103" s="130" t="str">
        <f aca="false">IF(ISERROR(VLOOKUP(P103,Member_Tab,3,FALSE())),"",VLOOKUP(P103,Member_Tab,3,FALSE()))</f>
        <v/>
      </c>
      <c r="P103" s="75"/>
      <c r="Q103" s="128"/>
      <c r="R103" s="131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</row>
    <row r="104" customFormat="false" ht="15" hidden="false" customHeight="false" outlineLevel="0" collapsed="false">
      <c r="B104" s="75"/>
      <c r="C104" s="128"/>
      <c r="D104" s="128"/>
      <c r="E104" s="128"/>
      <c r="F104" s="128"/>
      <c r="G104" s="129"/>
      <c r="H104" s="128"/>
      <c r="I104" s="128"/>
      <c r="J104" s="128"/>
      <c r="K104" s="128"/>
      <c r="L104" s="78" t="n">
        <f aca="false">SUM($S104:$BB104)</f>
        <v>0</v>
      </c>
      <c r="M104" s="128"/>
      <c r="N104" s="130" t="str">
        <f aca="false">IF(ISERROR(VLOOKUP(P104,Member_Tab,2,FALSE())),"",VLOOKUP(P104,Member_Tab,2,FALSE()))</f>
        <v/>
      </c>
      <c r="O104" s="130" t="str">
        <f aca="false">IF(ISERROR(VLOOKUP(P104,Member_Tab,3,FALSE())),"",VLOOKUP(P104,Member_Tab,3,FALSE()))</f>
        <v/>
      </c>
      <c r="P104" s="75"/>
      <c r="Q104" s="128"/>
      <c r="R104" s="131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</row>
    <row r="105" customFormat="false" ht="15" hidden="false" customHeight="false" outlineLevel="0" collapsed="false">
      <c r="B105" s="75"/>
      <c r="C105" s="128"/>
      <c r="D105" s="128"/>
      <c r="E105" s="128"/>
      <c r="F105" s="128"/>
      <c r="G105" s="129"/>
      <c r="H105" s="128"/>
      <c r="I105" s="128"/>
      <c r="J105" s="128"/>
      <c r="K105" s="128"/>
      <c r="L105" s="78" t="n">
        <f aca="false">SUM($S105:$BB105)</f>
        <v>0</v>
      </c>
      <c r="M105" s="128"/>
      <c r="N105" s="130" t="str">
        <f aca="false">IF(ISERROR(VLOOKUP(P105,Member_Tab,2,FALSE())),"",VLOOKUP(P105,Member_Tab,2,FALSE()))</f>
        <v/>
      </c>
      <c r="O105" s="130" t="str">
        <f aca="false">IF(ISERROR(VLOOKUP(P105,Member_Tab,3,FALSE())),"",VLOOKUP(P105,Member_Tab,3,FALSE()))</f>
        <v/>
      </c>
      <c r="P105" s="75"/>
      <c r="Q105" s="128"/>
      <c r="R105" s="131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</row>
    <row r="106" customFormat="false" ht="15" hidden="false" customHeight="false" outlineLevel="0" collapsed="false">
      <c r="B106" s="75"/>
      <c r="C106" s="128"/>
      <c r="D106" s="128"/>
      <c r="E106" s="128"/>
      <c r="F106" s="128"/>
      <c r="G106" s="129"/>
      <c r="H106" s="128"/>
      <c r="I106" s="128"/>
      <c r="J106" s="128"/>
      <c r="K106" s="128"/>
      <c r="L106" s="78" t="n">
        <f aca="false">SUM($S106:$BB106)</f>
        <v>0</v>
      </c>
      <c r="M106" s="128"/>
      <c r="N106" s="130" t="str">
        <f aca="false">IF(ISERROR(VLOOKUP(P106,Member_Tab,2,FALSE())),"",VLOOKUP(P106,Member_Tab,2,FALSE()))</f>
        <v/>
      </c>
      <c r="O106" s="130" t="str">
        <f aca="false">IF(ISERROR(VLOOKUP(P106,Member_Tab,3,FALSE())),"",VLOOKUP(P106,Member_Tab,3,FALSE()))</f>
        <v/>
      </c>
      <c r="P106" s="75"/>
      <c r="Q106" s="128"/>
      <c r="R106" s="131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</row>
    <row r="107" customFormat="false" ht="15" hidden="false" customHeight="false" outlineLevel="0" collapsed="false">
      <c r="B107" s="75"/>
      <c r="C107" s="128"/>
      <c r="D107" s="128"/>
      <c r="E107" s="128"/>
      <c r="F107" s="128"/>
      <c r="G107" s="129"/>
      <c r="H107" s="128"/>
      <c r="I107" s="128"/>
      <c r="J107" s="128"/>
      <c r="K107" s="128"/>
      <c r="L107" s="78" t="n">
        <f aca="false">SUM($S107:$BB107)</f>
        <v>0</v>
      </c>
      <c r="M107" s="128"/>
      <c r="N107" s="130" t="str">
        <f aca="false">IF(ISERROR(VLOOKUP(P107,Member_Tab,2,FALSE())),"",VLOOKUP(P107,Member_Tab,2,FALSE()))</f>
        <v/>
      </c>
      <c r="O107" s="130" t="str">
        <f aca="false">IF(ISERROR(VLOOKUP(P107,Member_Tab,3,FALSE())),"",VLOOKUP(P107,Member_Tab,3,FALSE()))</f>
        <v/>
      </c>
      <c r="P107" s="75"/>
      <c r="Q107" s="128"/>
      <c r="R107" s="131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</row>
    <row r="108" customFormat="false" ht="15" hidden="false" customHeight="false" outlineLevel="0" collapsed="false">
      <c r="B108" s="75"/>
      <c r="C108" s="128"/>
      <c r="D108" s="128"/>
      <c r="E108" s="128"/>
      <c r="F108" s="128"/>
      <c r="G108" s="129"/>
      <c r="H108" s="128"/>
      <c r="I108" s="128"/>
      <c r="J108" s="128"/>
      <c r="K108" s="128"/>
      <c r="L108" s="78" t="n">
        <f aca="false">SUM($S108:$BB108)</f>
        <v>0</v>
      </c>
      <c r="M108" s="128"/>
      <c r="N108" s="130" t="str">
        <f aca="false">IF(ISERROR(VLOOKUP(P108,Member_Tab,2,FALSE())),"",VLOOKUP(P108,Member_Tab,2,FALSE()))</f>
        <v/>
      </c>
      <c r="O108" s="130" t="str">
        <f aca="false">IF(ISERROR(VLOOKUP(P108,Member_Tab,3,FALSE())),"",VLOOKUP(P108,Member_Tab,3,FALSE()))</f>
        <v/>
      </c>
      <c r="P108" s="75"/>
      <c r="Q108" s="128"/>
      <c r="R108" s="131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</row>
    <row r="109" customFormat="false" ht="15" hidden="false" customHeight="false" outlineLevel="0" collapsed="false">
      <c r="B109" s="75"/>
      <c r="C109" s="128"/>
      <c r="D109" s="128"/>
      <c r="E109" s="128"/>
      <c r="F109" s="128"/>
      <c r="G109" s="129"/>
      <c r="H109" s="128"/>
      <c r="I109" s="128"/>
      <c r="J109" s="128"/>
      <c r="K109" s="128"/>
      <c r="L109" s="78" t="n">
        <f aca="false">SUM($S109:$BB109)</f>
        <v>0</v>
      </c>
      <c r="M109" s="128"/>
      <c r="N109" s="130" t="str">
        <f aca="false">IF(ISERROR(VLOOKUP(P109,Member_Tab,2,FALSE())),"",VLOOKUP(P109,Member_Tab,2,FALSE()))</f>
        <v/>
      </c>
      <c r="O109" s="130" t="str">
        <f aca="false">IF(ISERROR(VLOOKUP(P109,Member_Tab,3,FALSE())),"",VLOOKUP(P109,Member_Tab,3,FALSE()))</f>
        <v/>
      </c>
      <c r="P109" s="75"/>
      <c r="Q109" s="128"/>
      <c r="R109" s="131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</row>
    <row r="110" customFormat="false" ht="15" hidden="false" customHeight="false" outlineLevel="0" collapsed="false">
      <c r="B110" s="75"/>
      <c r="C110" s="128"/>
      <c r="D110" s="128"/>
      <c r="E110" s="128"/>
      <c r="F110" s="128"/>
      <c r="G110" s="129"/>
      <c r="H110" s="128"/>
      <c r="I110" s="128"/>
      <c r="J110" s="128"/>
      <c r="K110" s="128"/>
      <c r="L110" s="78" t="n">
        <f aca="false">SUM($S110:$BB110)</f>
        <v>0</v>
      </c>
      <c r="M110" s="128"/>
      <c r="N110" s="130" t="str">
        <f aca="false">IF(ISERROR(VLOOKUP(P110,Member_Tab,2,FALSE())),"",VLOOKUP(P110,Member_Tab,2,FALSE()))</f>
        <v/>
      </c>
      <c r="O110" s="130" t="str">
        <f aca="false">IF(ISERROR(VLOOKUP(P110,Member_Tab,3,FALSE())),"",VLOOKUP(P110,Member_Tab,3,FALSE()))</f>
        <v/>
      </c>
      <c r="P110" s="75"/>
      <c r="Q110" s="128"/>
      <c r="R110" s="131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</row>
    <row r="111" customFormat="false" ht="15" hidden="false" customHeight="false" outlineLevel="0" collapsed="false">
      <c r="B111" s="75"/>
      <c r="C111" s="128"/>
      <c r="D111" s="128"/>
      <c r="E111" s="128"/>
      <c r="F111" s="128"/>
      <c r="G111" s="129"/>
      <c r="H111" s="128"/>
      <c r="I111" s="128"/>
      <c r="J111" s="128"/>
      <c r="K111" s="128"/>
      <c r="L111" s="78" t="n">
        <f aca="false">SUM($S111:$BB111)</f>
        <v>0</v>
      </c>
      <c r="M111" s="128"/>
      <c r="N111" s="130" t="str">
        <f aca="false">IF(ISERROR(VLOOKUP(P111,Member_Tab,2,FALSE())),"",VLOOKUP(P111,Member_Tab,2,FALSE()))</f>
        <v/>
      </c>
      <c r="O111" s="130" t="str">
        <f aca="false">IF(ISERROR(VLOOKUP(P111,Member_Tab,3,FALSE())),"",VLOOKUP(P111,Member_Tab,3,FALSE()))</f>
        <v/>
      </c>
      <c r="P111" s="75"/>
      <c r="Q111" s="128"/>
      <c r="R111" s="131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</row>
    <row r="112" customFormat="false" ht="15" hidden="false" customHeight="false" outlineLevel="0" collapsed="false">
      <c r="B112" s="75"/>
      <c r="C112" s="128"/>
      <c r="D112" s="128"/>
      <c r="E112" s="128"/>
      <c r="F112" s="128"/>
      <c r="G112" s="129"/>
      <c r="H112" s="128"/>
      <c r="I112" s="128"/>
      <c r="J112" s="128"/>
      <c r="K112" s="128"/>
      <c r="L112" s="78" t="n">
        <f aca="false">SUM($S112:$BB112)</f>
        <v>0</v>
      </c>
      <c r="M112" s="128"/>
      <c r="N112" s="130" t="str">
        <f aca="false">IF(ISERROR(VLOOKUP(P112,Member_Tab,2,FALSE())),"",VLOOKUP(P112,Member_Tab,2,FALSE()))</f>
        <v/>
      </c>
      <c r="O112" s="130" t="str">
        <f aca="false">IF(ISERROR(VLOOKUP(P112,Member_Tab,3,FALSE())),"",VLOOKUP(P112,Member_Tab,3,FALSE()))</f>
        <v/>
      </c>
      <c r="P112" s="75"/>
      <c r="Q112" s="128"/>
      <c r="R112" s="131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</row>
    <row r="113" customFormat="false" ht="15" hidden="false" customHeight="false" outlineLevel="0" collapsed="false">
      <c r="B113" s="75"/>
      <c r="C113" s="128"/>
      <c r="D113" s="128"/>
      <c r="E113" s="128"/>
      <c r="F113" s="128"/>
      <c r="G113" s="129"/>
      <c r="H113" s="128"/>
      <c r="I113" s="128"/>
      <c r="J113" s="128"/>
      <c r="K113" s="128"/>
      <c r="L113" s="78" t="n">
        <f aca="false">SUM($S113:$BB113)</f>
        <v>0</v>
      </c>
      <c r="M113" s="128"/>
      <c r="N113" s="130" t="str">
        <f aca="false">IF(ISERROR(VLOOKUP(P113,Member_Tab,2,FALSE())),"",VLOOKUP(P113,Member_Tab,2,FALSE()))</f>
        <v/>
      </c>
      <c r="O113" s="130" t="str">
        <f aca="false">IF(ISERROR(VLOOKUP(P113,Member_Tab,3,FALSE())),"",VLOOKUP(P113,Member_Tab,3,FALSE()))</f>
        <v/>
      </c>
      <c r="P113" s="75"/>
      <c r="Q113" s="128"/>
      <c r="R113" s="131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</row>
    <row r="114" customFormat="false" ht="15" hidden="false" customHeight="false" outlineLevel="0" collapsed="false">
      <c r="B114" s="75"/>
      <c r="C114" s="128"/>
      <c r="D114" s="128"/>
      <c r="E114" s="128"/>
      <c r="F114" s="128"/>
      <c r="G114" s="129"/>
      <c r="H114" s="128"/>
      <c r="I114" s="128"/>
      <c r="J114" s="128"/>
      <c r="K114" s="128"/>
      <c r="L114" s="78" t="n">
        <f aca="false">SUM($S114:$BB114)</f>
        <v>0</v>
      </c>
      <c r="M114" s="128"/>
      <c r="N114" s="130" t="str">
        <f aca="false">IF(ISERROR(VLOOKUP(P114,Member_Tab,2,FALSE())),"",VLOOKUP(P114,Member_Tab,2,FALSE()))</f>
        <v/>
      </c>
      <c r="O114" s="130" t="str">
        <f aca="false">IF(ISERROR(VLOOKUP(P114,Member_Tab,3,FALSE())),"",VLOOKUP(P114,Member_Tab,3,FALSE()))</f>
        <v/>
      </c>
      <c r="P114" s="75"/>
      <c r="Q114" s="128"/>
      <c r="R114" s="131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</row>
    <row r="115" customFormat="false" ht="15" hidden="false" customHeight="false" outlineLevel="0" collapsed="false">
      <c r="B115" s="75"/>
      <c r="C115" s="128"/>
      <c r="D115" s="128"/>
      <c r="E115" s="128"/>
      <c r="F115" s="128"/>
      <c r="G115" s="129"/>
      <c r="H115" s="128"/>
      <c r="I115" s="128"/>
      <c r="J115" s="128"/>
      <c r="K115" s="128"/>
      <c r="L115" s="78" t="n">
        <f aca="false">SUM($S115:$BB115)</f>
        <v>0</v>
      </c>
      <c r="M115" s="128"/>
      <c r="N115" s="130" t="str">
        <f aca="false">IF(ISERROR(VLOOKUP(P115,Member_Tab,2,FALSE())),"",VLOOKUP(P115,Member_Tab,2,FALSE()))</f>
        <v/>
      </c>
      <c r="O115" s="130" t="str">
        <f aca="false">IF(ISERROR(VLOOKUP(P115,Member_Tab,3,FALSE())),"",VLOOKUP(P115,Member_Tab,3,FALSE()))</f>
        <v/>
      </c>
      <c r="P115" s="75"/>
      <c r="Q115" s="128"/>
      <c r="R115" s="131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</row>
    <row r="116" customFormat="false" ht="15" hidden="false" customHeight="false" outlineLevel="0" collapsed="false">
      <c r="B116" s="75"/>
      <c r="C116" s="128"/>
      <c r="D116" s="128"/>
      <c r="E116" s="128"/>
      <c r="F116" s="128"/>
      <c r="G116" s="129"/>
      <c r="H116" s="128"/>
      <c r="I116" s="128"/>
      <c r="J116" s="128"/>
      <c r="K116" s="128"/>
      <c r="L116" s="78" t="n">
        <f aca="false">SUM($S116:$BB116)</f>
        <v>0</v>
      </c>
      <c r="M116" s="128"/>
      <c r="N116" s="130" t="str">
        <f aca="false">IF(ISERROR(VLOOKUP(P116,Member_Tab,2,FALSE())),"",VLOOKUP(P116,Member_Tab,2,FALSE()))</f>
        <v/>
      </c>
      <c r="O116" s="130" t="str">
        <f aca="false">IF(ISERROR(VLOOKUP(P116,Member_Tab,3,FALSE())),"",VLOOKUP(P116,Member_Tab,3,FALSE()))</f>
        <v/>
      </c>
      <c r="P116" s="75"/>
      <c r="Q116" s="128"/>
      <c r="R116" s="131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</row>
    <row r="117" customFormat="false" ht="15" hidden="false" customHeight="false" outlineLevel="0" collapsed="false">
      <c r="B117" s="75"/>
      <c r="C117" s="128"/>
      <c r="D117" s="128"/>
      <c r="E117" s="128"/>
      <c r="F117" s="128"/>
      <c r="G117" s="129"/>
      <c r="H117" s="128"/>
      <c r="I117" s="128"/>
      <c r="J117" s="128"/>
      <c r="K117" s="128"/>
      <c r="L117" s="78" t="n">
        <f aca="false">SUM($S117:$BB117)</f>
        <v>0</v>
      </c>
      <c r="M117" s="128"/>
      <c r="N117" s="130" t="str">
        <f aca="false">IF(ISERROR(VLOOKUP(P117,Member_Tab,2,FALSE())),"",VLOOKUP(P117,Member_Tab,2,FALSE()))</f>
        <v/>
      </c>
      <c r="O117" s="130" t="str">
        <f aca="false">IF(ISERROR(VLOOKUP(P117,Member_Tab,3,FALSE())),"",VLOOKUP(P117,Member_Tab,3,FALSE()))</f>
        <v/>
      </c>
      <c r="P117" s="75"/>
      <c r="Q117" s="128"/>
      <c r="R117" s="131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</row>
    <row r="118" customFormat="false" ht="15" hidden="false" customHeight="false" outlineLevel="0" collapsed="false">
      <c r="B118" s="75"/>
      <c r="C118" s="128"/>
      <c r="D118" s="128"/>
      <c r="E118" s="128"/>
      <c r="F118" s="128"/>
      <c r="G118" s="129"/>
      <c r="H118" s="128"/>
      <c r="I118" s="128"/>
      <c r="J118" s="128"/>
      <c r="K118" s="128"/>
      <c r="L118" s="78" t="n">
        <f aca="false">SUM($S118:$BB118)</f>
        <v>0</v>
      </c>
      <c r="M118" s="128"/>
      <c r="N118" s="130" t="str">
        <f aca="false">IF(ISERROR(VLOOKUP(P118,Member_Tab,2,FALSE())),"",VLOOKUP(P118,Member_Tab,2,FALSE()))</f>
        <v/>
      </c>
      <c r="O118" s="130" t="str">
        <f aca="false">IF(ISERROR(VLOOKUP(P118,Member_Tab,3,FALSE())),"",VLOOKUP(P118,Member_Tab,3,FALSE()))</f>
        <v/>
      </c>
      <c r="P118" s="75"/>
      <c r="Q118" s="128"/>
      <c r="R118" s="131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</row>
    <row r="119" customFormat="false" ht="15" hidden="false" customHeight="false" outlineLevel="0" collapsed="false">
      <c r="B119" s="75"/>
      <c r="C119" s="128"/>
      <c r="D119" s="128"/>
      <c r="E119" s="128"/>
      <c r="F119" s="128"/>
      <c r="G119" s="129"/>
      <c r="H119" s="128"/>
      <c r="I119" s="128"/>
      <c r="J119" s="128"/>
      <c r="K119" s="128"/>
      <c r="L119" s="78" t="n">
        <f aca="false">SUM($S119:$BB119)</f>
        <v>0</v>
      </c>
      <c r="M119" s="128"/>
      <c r="N119" s="130" t="str">
        <f aca="false">IF(ISERROR(VLOOKUP(P119,Member_Tab,2,FALSE())),"",VLOOKUP(P119,Member_Tab,2,FALSE()))</f>
        <v/>
      </c>
      <c r="O119" s="130" t="str">
        <f aca="false">IF(ISERROR(VLOOKUP(P119,Member_Tab,3,FALSE())),"",VLOOKUP(P119,Member_Tab,3,FALSE()))</f>
        <v/>
      </c>
      <c r="P119" s="75"/>
      <c r="Q119" s="128"/>
      <c r="R119" s="131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</row>
    <row r="120" customFormat="false" ht="15" hidden="false" customHeight="false" outlineLevel="0" collapsed="false">
      <c r="B120" s="75"/>
      <c r="C120" s="128"/>
      <c r="D120" s="128"/>
      <c r="E120" s="128"/>
      <c r="F120" s="128"/>
      <c r="G120" s="129"/>
      <c r="H120" s="128"/>
      <c r="I120" s="128"/>
      <c r="J120" s="128"/>
      <c r="K120" s="128"/>
      <c r="L120" s="78" t="n">
        <f aca="false">SUM($S120:$BB120)</f>
        <v>0</v>
      </c>
      <c r="M120" s="128"/>
      <c r="N120" s="130" t="str">
        <f aca="false">IF(ISERROR(VLOOKUP(P120,Member_Tab,2,FALSE())),"",VLOOKUP(P120,Member_Tab,2,FALSE()))</f>
        <v/>
      </c>
      <c r="O120" s="130" t="str">
        <f aca="false">IF(ISERROR(VLOOKUP(P120,Member_Tab,3,FALSE())),"",VLOOKUP(P120,Member_Tab,3,FALSE()))</f>
        <v/>
      </c>
      <c r="P120" s="75"/>
      <c r="Q120" s="128"/>
      <c r="R120" s="131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</row>
    <row r="121" customFormat="false" ht="15" hidden="false" customHeight="false" outlineLevel="0" collapsed="false">
      <c r="B121" s="75"/>
      <c r="C121" s="128"/>
      <c r="D121" s="128"/>
      <c r="E121" s="128"/>
      <c r="F121" s="128"/>
      <c r="G121" s="129"/>
      <c r="H121" s="128"/>
      <c r="I121" s="128"/>
      <c r="J121" s="128"/>
      <c r="K121" s="128"/>
      <c r="L121" s="78" t="n">
        <f aca="false">SUM($S121:$BB121)</f>
        <v>0</v>
      </c>
      <c r="M121" s="128"/>
      <c r="N121" s="130" t="str">
        <f aca="false">IF(ISERROR(VLOOKUP(P121,Member_Tab,2,FALSE())),"",VLOOKUP(P121,Member_Tab,2,FALSE()))</f>
        <v/>
      </c>
      <c r="O121" s="130" t="str">
        <f aca="false">IF(ISERROR(VLOOKUP(P121,Member_Tab,3,FALSE())),"",VLOOKUP(P121,Member_Tab,3,FALSE()))</f>
        <v/>
      </c>
      <c r="P121" s="75"/>
      <c r="Q121" s="128"/>
      <c r="R121" s="131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</row>
    <row r="122" customFormat="false" ht="15" hidden="false" customHeight="false" outlineLevel="0" collapsed="false">
      <c r="B122" s="75"/>
      <c r="C122" s="128"/>
      <c r="D122" s="128"/>
      <c r="E122" s="128"/>
      <c r="F122" s="128"/>
      <c r="G122" s="129"/>
      <c r="H122" s="128"/>
      <c r="I122" s="128"/>
      <c r="J122" s="128"/>
      <c r="K122" s="128"/>
      <c r="L122" s="78" t="n">
        <f aca="false">SUM($S122:$BB122)</f>
        <v>0</v>
      </c>
      <c r="M122" s="128"/>
      <c r="N122" s="130" t="str">
        <f aca="false">IF(ISERROR(VLOOKUP(P122,Member_Tab,2,FALSE())),"",VLOOKUP(P122,Member_Tab,2,FALSE()))</f>
        <v/>
      </c>
      <c r="O122" s="130" t="str">
        <f aca="false">IF(ISERROR(VLOOKUP(P122,Member_Tab,3,FALSE())),"",VLOOKUP(P122,Member_Tab,3,FALSE()))</f>
        <v/>
      </c>
      <c r="P122" s="75"/>
      <c r="Q122" s="128"/>
      <c r="R122" s="131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</row>
    <row r="123" customFormat="false" ht="15" hidden="false" customHeight="false" outlineLevel="0" collapsed="false">
      <c r="B123" s="75"/>
      <c r="C123" s="128"/>
      <c r="D123" s="128"/>
      <c r="E123" s="128"/>
      <c r="F123" s="128"/>
      <c r="G123" s="129"/>
      <c r="H123" s="128"/>
      <c r="I123" s="128"/>
      <c r="J123" s="128"/>
      <c r="K123" s="128"/>
      <c r="L123" s="78" t="n">
        <f aca="false">SUM($S123:$BB123)</f>
        <v>0</v>
      </c>
      <c r="M123" s="128"/>
      <c r="N123" s="130" t="str">
        <f aca="false">IF(ISERROR(VLOOKUP(P123,Member_Tab,2,FALSE())),"",VLOOKUP(P123,Member_Tab,2,FALSE()))</f>
        <v/>
      </c>
      <c r="O123" s="130" t="str">
        <f aca="false">IF(ISERROR(VLOOKUP(P123,Member_Tab,3,FALSE())),"",VLOOKUP(P123,Member_Tab,3,FALSE()))</f>
        <v/>
      </c>
      <c r="P123" s="75"/>
      <c r="Q123" s="128"/>
      <c r="R123" s="131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</row>
    <row r="124" customFormat="false" ht="15" hidden="false" customHeight="false" outlineLevel="0" collapsed="false">
      <c r="B124" s="75"/>
      <c r="C124" s="128"/>
      <c r="D124" s="128"/>
      <c r="E124" s="128"/>
      <c r="F124" s="128"/>
      <c r="G124" s="129"/>
      <c r="H124" s="128"/>
      <c r="I124" s="128"/>
      <c r="J124" s="128"/>
      <c r="K124" s="128"/>
      <c r="L124" s="78" t="n">
        <f aca="false">SUM($S124:$BB124)</f>
        <v>0</v>
      </c>
      <c r="M124" s="128"/>
      <c r="N124" s="130" t="str">
        <f aca="false">IF(ISERROR(VLOOKUP(P124,Member_Tab,2,FALSE())),"",VLOOKUP(P124,Member_Tab,2,FALSE()))</f>
        <v/>
      </c>
      <c r="O124" s="130" t="str">
        <f aca="false">IF(ISERROR(VLOOKUP(P124,Member_Tab,3,FALSE())),"",VLOOKUP(P124,Member_Tab,3,FALSE()))</f>
        <v/>
      </c>
      <c r="P124" s="75"/>
      <c r="Q124" s="128"/>
      <c r="R124" s="131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</row>
    <row r="125" customFormat="false" ht="15" hidden="false" customHeight="false" outlineLevel="0" collapsed="false">
      <c r="B125" s="75"/>
      <c r="C125" s="128"/>
      <c r="D125" s="128"/>
      <c r="E125" s="128"/>
      <c r="F125" s="128"/>
      <c r="G125" s="129"/>
      <c r="H125" s="128"/>
      <c r="I125" s="128"/>
      <c r="J125" s="128"/>
      <c r="K125" s="128"/>
      <c r="L125" s="78" t="n">
        <f aca="false">SUM($S125:$BB125)</f>
        <v>0</v>
      </c>
      <c r="M125" s="128"/>
      <c r="N125" s="130" t="str">
        <f aca="false">IF(ISERROR(VLOOKUP(P125,Member_Tab,2,FALSE())),"",VLOOKUP(P125,Member_Tab,2,FALSE()))</f>
        <v/>
      </c>
      <c r="O125" s="130" t="str">
        <f aca="false">IF(ISERROR(VLOOKUP(P125,Member_Tab,3,FALSE())),"",VLOOKUP(P125,Member_Tab,3,FALSE()))</f>
        <v/>
      </c>
      <c r="P125" s="75"/>
      <c r="Q125" s="128"/>
      <c r="R125" s="131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</row>
    <row r="126" customFormat="false" ht="15" hidden="false" customHeight="false" outlineLevel="0" collapsed="false">
      <c r="B126" s="75"/>
      <c r="C126" s="128"/>
      <c r="D126" s="128"/>
      <c r="E126" s="128"/>
      <c r="F126" s="128"/>
      <c r="G126" s="129"/>
      <c r="H126" s="128"/>
      <c r="I126" s="128"/>
      <c r="J126" s="128"/>
      <c r="K126" s="128"/>
      <c r="L126" s="78" t="n">
        <f aca="false">SUM($S126:$BB126)</f>
        <v>0</v>
      </c>
      <c r="M126" s="128"/>
      <c r="N126" s="130" t="str">
        <f aca="false">IF(ISERROR(VLOOKUP(P126,Member_Tab,2,FALSE())),"",VLOOKUP(P126,Member_Tab,2,FALSE()))</f>
        <v/>
      </c>
      <c r="O126" s="130" t="str">
        <f aca="false">IF(ISERROR(VLOOKUP(P126,Member_Tab,3,FALSE())),"",VLOOKUP(P126,Member_Tab,3,FALSE()))</f>
        <v/>
      </c>
      <c r="P126" s="75"/>
      <c r="Q126" s="128"/>
      <c r="R126" s="131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</row>
    <row r="127" customFormat="false" ht="15" hidden="false" customHeight="false" outlineLevel="0" collapsed="false">
      <c r="B127" s="75"/>
      <c r="C127" s="128"/>
      <c r="D127" s="128"/>
      <c r="E127" s="128"/>
      <c r="F127" s="128"/>
      <c r="G127" s="129"/>
      <c r="H127" s="128"/>
      <c r="I127" s="128"/>
      <c r="J127" s="128"/>
      <c r="K127" s="128"/>
      <c r="L127" s="78" t="n">
        <f aca="false">SUM($S127:$BB127)</f>
        <v>0</v>
      </c>
      <c r="M127" s="128"/>
      <c r="N127" s="130" t="str">
        <f aca="false">IF(ISERROR(VLOOKUP(P127,Member_Tab,2,FALSE())),"",VLOOKUP(P127,Member_Tab,2,FALSE()))</f>
        <v/>
      </c>
      <c r="O127" s="130" t="str">
        <f aca="false">IF(ISERROR(VLOOKUP(P127,Member_Tab,3,FALSE())),"",VLOOKUP(P127,Member_Tab,3,FALSE()))</f>
        <v/>
      </c>
      <c r="P127" s="75"/>
      <c r="Q127" s="128"/>
      <c r="R127" s="131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</row>
    <row r="128" customFormat="false" ht="15" hidden="false" customHeight="false" outlineLevel="0" collapsed="false">
      <c r="B128" s="75"/>
      <c r="C128" s="128"/>
      <c r="D128" s="128"/>
      <c r="E128" s="128"/>
      <c r="F128" s="128"/>
      <c r="G128" s="129"/>
      <c r="H128" s="128"/>
      <c r="I128" s="128"/>
      <c r="J128" s="128"/>
      <c r="K128" s="128"/>
      <c r="L128" s="78" t="n">
        <f aca="false">SUM($S128:$BB128)</f>
        <v>0</v>
      </c>
      <c r="M128" s="128"/>
      <c r="N128" s="130" t="str">
        <f aca="false">IF(ISERROR(VLOOKUP(P128,Member_Tab,2,FALSE())),"",VLOOKUP(P128,Member_Tab,2,FALSE()))</f>
        <v/>
      </c>
      <c r="O128" s="130" t="str">
        <f aca="false">IF(ISERROR(VLOOKUP(P128,Member_Tab,3,FALSE())),"",VLOOKUP(P128,Member_Tab,3,FALSE()))</f>
        <v/>
      </c>
      <c r="P128" s="75"/>
      <c r="Q128" s="128"/>
      <c r="R128" s="131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</row>
    <row r="129" customFormat="false" ht="15" hidden="false" customHeight="false" outlineLevel="0" collapsed="false">
      <c r="B129" s="75"/>
      <c r="C129" s="128"/>
      <c r="D129" s="128"/>
      <c r="E129" s="128"/>
      <c r="F129" s="128"/>
      <c r="G129" s="129"/>
      <c r="H129" s="128"/>
      <c r="I129" s="128"/>
      <c r="J129" s="128"/>
      <c r="K129" s="128"/>
      <c r="L129" s="78" t="n">
        <f aca="false">SUM($S129:$BB129)</f>
        <v>0</v>
      </c>
      <c r="M129" s="128"/>
      <c r="N129" s="130" t="str">
        <f aca="false">IF(ISERROR(VLOOKUP(P129,Member_Tab,2,FALSE())),"",VLOOKUP(P129,Member_Tab,2,FALSE()))</f>
        <v/>
      </c>
      <c r="O129" s="130" t="str">
        <f aca="false">IF(ISERROR(VLOOKUP(P129,Member_Tab,3,FALSE())),"",VLOOKUP(P129,Member_Tab,3,FALSE()))</f>
        <v/>
      </c>
      <c r="P129" s="75"/>
      <c r="Q129" s="128"/>
      <c r="R129" s="131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</row>
    <row r="130" customFormat="false" ht="15" hidden="false" customHeight="false" outlineLevel="0" collapsed="false">
      <c r="B130" s="75"/>
      <c r="C130" s="128"/>
      <c r="D130" s="128"/>
      <c r="E130" s="128"/>
      <c r="F130" s="128"/>
      <c r="G130" s="129"/>
      <c r="H130" s="128"/>
      <c r="I130" s="128"/>
      <c r="J130" s="128"/>
      <c r="K130" s="128"/>
      <c r="L130" s="78" t="n">
        <f aca="false">SUM($S130:$BB130)</f>
        <v>0</v>
      </c>
      <c r="M130" s="128"/>
      <c r="N130" s="130" t="str">
        <f aca="false">IF(ISERROR(VLOOKUP(P130,Member_Tab,2,FALSE())),"",VLOOKUP(P130,Member_Tab,2,FALSE()))</f>
        <v/>
      </c>
      <c r="O130" s="130" t="str">
        <f aca="false">IF(ISERROR(VLOOKUP(P130,Member_Tab,3,FALSE())),"",VLOOKUP(P130,Member_Tab,3,FALSE()))</f>
        <v/>
      </c>
      <c r="P130" s="75"/>
      <c r="Q130" s="128"/>
      <c r="R130" s="131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</row>
    <row r="131" customFormat="false" ht="15" hidden="false" customHeight="false" outlineLevel="0" collapsed="false">
      <c r="B131" s="75"/>
      <c r="C131" s="128"/>
      <c r="D131" s="128"/>
      <c r="E131" s="128"/>
      <c r="F131" s="128"/>
      <c r="G131" s="129"/>
      <c r="H131" s="128"/>
      <c r="I131" s="128"/>
      <c r="J131" s="128"/>
      <c r="K131" s="128"/>
      <c r="L131" s="78" t="n">
        <f aca="false">SUM($S131:$BB131)</f>
        <v>0</v>
      </c>
      <c r="M131" s="128"/>
      <c r="N131" s="130" t="str">
        <f aca="false">IF(ISERROR(VLOOKUP(P131,Member_Tab,2,FALSE())),"",VLOOKUP(P131,Member_Tab,2,FALSE()))</f>
        <v/>
      </c>
      <c r="O131" s="130" t="str">
        <f aca="false">IF(ISERROR(VLOOKUP(P131,Member_Tab,3,FALSE())),"",VLOOKUP(P131,Member_Tab,3,FALSE()))</f>
        <v/>
      </c>
      <c r="P131" s="75"/>
      <c r="Q131" s="128"/>
      <c r="R131" s="131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</row>
    <row r="132" customFormat="false" ht="15" hidden="false" customHeight="false" outlineLevel="0" collapsed="false">
      <c r="B132" s="75"/>
      <c r="C132" s="128"/>
      <c r="D132" s="128"/>
      <c r="E132" s="128"/>
      <c r="F132" s="128"/>
      <c r="G132" s="129"/>
      <c r="H132" s="128"/>
      <c r="I132" s="128"/>
      <c r="J132" s="128"/>
      <c r="K132" s="128"/>
      <c r="L132" s="78" t="n">
        <f aca="false">SUM($S132:$BB132)</f>
        <v>0</v>
      </c>
      <c r="M132" s="128"/>
      <c r="N132" s="130" t="str">
        <f aca="false">IF(ISERROR(VLOOKUP(P132,Member_Tab,2,FALSE())),"",VLOOKUP(P132,Member_Tab,2,FALSE()))</f>
        <v/>
      </c>
      <c r="O132" s="130" t="str">
        <f aca="false">IF(ISERROR(VLOOKUP(P132,Member_Tab,3,FALSE())),"",VLOOKUP(P132,Member_Tab,3,FALSE()))</f>
        <v/>
      </c>
      <c r="P132" s="75"/>
      <c r="Q132" s="128"/>
      <c r="R132" s="131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</row>
    <row r="133" customFormat="false" ht="15" hidden="false" customHeight="false" outlineLevel="0" collapsed="false">
      <c r="B133" s="75"/>
      <c r="C133" s="128"/>
      <c r="D133" s="128"/>
      <c r="E133" s="128"/>
      <c r="F133" s="128"/>
      <c r="G133" s="129"/>
      <c r="H133" s="128"/>
      <c r="I133" s="128"/>
      <c r="J133" s="128"/>
      <c r="K133" s="128"/>
      <c r="L133" s="78" t="n">
        <f aca="false">SUM($S133:$BB133)</f>
        <v>0</v>
      </c>
      <c r="M133" s="128"/>
      <c r="N133" s="130" t="str">
        <f aca="false">IF(ISERROR(VLOOKUP(P133,Member_Tab,2,FALSE())),"",VLOOKUP(P133,Member_Tab,2,FALSE()))</f>
        <v/>
      </c>
      <c r="O133" s="130" t="str">
        <f aca="false">IF(ISERROR(VLOOKUP(P133,Member_Tab,3,FALSE())),"",VLOOKUP(P133,Member_Tab,3,FALSE()))</f>
        <v/>
      </c>
      <c r="P133" s="75"/>
      <c r="Q133" s="128"/>
      <c r="R133" s="131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</row>
    <row r="134" customFormat="false" ht="15" hidden="false" customHeight="false" outlineLevel="0" collapsed="false">
      <c r="B134" s="75"/>
      <c r="C134" s="128"/>
      <c r="D134" s="128"/>
      <c r="E134" s="128"/>
      <c r="F134" s="128"/>
      <c r="G134" s="129"/>
      <c r="H134" s="128"/>
      <c r="I134" s="128"/>
      <c r="J134" s="128"/>
      <c r="K134" s="128"/>
      <c r="L134" s="78" t="n">
        <f aca="false">SUM($S134:$BB134)</f>
        <v>0</v>
      </c>
      <c r="M134" s="128"/>
      <c r="N134" s="130" t="str">
        <f aca="false">IF(ISERROR(VLOOKUP(P134,Member_Tab,2,FALSE())),"",VLOOKUP(P134,Member_Tab,2,FALSE()))</f>
        <v/>
      </c>
      <c r="O134" s="130" t="str">
        <f aca="false">IF(ISERROR(VLOOKUP(P134,Member_Tab,3,FALSE())),"",VLOOKUP(P134,Member_Tab,3,FALSE()))</f>
        <v/>
      </c>
      <c r="P134" s="75"/>
      <c r="Q134" s="128"/>
      <c r="R134" s="131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</row>
    <row r="135" customFormat="false" ht="15" hidden="false" customHeight="false" outlineLevel="0" collapsed="false">
      <c r="B135" s="75"/>
      <c r="C135" s="128"/>
      <c r="D135" s="128"/>
      <c r="E135" s="128"/>
      <c r="F135" s="128"/>
      <c r="G135" s="129"/>
      <c r="H135" s="128"/>
      <c r="I135" s="128"/>
      <c r="J135" s="128"/>
      <c r="K135" s="128"/>
      <c r="L135" s="78" t="n">
        <f aca="false">SUM($S135:$BB135)</f>
        <v>0</v>
      </c>
      <c r="M135" s="128"/>
      <c r="N135" s="130" t="str">
        <f aca="false">IF(ISERROR(VLOOKUP(P135,Member_Tab,2,FALSE())),"",VLOOKUP(P135,Member_Tab,2,FALSE()))</f>
        <v/>
      </c>
      <c r="O135" s="130" t="str">
        <f aca="false">IF(ISERROR(VLOOKUP(P135,Member_Tab,3,FALSE())),"",VLOOKUP(P135,Member_Tab,3,FALSE()))</f>
        <v/>
      </c>
      <c r="P135" s="75"/>
      <c r="Q135" s="128"/>
      <c r="R135" s="131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</row>
    <row r="136" customFormat="false" ht="15" hidden="false" customHeight="false" outlineLevel="0" collapsed="false">
      <c r="B136" s="75"/>
      <c r="C136" s="128"/>
      <c r="D136" s="128"/>
      <c r="E136" s="128"/>
      <c r="F136" s="128"/>
      <c r="G136" s="129"/>
      <c r="H136" s="128"/>
      <c r="I136" s="128"/>
      <c r="J136" s="128"/>
      <c r="K136" s="128"/>
      <c r="L136" s="78" t="n">
        <f aca="false">SUM($S136:$BB136)</f>
        <v>0</v>
      </c>
      <c r="M136" s="128"/>
      <c r="N136" s="130" t="str">
        <f aca="false">IF(ISERROR(VLOOKUP(P136,Member_Tab,2,FALSE())),"",VLOOKUP(P136,Member_Tab,2,FALSE()))</f>
        <v/>
      </c>
      <c r="O136" s="130" t="str">
        <f aca="false">IF(ISERROR(VLOOKUP(P136,Member_Tab,3,FALSE())),"",VLOOKUP(P136,Member_Tab,3,FALSE()))</f>
        <v/>
      </c>
      <c r="P136" s="75"/>
      <c r="Q136" s="128"/>
      <c r="R136" s="131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</row>
    <row r="137" customFormat="false" ht="15" hidden="false" customHeight="false" outlineLevel="0" collapsed="false">
      <c r="B137" s="75"/>
      <c r="C137" s="128"/>
      <c r="D137" s="128"/>
      <c r="E137" s="128"/>
      <c r="F137" s="128"/>
      <c r="G137" s="129"/>
      <c r="H137" s="128"/>
      <c r="I137" s="128"/>
      <c r="J137" s="128"/>
      <c r="K137" s="128"/>
      <c r="L137" s="78" t="n">
        <f aca="false">SUM($S137:$BB137)</f>
        <v>0</v>
      </c>
      <c r="M137" s="128"/>
      <c r="N137" s="130" t="str">
        <f aca="false">IF(ISERROR(VLOOKUP(P137,Member_Tab,2,FALSE())),"",VLOOKUP(P137,Member_Tab,2,FALSE()))</f>
        <v/>
      </c>
      <c r="O137" s="130" t="str">
        <f aca="false">IF(ISERROR(VLOOKUP(P137,Member_Tab,3,FALSE())),"",VLOOKUP(P137,Member_Tab,3,FALSE()))</f>
        <v/>
      </c>
      <c r="P137" s="75"/>
      <c r="Q137" s="128"/>
      <c r="R137" s="131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</row>
    <row r="138" customFormat="false" ht="15" hidden="false" customHeight="false" outlineLevel="0" collapsed="false">
      <c r="B138" s="75"/>
      <c r="C138" s="128"/>
      <c r="D138" s="128"/>
      <c r="E138" s="128"/>
      <c r="F138" s="128"/>
      <c r="G138" s="129"/>
      <c r="H138" s="128"/>
      <c r="I138" s="128"/>
      <c r="J138" s="128"/>
      <c r="K138" s="128"/>
      <c r="L138" s="78" t="n">
        <f aca="false">SUM($S138:$BB138)</f>
        <v>0</v>
      </c>
      <c r="M138" s="128"/>
      <c r="N138" s="130" t="str">
        <f aca="false">IF(ISERROR(VLOOKUP(P138,Member_Tab,2,FALSE())),"",VLOOKUP(P138,Member_Tab,2,FALSE()))</f>
        <v/>
      </c>
      <c r="O138" s="130" t="str">
        <f aca="false">IF(ISERROR(VLOOKUP(P138,Member_Tab,3,FALSE())),"",VLOOKUP(P138,Member_Tab,3,FALSE()))</f>
        <v/>
      </c>
      <c r="P138" s="75"/>
      <c r="Q138" s="128"/>
      <c r="R138" s="131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</row>
    <row r="139" customFormat="false" ht="15" hidden="false" customHeight="false" outlineLevel="0" collapsed="false">
      <c r="B139" s="75"/>
      <c r="C139" s="128"/>
      <c r="D139" s="128"/>
      <c r="E139" s="128"/>
      <c r="F139" s="128"/>
      <c r="G139" s="129"/>
      <c r="H139" s="128"/>
      <c r="I139" s="128"/>
      <c r="J139" s="128"/>
      <c r="K139" s="128"/>
      <c r="L139" s="78" t="n">
        <f aca="false">SUM($S139:$BB139)</f>
        <v>0</v>
      </c>
      <c r="M139" s="128"/>
      <c r="N139" s="130" t="str">
        <f aca="false">IF(ISERROR(VLOOKUP(P139,Member_Tab,2,FALSE())),"",VLOOKUP(P139,Member_Tab,2,FALSE()))</f>
        <v/>
      </c>
      <c r="O139" s="130" t="str">
        <f aca="false">IF(ISERROR(VLOOKUP(P139,Member_Tab,3,FALSE())),"",VLOOKUP(P139,Member_Tab,3,FALSE()))</f>
        <v/>
      </c>
      <c r="P139" s="75"/>
      <c r="Q139" s="128"/>
      <c r="R139" s="131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</row>
    <row r="140" customFormat="false" ht="15" hidden="false" customHeight="false" outlineLevel="0" collapsed="false">
      <c r="B140" s="75"/>
      <c r="C140" s="128"/>
      <c r="D140" s="128"/>
      <c r="E140" s="128"/>
      <c r="F140" s="128"/>
      <c r="G140" s="129"/>
      <c r="H140" s="128"/>
      <c r="I140" s="128"/>
      <c r="J140" s="128"/>
      <c r="K140" s="128"/>
      <c r="L140" s="78" t="n">
        <f aca="false">SUM($S140:$BB140)</f>
        <v>0</v>
      </c>
      <c r="M140" s="128"/>
      <c r="N140" s="130" t="str">
        <f aca="false">IF(ISERROR(VLOOKUP(P140,Member_Tab,2,FALSE())),"",VLOOKUP(P140,Member_Tab,2,FALSE()))</f>
        <v/>
      </c>
      <c r="O140" s="130" t="str">
        <f aca="false">IF(ISERROR(VLOOKUP(P140,Member_Tab,3,FALSE())),"",VLOOKUP(P140,Member_Tab,3,FALSE()))</f>
        <v/>
      </c>
      <c r="P140" s="75"/>
      <c r="Q140" s="128"/>
      <c r="R140" s="131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</row>
    <row r="141" customFormat="false" ht="15" hidden="false" customHeight="false" outlineLevel="0" collapsed="false">
      <c r="B141" s="75"/>
      <c r="C141" s="128"/>
      <c r="D141" s="128"/>
      <c r="E141" s="128"/>
      <c r="F141" s="128"/>
      <c r="G141" s="129"/>
      <c r="H141" s="128"/>
      <c r="I141" s="128"/>
      <c r="J141" s="128"/>
      <c r="K141" s="128"/>
      <c r="L141" s="78" t="n">
        <f aca="false">SUM($S141:$BB141)</f>
        <v>0</v>
      </c>
      <c r="M141" s="128"/>
      <c r="N141" s="130" t="str">
        <f aca="false">IF(ISERROR(VLOOKUP(P141,Member_Tab,2,FALSE())),"",VLOOKUP(P141,Member_Tab,2,FALSE()))</f>
        <v/>
      </c>
      <c r="O141" s="130" t="str">
        <f aca="false">IF(ISERROR(VLOOKUP(P141,Member_Tab,3,FALSE())),"",VLOOKUP(P141,Member_Tab,3,FALSE()))</f>
        <v/>
      </c>
      <c r="P141" s="75"/>
      <c r="Q141" s="128"/>
      <c r="R141" s="131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</row>
    <row r="142" customFormat="false" ht="15" hidden="false" customHeight="false" outlineLevel="0" collapsed="false">
      <c r="B142" s="75"/>
      <c r="C142" s="128"/>
      <c r="D142" s="128"/>
      <c r="E142" s="128"/>
      <c r="F142" s="128"/>
      <c r="G142" s="129"/>
      <c r="H142" s="128"/>
      <c r="I142" s="128"/>
      <c r="J142" s="128"/>
      <c r="K142" s="128"/>
      <c r="L142" s="78" t="n">
        <f aca="false">SUM($S142:$BB142)</f>
        <v>0</v>
      </c>
      <c r="M142" s="128"/>
      <c r="N142" s="130" t="str">
        <f aca="false">IF(ISERROR(VLOOKUP(P142,Member_Tab,2,FALSE())),"",VLOOKUP(P142,Member_Tab,2,FALSE()))</f>
        <v/>
      </c>
      <c r="O142" s="130" t="str">
        <f aca="false">IF(ISERROR(VLOOKUP(P142,Member_Tab,3,FALSE())),"",VLOOKUP(P142,Member_Tab,3,FALSE()))</f>
        <v/>
      </c>
      <c r="P142" s="75"/>
      <c r="Q142" s="128"/>
      <c r="R142" s="131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</row>
    <row r="143" customFormat="false" ht="15" hidden="false" customHeight="false" outlineLevel="0" collapsed="false">
      <c r="B143" s="75"/>
      <c r="C143" s="128"/>
      <c r="D143" s="128"/>
      <c r="E143" s="128"/>
      <c r="F143" s="128"/>
      <c r="G143" s="129"/>
      <c r="H143" s="128"/>
      <c r="I143" s="128"/>
      <c r="J143" s="128"/>
      <c r="K143" s="128"/>
      <c r="L143" s="78" t="n">
        <f aca="false">SUM($S143:$BB143)</f>
        <v>0</v>
      </c>
      <c r="M143" s="128"/>
      <c r="N143" s="130" t="str">
        <f aca="false">IF(ISERROR(VLOOKUP(P143,Member_Tab,2,FALSE())),"",VLOOKUP(P143,Member_Tab,2,FALSE()))</f>
        <v/>
      </c>
      <c r="O143" s="130" t="str">
        <f aca="false">IF(ISERROR(VLOOKUP(P143,Member_Tab,3,FALSE())),"",VLOOKUP(P143,Member_Tab,3,FALSE()))</f>
        <v/>
      </c>
      <c r="P143" s="75"/>
      <c r="Q143" s="128"/>
      <c r="R143" s="131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</row>
    <row r="144" customFormat="false" ht="15" hidden="false" customHeight="false" outlineLevel="0" collapsed="false">
      <c r="B144" s="75"/>
      <c r="C144" s="128"/>
      <c r="D144" s="128"/>
      <c r="E144" s="128"/>
      <c r="F144" s="128"/>
      <c r="G144" s="129"/>
      <c r="H144" s="128"/>
      <c r="I144" s="128"/>
      <c r="J144" s="128"/>
      <c r="K144" s="128"/>
      <c r="L144" s="78" t="n">
        <f aca="false">SUM($S144:$BB144)</f>
        <v>0</v>
      </c>
      <c r="M144" s="128"/>
      <c r="N144" s="130" t="str">
        <f aca="false">IF(ISERROR(VLOOKUP(P144,Member_Tab,2,FALSE())),"",VLOOKUP(P144,Member_Tab,2,FALSE()))</f>
        <v/>
      </c>
      <c r="O144" s="130" t="str">
        <f aca="false">IF(ISERROR(VLOOKUP(P144,Member_Tab,3,FALSE())),"",VLOOKUP(P144,Member_Tab,3,FALSE()))</f>
        <v/>
      </c>
      <c r="P144" s="75"/>
      <c r="Q144" s="128"/>
      <c r="R144" s="131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</row>
    <row r="145" customFormat="false" ht="15" hidden="false" customHeight="false" outlineLevel="0" collapsed="false">
      <c r="B145" s="75"/>
      <c r="C145" s="128"/>
      <c r="D145" s="128"/>
      <c r="E145" s="128"/>
      <c r="F145" s="128"/>
      <c r="G145" s="129"/>
      <c r="H145" s="128"/>
      <c r="I145" s="128"/>
      <c r="J145" s="128"/>
      <c r="K145" s="128"/>
      <c r="L145" s="78" t="n">
        <f aca="false">SUM($S145:$BB145)</f>
        <v>0</v>
      </c>
      <c r="M145" s="128"/>
      <c r="N145" s="130" t="str">
        <f aca="false">IF(ISERROR(VLOOKUP(P145,Member_Tab,2,FALSE())),"",VLOOKUP(P145,Member_Tab,2,FALSE()))</f>
        <v/>
      </c>
      <c r="O145" s="130" t="str">
        <f aca="false">IF(ISERROR(VLOOKUP(P145,Member_Tab,3,FALSE())),"",VLOOKUP(P145,Member_Tab,3,FALSE()))</f>
        <v/>
      </c>
      <c r="P145" s="75"/>
      <c r="Q145" s="128"/>
      <c r="R145" s="131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</row>
    <row r="146" customFormat="false" ht="15" hidden="false" customHeight="false" outlineLevel="0" collapsed="false">
      <c r="B146" s="75"/>
      <c r="C146" s="128"/>
      <c r="D146" s="128"/>
      <c r="E146" s="128"/>
      <c r="F146" s="128"/>
      <c r="G146" s="129"/>
      <c r="H146" s="128"/>
      <c r="I146" s="128"/>
      <c r="J146" s="128"/>
      <c r="K146" s="128"/>
      <c r="L146" s="78" t="n">
        <f aca="false">SUM($S146:$BB146)</f>
        <v>0</v>
      </c>
      <c r="M146" s="128"/>
      <c r="N146" s="130" t="str">
        <f aca="false">IF(ISERROR(VLOOKUP(P146,Member_Tab,2,FALSE())),"",VLOOKUP(P146,Member_Tab,2,FALSE()))</f>
        <v/>
      </c>
      <c r="O146" s="130" t="str">
        <f aca="false">IF(ISERROR(VLOOKUP(P146,Member_Tab,3,FALSE())),"",VLOOKUP(P146,Member_Tab,3,FALSE()))</f>
        <v/>
      </c>
      <c r="P146" s="75"/>
      <c r="Q146" s="128"/>
      <c r="R146" s="131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</row>
    <row r="147" customFormat="false" ht="15" hidden="false" customHeight="false" outlineLevel="0" collapsed="false">
      <c r="B147" s="75"/>
      <c r="C147" s="128"/>
      <c r="D147" s="128"/>
      <c r="E147" s="128"/>
      <c r="F147" s="128"/>
      <c r="G147" s="129"/>
      <c r="H147" s="128"/>
      <c r="I147" s="128"/>
      <c r="J147" s="128"/>
      <c r="K147" s="128"/>
      <c r="L147" s="78" t="n">
        <f aca="false">SUM($S147:$BB147)</f>
        <v>0</v>
      </c>
      <c r="M147" s="128"/>
      <c r="N147" s="130" t="str">
        <f aca="false">IF(ISERROR(VLOOKUP(P147,Member_Tab,2,FALSE())),"",VLOOKUP(P147,Member_Tab,2,FALSE()))</f>
        <v/>
      </c>
      <c r="O147" s="130" t="str">
        <f aca="false">IF(ISERROR(VLOOKUP(P147,Member_Tab,3,FALSE())),"",VLOOKUP(P147,Member_Tab,3,FALSE()))</f>
        <v/>
      </c>
      <c r="P147" s="75"/>
      <c r="Q147" s="128"/>
      <c r="R147" s="131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</row>
    <row r="148" customFormat="false" ht="15" hidden="false" customHeight="false" outlineLevel="0" collapsed="false">
      <c r="B148" s="75"/>
      <c r="C148" s="128"/>
      <c r="D148" s="128"/>
      <c r="E148" s="128"/>
      <c r="F148" s="128"/>
      <c r="G148" s="129"/>
      <c r="H148" s="128"/>
      <c r="I148" s="128"/>
      <c r="J148" s="128"/>
      <c r="K148" s="128"/>
      <c r="L148" s="78" t="n">
        <f aca="false">SUM($S148:$BB148)</f>
        <v>0</v>
      </c>
      <c r="M148" s="128"/>
      <c r="N148" s="130" t="str">
        <f aca="false">IF(ISERROR(VLOOKUP(P148,Member_Tab,2,FALSE())),"",VLOOKUP(P148,Member_Tab,2,FALSE()))</f>
        <v/>
      </c>
      <c r="O148" s="130" t="str">
        <f aca="false">IF(ISERROR(VLOOKUP(P148,Member_Tab,3,FALSE())),"",VLOOKUP(P148,Member_Tab,3,FALSE()))</f>
        <v/>
      </c>
      <c r="P148" s="75"/>
      <c r="Q148" s="128"/>
      <c r="R148" s="131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</row>
    <row r="149" customFormat="false" ht="15" hidden="false" customHeight="false" outlineLevel="0" collapsed="false">
      <c r="B149" s="75"/>
      <c r="C149" s="128"/>
      <c r="D149" s="128"/>
      <c r="E149" s="128"/>
      <c r="F149" s="128"/>
      <c r="G149" s="129"/>
      <c r="H149" s="128"/>
      <c r="I149" s="128"/>
      <c r="J149" s="128"/>
      <c r="K149" s="128"/>
      <c r="L149" s="78" t="n">
        <f aca="false">SUM($S149:$BB149)</f>
        <v>0</v>
      </c>
      <c r="M149" s="128"/>
      <c r="N149" s="130" t="str">
        <f aca="false">IF(ISERROR(VLOOKUP(P149,Member_Tab,2,FALSE())),"",VLOOKUP(P149,Member_Tab,2,FALSE()))</f>
        <v/>
      </c>
      <c r="O149" s="130" t="str">
        <f aca="false">IF(ISERROR(VLOOKUP(P149,Member_Tab,3,FALSE())),"",VLOOKUP(P149,Member_Tab,3,FALSE()))</f>
        <v/>
      </c>
      <c r="P149" s="75"/>
      <c r="Q149" s="128"/>
      <c r="R149" s="131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</row>
    <row r="150" customFormat="false" ht="15" hidden="false" customHeight="false" outlineLevel="0" collapsed="false">
      <c r="B150" s="75"/>
      <c r="C150" s="128"/>
      <c r="D150" s="128"/>
      <c r="E150" s="128"/>
      <c r="F150" s="128"/>
      <c r="G150" s="129"/>
      <c r="H150" s="128"/>
      <c r="I150" s="128"/>
      <c r="J150" s="128"/>
      <c r="K150" s="128"/>
      <c r="L150" s="78" t="n">
        <f aca="false">SUM($S150:$BB150)</f>
        <v>0</v>
      </c>
      <c r="M150" s="128"/>
      <c r="N150" s="130" t="str">
        <f aca="false">IF(ISERROR(VLOOKUP(P150,Member_Tab,2,FALSE())),"",VLOOKUP(P150,Member_Tab,2,FALSE()))</f>
        <v/>
      </c>
      <c r="O150" s="130" t="str">
        <f aca="false">IF(ISERROR(VLOOKUP(P150,Member_Tab,3,FALSE())),"",VLOOKUP(P150,Member_Tab,3,FALSE()))</f>
        <v/>
      </c>
      <c r="P150" s="75"/>
      <c r="Q150" s="128"/>
      <c r="R150" s="131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</row>
    <row r="151" customFormat="false" ht="15" hidden="false" customHeight="false" outlineLevel="0" collapsed="false">
      <c r="B151" s="75"/>
      <c r="C151" s="128"/>
      <c r="D151" s="128"/>
      <c r="E151" s="128"/>
      <c r="F151" s="128"/>
      <c r="G151" s="129"/>
      <c r="H151" s="128"/>
      <c r="I151" s="128"/>
      <c r="J151" s="128"/>
      <c r="K151" s="128"/>
      <c r="L151" s="78" t="n">
        <f aca="false">SUM($S151:$BB151)</f>
        <v>0</v>
      </c>
      <c r="M151" s="128"/>
      <c r="N151" s="130" t="str">
        <f aca="false">IF(ISERROR(VLOOKUP(P151,Member_Tab,2,FALSE())),"",VLOOKUP(P151,Member_Tab,2,FALSE()))</f>
        <v/>
      </c>
      <c r="O151" s="130" t="str">
        <f aca="false">IF(ISERROR(VLOOKUP(P151,Member_Tab,3,FALSE())),"",VLOOKUP(P151,Member_Tab,3,FALSE()))</f>
        <v/>
      </c>
      <c r="P151" s="75"/>
      <c r="Q151" s="128"/>
      <c r="R151" s="131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</row>
    <row r="152" customFormat="false" ht="15" hidden="false" customHeight="false" outlineLevel="0" collapsed="false">
      <c r="B152" s="75"/>
      <c r="C152" s="128"/>
      <c r="D152" s="128"/>
      <c r="E152" s="128"/>
      <c r="F152" s="128"/>
      <c r="G152" s="129"/>
      <c r="H152" s="128"/>
      <c r="I152" s="128"/>
      <c r="J152" s="128"/>
      <c r="K152" s="128"/>
      <c r="L152" s="78" t="n">
        <f aca="false">SUM($S152:$BB152)</f>
        <v>0</v>
      </c>
      <c r="M152" s="128"/>
      <c r="N152" s="130" t="str">
        <f aca="false">IF(ISERROR(VLOOKUP(P152,Member_Tab,2,FALSE())),"",VLOOKUP(P152,Member_Tab,2,FALSE()))</f>
        <v/>
      </c>
      <c r="O152" s="130" t="str">
        <f aca="false">IF(ISERROR(VLOOKUP(P152,Member_Tab,3,FALSE())),"",VLOOKUP(P152,Member_Tab,3,FALSE()))</f>
        <v/>
      </c>
      <c r="P152" s="75"/>
      <c r="Q152" s="128"/>
      <c r="R152" s="131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</row>
    <row r="153" customFormat="false" ht="15" hidden="false" customHeight="false" outlineLevel="0" collapsed="false">
      <c r="B153" s="75"/>
      <c r="C153" s="128"/>
      <c r="D153" s="128"/>
      <c r="E153" s="128"/>
      <c r="F153" s="128"/>
      <c r="G153" s="129"/>
      <c r="H153" s="128"/>
      <c r="I153" s="128"/>
      <c r="J153" s="128"/>
      <c r="K153" s="128"/>
      <c r="L153" s="78" t="n">
        <f aca="false">SUM($S153:$BB153)</f>
        <v>0</v>
      </c>
      <c r="M153" s="128"/>
      <c r="N153" s="130" t="str">
        <f aca="false">IF(ISERROR(VLOOKUP(P153,Member_Tab,2,FALSE())),"",VLOOKUP(P153,Member_Tab,2,FALSE()))</f>
        <v/>
      </c>
      <c r="O153" s="130" t="str">
        <f aca="false">IF(ISERROR(VLOOKUP(P153,Member_Tab,3,FALSE())),"",VLOOKUP(P153,Member_Tab,3,FALSE()))</f>
        <v/>
      </c>
      <c r="P153" s="75"/>
      <c r="Q153" s="128"/>
      <c r="R153" s="131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</row>
    <row r="154" customFormat="false" ht="15" hidden="false" customHeight="false" outlineLevel="0" collapsed="false">
      <c r="B154" s="75"/>
      <c r="C154" s="128"/>
      <c r="D154" s="128"/>
      <c r="E154" s="128"/>
      <c r="F154" s="128"/>
      <c r="G154" s="129"/>
      <c r="H154" s="128"/>
      <c r="I154" s="128"/>
      <c r="J154" s="128"/>
      <c r="K154" s="128"/>
      <c r="L154" s="78" t="n">
        <f aca="false">SUM($S154:$BB154)</f>
        <v>0</v>
      </c>
      <c r="M154" s="128"/>
      <c r="N154" s="130" t="str">
        <f aca="false">IF(ISERROR(VLOOKUP(P154,Member_Tab,2,FALSE())),"",VLOOKUP(P154,Member_Tab,2,FALSE()))</f>
        <v/>
      </c>
      <c r="O154" s="130" t="str">
        <f aca="false">IF(ISERROR(VLOOKUP(P154,Member_Tab,3,FALSE())),"",VLOOKUP(P154,Member_Tab,3,FALSE()))</f>
        <v/>
      </c>
      <c r="P154" s="75"/>
      <c r="Q154" s="128"/>
      <c r="R154" s="131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</row>
    <row r="155" customFormat="false" ht="15" hidden="false" customHeight="false" outlineLevel="0" collapsed="false">
      <c r="B155" s="75"/>
      <c r="C155" s="128"/>
      <c r="D155" s="128"/>
      <c r="E155" s="128"/>
      <c r="F155" s="128"/>
      <c r="G155" s="129"/>
      <c r="H155" s="128"/>
      <c r="I155" s="128"/>
      <c r="J155" s="128"/>
      <c r="K155" s="128"/>
      <c r="L155" s="78" t="n">
        <f aca="false">SUM($S155:$BB155)</f>
        <v>0</v>
      </c>
      <c r="M155" s="128"/>
      <c r="N155" s="130" t="str">
        <f aca="false">IF(ISERROR(VLOOKUP(P155,Member_Tab,2,FALSE())),"",VLOOKUP(P155,Member_Tab,2,FALSE()))</f>
        <v/>
      </c>
      <c r="O155" s="130" t="str">
        <f aca="false">IF(ISERROR(VLOOKUP(P155,Member_Tab,3,FALSE())),"",VLOOKUP(P155,Member_Tab,3,FALSE()))</f>
        <v/>
      </c>
      <c r="P155" s="75"/>
      <c r="Q155" s="128"/>
      <c r="R155" s="131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</row>
    <row r="156" customFormat="false" ht="15" hidden="false" customHeight="false" outlineLevel="0" collapsed="false">
      <c r="B156" s="75"/>
      <c r="C156" s="128"/>
      <c r="D156" s="128"/>
      <c r="E156" s="128"/>
      <c r="F156" s="128"/>
      <c r="G156" s="129"/>
      <c r="H156" s="128"/>
      <c r="I156" s="128"/>
      <c r="J156" s="128"/>
      <c r="K156" s="128"/>
      <c r="L156" s="78" t="n">
        <f aca="false">SUM($S156:$BB156)</f>
        <v>0</v>
      </c>
      <c r="M156" s="128"/>
      <c r="N156" s="130" t="str">
        <f aca="false">IF(ISERROR(VLOOKUP(P156,Member_Tab,2,FALSE())),"",VLOOKUP(P156,Member_Tab,2,FALSE()))</f>
        <v/>
      </c>
      <c r="O156" s="130" t="str">
        <f aca="false">IF(ISERROR(VLOOKUP(P156,Member_Tab,3,FALSE())),"",VLOOKUP(P156,Member_Tab,3,FALSE()))</f>
        <v/>
      </c>
      <c r="P156" s="75"/>
      <c r="Q156" s="128"/>
      <c r="R156" s="131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</row>
    <row r="157" customFormat="false" ht="15" hidden="false" customHeight="false" outlineLevel="0" collapsed="false">
      <c r="B157" s="75"/>
      <c r="C157" s="128"/>
      <c r="D157" s="128"/>
      <c r="E157" s="128"/>
      <c r="F157" s="128"/>
      <c r="G157" s="129"/>
      <c r="H157" s="128"/>
      <c r="I157" s="128"/>
      <c r="J157" s="128"/>
      <c r="K157" s="128"/>
      <c r="L157" s="78" t="n">
        <f aca="false">SUM($S157:$BB157)</f>
        <v>0</v>
      </c>
      <c r="M157" s="128"/>
      <c r="N157" s="130" t="str">
        <f aca="false">IF(ISERROR(VLOOKUP(P157,Member_Tab,2,FALSE())),"",VLOOKUP(P157,Member_Tab,2,FALSE()))</f>
        <v/>
      </c>
      <c r="O157" s="130" t="str">
        <f aca="false">IF(ISERROR(VLOOKUP(P157,Member_Tab,3,FALSE())),"",VLOOKUP(P157,Member_Tab,3,FALSE()))</f>
        <v/>
      </c>
      <c r="P157" s="75"/>
      <c r="Q157" s="128"/>
      <c r="R157" s="131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</row>
    <row r="158" customFormat="false" ht="15" hidden="false" customHeight="false" outlineLevel="0" collapsed="false">
      <c r="B158" s="75"/>
      <c r="C158" s="128"/>
      <c r="D158" s="128"/>
      <c r="E158" s="128"/>
      <c r="F158" s="128"/>
      <c r="G158" s="129"/>
      <c r="H158" s="128"/>
      <c r="I158" s="128"/>
      <c r="J158" s="128"/>
      <c r="K158" s="128"/>
      <c r="L158" s="78" t="n">
        <f aca="false">SUM($S158:$BB158)</f>
        <v>0</v>
      </c>
      <c r="M158" s="128"/>
      <c r="N158" s="130" t="str">
        <f aca="false">IF(ISERROR(VLOOKUP(P158,Member_Tab,2,FALSE())),"",VLOOKUP(P158,Member_Tab,2,FALSE()))</f>
        <v/>
      </c>
      <c r="O158" s="130" t="str">
        <f aca="false">IF(ISERROR(VLOOKUP(P158,Member_Tab,3,FALSE())),"",VLOOKUP(P158,Member_Tab,3,FALSE()))</f>
        <v/>
      </c>
      <c r="P158" s="75"/>
      <c r="Q158" s="128"/>
      <c r="R158" s="131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</row>
    <row r="159" customFormat="false" ht="15" hidden="false" customHeight="false" outlineLevel="0" collapsed="false">
      <c r="B159" s="75"/>
      <c r="C159" s="128"/>
      <c r="D159" s="128"/>
      <c r="E159" s="128"/>
      <c r="F159" s="128"/>
      <c r="G159" s="129"/>
      <c r="H159" s="128"/>
      <c r="I159" s="128"/>
      <c r="J159" s="128"/>
      <c r="K159" s="128"/>
      <c r="L159" s="78" t="n">
        <f aca="false">SUM($S159:$BB159)</f>
        <v>0</v>
      </c>
      <c r="M159" s="128"/>
      <c r="N159" s="130" t="str">
        <f aca="false">IF(ISERROR(VLOOKUP(P159,Member_Tab,2,FALSE())),"",VLOOKUP(P159,Member_Tab,2,FALSE()))</f>
        <v/>
      </c>
      <c r="O159" s="130" t="str">
        <f aca="false">IF(ISERROR(VLOOKUP(P159,Member_Tab,3,FALSE())),"",VLOOKUP(P159,Member_Tab,3,FALSE()))</f>
        <v/>
      </c>
      <c r="P159" s="75"/>
      <c r="Q159" s="128"/>
      <c r="R159" s="131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</row>
    <row r="160" customFormat="false" ht="15" hidden="false" customHeight="false" outlineLevel="0" collapsed="false">
      <c r="B160" s="75"/>
      <c r="C160" s="128"/>
      <c r="D160" s="128"/>
      <c r="E160" s="128"/>
      <c r="F160" s="128"/>
      <c r="G160" s="129"/>
      <c r="H160" s="128"/>
      <c r="I160" s="128"/>
      <c r="J160" s="128"/>
      <c r="K160" s="128"/>
      <c r="L160" s="78" t="n">
        <f aca="false">SUM($S160:$BB160)</f>
        <v>0</v>
      </c>
      <c r="M160" s="128"/>
      <c r="N160" s="130" t="str">
        <f aca="false">IF(ISERROR(VLOOKUP(P160,Member_Tab,2,FALSE())),"",VLOOKUP(P160,Member_Tab,2,FALSE()))</f>
        <v/>
      </c>
      <c r="O160" s="130" t="str">
        <f aca="false">IF(ISERROR(VLOOKUP(P160,Member_Tab,3,FALSE())),"",VLOOKUP(P160,Member_Tab,3,FALSE()))</f>
        <v/>
      </c>
      <c r="P160" s="75"/>
      <c r="Q160" s="128"/>
      <c r="R160" s="131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</row>
    <row r="161" customFormat="false" ht="15" hidden="false" customHeight="false" outlineLevel="0" collapsed="false">
      <c r="B161" s="75"/>
      <c r="C161" s="128"/>
      <c r="D161" s="128"/>
      <c r="E161" s="128"/>
      <c r="F161" s="128"/>
      <c r="G161" s="129"/>
      <c r="H161" s="128"/>
      <c r="I161" s="128"/>
      <c r="J161" s="128"/>
      <c r="K161" s="128"/>
      <c r="L161" s="78" t="n">
        <f aca="false">SUM($S161:$BB161)</f>
        <v>0</v>
      </c>
      <c r="M161" s="128"/>
      <c r="N161" s="130" t="str">
        <f aca="false">IF(ISERROR(VLOOKUP(P161,Member_Tab,2,FALSE())),"",VLOOKUP(P161,Member_Tab,2,FALSE()))</f>
        <v/>
      </c>
      <c r="O161" s="130" t="str">
        <f aca="false">IF(ISERROR(VLOOKUP(P161,Member_Tab,3,FALSE())),"",VLOOKUP(P161,Member_Tab,3,FALSE()))</f>
        <v/>
      </c>
      <c r="P161" s="75"/>
      <c r="Q161" s="128"/>
      <c r="R161" s="131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</row>
    <row r="162" customFormat="false" ht="15" hidden="false" customHeight="false" outlineLevel="0" collapsed="false">
      <c r="B162" s="75"/>
      <c r="C162" s="128"/>
      <c r="D162" s="128"/>
      <c r="E162" s="128"/>
      <c r="F162" s="128"/>
      <c r="G162" s="129"/>
      <c r="H162" s="128"/>
      <c r="I162" s="128"/>
      <c r="J162" s="128"/>
      <c r="K162" s="128"/>
      <c r="L162" s="78" t="n">
        <f aca="false">SUM($S162:$BB162)</f>
        <v>0</v>
      </c>
      <c r="M162" s="128"/>
      <c r="N162" s="130" t="str">
        <f aca="false">IF(ISERROR(VLOOKUP(P162,Member_Tab,2,FALSE())),"",VLOOKUP(P162,Member_Tab,2,FALSE()))</f>
        <v/>
      </c>
      <c r="O162" s="130" t="str">
        <f aca="false">IF(ISERROR(VLOOKUP(P162,Member_Tab,3,FALSE())),"",VLOOKUP(P162,Member_Tab,3,FALSE()))</f>
        <v/>
      </c>
      <c r="P162" s="75"/>
      <c r="Q162" s="128"/>
      <c r="R162" s="131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</row>
    <row r="163" customFormat="false" ht="15" hidden="false" customHeight="false" outlineLevel="0" collapsed="false">
      <c r="B163" s="75"/>
      <c r="C163" s="128"/>
      <c r="D163" s="128"/>
      <c r="E163" s="128"/>
      <c r="F163" s="128"/>
      <c r="G163" s="129"/>
      <c r="H163" s="128"/>
      <c r="I163" s="128"/>
      <c r="J163" s="128"/>
      <c r="K163" s="128"/>
      <c r="L163" s="78" t="n">
        <f aca="false">SUM($S163:$BB163)</f>
        <v>0</v>
      </c>
      <c r="M163" s="128"/>
      <c r="N163" s="130" t="str">
        <f aca="false">IF(ISERROR(VLOOKUP(P163,Member_Tab,2,FALSE())),"",VLOOKUP(P163,Member_Tab,2,FALSE()))</f>
        <v/>
      </c>
      <c r="O163" s="130" t="str">
        <f aca="false">IF(ISERROR(VLOOKUP(P163,Member_Tab,3,FALSE())),"",VLOOKUP(P163,Member_Tab,3,FALSE()))</f>
        <v/>
      </c>
      <c r="P163" s="75"/>
      <c r="Q163" s="128"/>
      <c r="R163" s="131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</row>
    <row r="164" customFormat="false" ht="15" hidden="false" customHeight="false" outlineLevel="0" collapsed="false">
      <c r="B164" s="75"/>
      <c r="C164" s="128"/>
      <c r="D164" s="128"/>
      <c r="E164" s="128"/>
      <c r="F164" s="128"/>
      <c r="G164" s="129"/>
      <c r="H164" s="128"/>
      <c r="I164" s="128"/>
      <c r="J164" s="128"/>
      <c r="K164" s="128"/>
      <c r="L164" s="78" t="n">
        <f aca="false">SUM($S164:$BB164)</f>
        <v>0</v>
      </c>
      <c r="M164" s="128"/>
      <c r="N164" s="130" t="str">
        <f aca="false">IF(ISERROR(VLOOKUP(P164,Member_Tab,2,FALSE())),"",VLOOKUP(P164,Member_Tab,2,FALSE()))</f>
        <v/>
      </c>
      <c r="O164" s="130" t="str">
        <f aca="false">IF(ISERROR(VLOOKUP(P164,Member_Tab,3,FALSE())),"",VLOOKUP(P164,Member_Tab,3,FALSE()))</f>
        <v/>
      </c>
      <c r="P164" s="75"/>
      <c r="Q164" s="128"/>
      <c r="R164" s="131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</row>
    <row r="165" customFormat="false" ht="15" hidden="false" customHeight="false" outlineLevel="0" collapsed="false">
      <c r="B165" s="75"/>
      <c r="C165" s="128"/>
      <c r="D165" s="128"/>
      <c r="E165" s="128"/>
      <c r="F165" s="128"/>
      <c r="G165" s="129"/>
      <c r="H165" s="128"/>
      <c r="I165" s="128"/>
      <c r="J165" s="128"/>
      <c r="K165" s="128"/>
      <c r="L165" s="78" t="n">
        <f aca="false">SUM($S165:$BB165)</f>
        <v>0</v>
      </c>
      <c r="M165" s="128"/>
      <c r="N165" s="130" t="str">
        <f aca="false">IF(ISERROR(VLOOKUP(P165,Member_Tab,2,FALSE())),"",VLOOKUP(P165,Member_Tab,2,FALSE()))</f>
        <v/>
      </c>
      <c r="O165" s="130" t="str">
        <f aca="false">IF(ISERROR(VLOOKUP(P165,Member_Tab,3,FALSE())),"",VLOOKUP(P165,Member_Tab,3,FALSE()))</f>
        <v/>
      </c>
      <c r="P165" s="75"/>
      <c r="Q165" s="128"/>
      <c r="R165" s="131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</row>
    <row r="166" customFormat="false" ht="15" hidden="false" customHeight="false" outlineLevel="0" collapsed="false">
      <c r="B166" s="75"/>
      <c r="C166" s="128"/>
      <c r="D166" s="128"/>
      <c r="E166" s="128"/>
      <c r="F166" s="128"/>
      <c r="G166" s="129"/>
      <c r="H166" s="128"/>
      <c r="I166" s="128"/>
      <c r="J166" s="128"/>
      <c r="K166" s="128"/>
      <c r="L166" s="78" t="n">
        <f aca="false">SUM($S166:$BB166)</f>
        <v>0</v>
      </c>
      <c r="M166" s="128"/>
      <c r="N166" s="130" t="str">
        <f aca="false">IF(ISERROR(VLOOKUP(P166,Member_Tab,2,FALSE())),"",VLOOKUP(P166,Member_Tab,2,FALSE()))</f>
        <v/>
      </c>
      <c r="O166" s="130" t="str">
        <f aca="false">IF(ISERROR(VLOOKUP(P166,Member_Tab,3,FALSE())),"",VLOOKUP(P166,Member_Tab,3,FALSE()))</f>
        <v/>
      </c>
      <c r="P166" s="75"/>
      <c r="Q166" s="128"/>
      <c r="R166" s="131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</row>
    <row r="167" customFormat="false" ht="15" hidden="false" customHeight="false" outlineLevel="0" collapsed="false">
      <c r="B167" s="75"/>
      <c r="C167" s="128"/>
      <c r="D167" s="128"/>
      <c r="E167" s="128"/>
      <c r="F167" s="128"/>
      <c r="G167" s="129"/>
      <c r="H167" s="128"/>
      <c r="I167" s="128"/>
      <c r="J167" s="128"/>
      <c r="K167" s="128"/>
      <c r="L167" s="78" t="n">
        <f aca="false">SUM($S167:$BB167)</f>
        <v>0</v>
      </c>
      <c r="M167" s="128"/>
      <c r="N167" s="130" t="str">
        <f aca="false">IF(ISERROR(VLOOKUP(P167,Member_Tab,2,FALSE())),"",VLOOKUP(P167,Member_Tab,2,FALSE()))</f>
        <v/>
      </c>
      <c r="O167" s="130" t="str">
        <f aca="false">IF(ISERROR(VLOOKUP(P167,Member_Tab,3,FALSE())),"",VLOOKUP(P167,Member_Tab,3,FALSE()))</f>
        <v/>
      </c>
      <c r="P167" s="75"/>
      <c r="Q167" s="128"/>
      <c r="R167" s="131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</row>
    <row r="168" customFormat="false" ht="15" hidden="false" customHeight="false" outlineLevel="0" collapsed="false">
      <c r="B168" s="75"/>
      <c r="C168" s="128"/>
      <c r="D168" s="128"/>
      <c r="E168" s="128"/>
      <c r="F168" s="128"/>
      <c r="G168" s="129"/>
      <c r="H168" s="128"/>
      <c r="I168" s="128"/>
      <c r="J168" s="128"/>
      <c r="K168" s="128"/>
      <c r="L168" s="78" t="n">
        <f aca="false">SUM($S168:$BB168)</f>
        <v>0</v>
      </c>
      <c r="M168" s="128"/>
      <c r="N168" s="130" t="str">
        <f aca="false">IF(ISERROR(VLOOKUP(P168,Member_Tab,2,FALSE())),"",VLOOKUP(P168,Member_Tab,2,FALSE()))</f>
        <v/>
      </c>
      <c r="O168" s="130" t="str">
        <f aca="false">IF(ISERROR(VLOOKUP(P168,Member_Tab,3,FALSE())),"",VLOOKUP(P168,Member_Tab,3,FALSE()))</f>
        <v/>
      </c>
      <c r="P168" s="75"/>
      <c r="Q168" s="128"/>
      <c r="R168" s="131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</row>
    <row r="169" customFormat="false" ht="15" hidden="false" customHeight="false" outlineLevel="0" collapsed="false">
      <c r="B169" s="75"/>
      <c r="C169" s="128"/>
      <c r="D169" s="128"/>
      <c r="E169" s="128"/>
      <c r="F169" s="128"/>
      <c r="G169" s="129"/>
      <c r="H169" s="128"/>
      <c r="I169" s="128"/>
      <c r="J169" s="128"/>
      <c r="K169" s="128"/>
      <c r="L169" s="78" t="n">
        <f aca="false">SUM($S169:$BB169)</f>
        <v>0</v>
      </c>
      <c r="M169" s="128"/>
      <c r="N169" s="130" t="str">
        <f aca="false">IF(ISERROR(VLOOKUP(P169,Member_Tab,2,FALSE())),"",VLOOKUP(P169,Member_Tab,2,FALSE()))</f>
        <v/>
      </c>
      <c r="O169" s="130" t="str">
        <f aca="false">IF(ISERROR(VLOOKUP(P169,Member_Tab,3,FALSE())),"",VLOOKUP(P169,Member_Tab,3,FALSE()))</f>
        <v/>
      </c>
      <c r="P169" s="75"/>
      <c r="Q169" s="128"/>
      <c r="R169" s="131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</row>
    <row r="170" customFormat="false" ht="15" hidden="false" customHeight="false" outlineLevel="0" collapsed="false">
      <c r="B170" s="75"/>
      <c r="C170" s="128"/>
      <c r="D170" s="128"/>
      <c r="E170" s="128"/>
      <c r="F170" s="128"/>
      <c r="G170" s="129"/>
      <c r="H170" s="128"/>
      <c r="I170" s="128"/>
      <c r="J170" s="128"/>
      <c r="K170" s="128"/>
      <c r="L170" s="78" t="n">
        <f aca="false">SUM($S170:$BB170)</f>
        <v>0</v>
      </c>
      <c r="M170" s="128"/>
      <c r="N170" s="130" t="str">
        <f aca="false">IF(ISERROR(VLOOKUP(P170,Member_Tab,2,FALSE())),"",VLOOKUP(P170,Member_Tab,2,FALSE()))</f>
        <v/>
      </c>
      <c r="O170" s="130" t="str">
        <f aca="false">IF(ISERROR(VLOOKUP(P170,Member_Tab,3,FALSE())),"",VLOOKUP(P170,Member_Tab,3,FALSE()))</f>
        <v/>
      </c>
      <c r="P170" s="75"/>
      <c r="Q170" s="128"/>
      <c r="R170" s="131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</row>
    <row r="171" customFormat="false" ht="15" hidden="false" customHeight="false" outlineLevel="0" collapsed="false">
      <c r="B171" s="75"/>
      <c r="C171" s="128"/>
      <c r="D171" s="128"/>
      <c r="E171" s="128"/>
      <c r="F171" s="128"/>
      <c r="G171" s="129"/>
      <c r="H171" s="128"/>
      <c r="I171" s="128"/>
      <c r="J171" s="128"/>
      <c r="K171" s="128"/>
      <c r="L171" s="78" t="n">
        <f aca="false">SUM($S171:$BB171)</f>
        <v>0</v>
      </c>
      <c r="M171" s="128"/>
      <c r="N171" s="130" t="str">
        <f aca="false">IF(ISERROR(VLOOKUP(P171,Member_Tab,2,FALSE())),"",VLOOKUP(P171,Member_Tab,2,FALSE()))</f>
        <v/>
      </c>
      <c r="O171" s="130" t="str">
        <f aca="false">IF(ISERROR(VLOOKUP(P171,Member_Tab,3,FALSE())),"",VLOOKUP(P171,Member_Tab,3,FALSE()))</f>
        <v/>
      </c>
      <c r="P171" s="75"/>
      <c r="Q171" s="128"/>
      <c r="R171" s="131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</row>
    <row r="172" customFormat="false" ht="15" hidden="false" customHeight="false" outlineLevel="0" collapsed="false">
      <c r="B172" s="75"/>
      <c r="C172" s="128"/>
      <c r="D172" s="128"/>
      <c r="E172" s="128"/>
      <c r="F172" s="128"/>
      <c r="G172" s="129"/>
      <c r="H172" s="128"/>
      <c r="I172" s="128"/>
      <c r="J172" s="128"/>
      <c r="K172" s="128"/>
      <c r="L172" s="78" t="n">
        <f aca="false">SUM($S172:$BB172)</f>
        <v>0</v>
      </c>
      <c r="M172" s="128"/>
      <c r="N172" s="130" t="str">
        <f aca="false">IF(ISERROR(VLOOKUP(P172,Member_Tab,2,FALSE())),"",VLOOKUP(P172,Member_Tab,2,FALSE()))</f>
        <v/>
      </c>
      <c r="O172" s="130" t="str">
        <f aca="false">IF(ISERROR(VLOOKUP(P172,Member_Tab,3,FALSE())),"",VLOOKUP(P172,Member_Tab,3,FALSE()))</f>
        <v/>
      </c>
      <c r="P172" s="75"/>
      <c r="Q172" s="128"/>
      <c r="R172" s="131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</row>
    <row r="173" customFormat="false" ht="15" hidden="false" customHeight="false" outlineLevel="0" collapsed="false">
      <c r="B173" s="75"/>
      <c r="C173" s="128"/>
      <c r="D173" s="128"/>
      <c r="E173" s="128"/>
      <c r="F173" s="128"/>
      <c r="G173" s="129"/>
      <c r="H173" s="128"/>
      <c r="I173" s="128"/>
      <c r="J173" s="128"/>
      <c r="K173" s="128"/>
      <c r="L173" s="78" t="n">
        <f aca="false">SUM($S173:$BB173)</f>
        <v>0</v>
      </c>
      <c r="M173" s="128"/>
      <c r="N173" s="130" t="str">
        <f aca="false">IF(ISERROR(VLOOKUP(P173,Member_Tab,2,FALSE())),"",VLOOKUP(P173,Member_Tab,2,FALSE()))</f>
        <v/>
      </c>
      <c r="O173" s="130" t="str">
        <f aca="false">IF(ISERROR(VLOOKUP(P173,Member_Tab,3,FALSE())),"",VLOOKUP(P173,Member_Tab,3,FALSE()))</f>
        <v/>
      </c>
      <c r="P173" s="75"/>
      <c r="Q173" s="128"/>
      <c r="R173" s="131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</row>
    <row r="174" customFormat="false" ht="15" hidden="false" customHeight="false" outlineLevel="0" collapsed="false">
      <c r="B174" s="75"/>
      <c r="C174" s="128"/>
      <c r="D174" s="128"/>
      <c r="E174" s="128"/>
      <c r="F174" s="128"/>
      <c r="G174" s="129"/>
      <c r="H174" s="128"/>
      <c r="I174" s="128"/>
      <c r="J174" s="128"/>
      <c r="K174" s="128"/>
      <c r="L174" s="78" t="n">
        <f aca="false">SUM($S174:$BB174)</f>
        <v>0</v>
      </c>
      <c r="M174" s="128"/>
      <c r="N174" s="130" t="str">
        <f aca="false">IF(ISERROR(VLOOKUP(P174,Member_Tab,2,FALSE())),"",VLOOKUP(P174,Member_Tab,2,FALSE()))</f>
        <v/>
      </c>
      <c r="O174" s="130" t="str">
        <f aca="false">IF(ISERROR(VLOOKUP(P174,Member_Tab,3,FALSE())),"",VLOOKUP(P174,Member_Tab,3,FALSE()))</f>
        <v/>
      </c>
      <c r="P174" s="75"/>
      <c r="Q174" s="128"/>
      <c r="R174" s="131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</row>
    <row r="175" customFormat="false" ht="15" hidden="false" customHeight="false" outlineLevel="0" collapsed="false">
      <c r="B175" s="75"/>
      <c r="C175" s="128"/>
      <c r="D175" s="128"/>
      <c r="E175" s="128"/>
      <c r="F175" s="128"/>
      <c r="G175" s="129"/>
      <c r="H175" s="128"/>
      <c r="I175" s="128"/>
      <c r="J175" s="128"/>
      <c r="K175" s="128"/>
      <c r="L175" s="78" t="n">
        <f aca="false">SUM($S175:$BB175)</f>
        <v>0</v>
      </c>
      <c r="M175" s="128"/>
      <c r="N175" s="130" t="str">
        <f aca="false">IF(ISERROR(VLOOKUP(P175,Member_Tab,2,FALSE())),"",VLOOKUP(P175,Member_Tab,2,FALSE()))</f>
        <v/>
      </c>
      <c r="O175" s="130" t="str">
        <f aca="false">IF(ISERROR(VLOOKUP(P175,Member_Tab,3,FALSE())),"",VLOOKUP(P175,Member_Tab,3,FALSE()))</f>
        <v/>
      </c>
      <c r="P175" s="75"/>
      <c r="Q175" s="128"/>
      <c r="R175" s="131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</row>
    <row r="176" customFormat="false" ht="15" hidden="false" customHeight="false" outlineLevel="0" collapsed="false">
      <c r="B176" s="75"/>
      <c r="C176" s="128"/>
      <c r="D176" s="128"/>
      <c r="E176" s="128"/>
      <c r="F176" s="128"/>
      <c r="G176" s="129"/>
      <c r="H176" s="128"/>
      <c r="I176" s="128"/>
      <c r="J176" s="128"/>
      <c r="K176" s="128"/>
      <c r="L176" s="78" t="n">
        <f aca="false">SUM($S176:$BB176)</f>
        <v>0</v>
      </c>
      <c r="M176" s="128"/>
      <c r="N176" s="130" t="str">
        <f aca="false">IF(ISERROR(VLOOKUP(P176,Member_Tab,2,FALSE())),"",VLOOKUP(P176,Member_Tab,2,FALSE()))</f>
        <v/>
      </c>
      <c r="O176" s="130" t="str">
        <f aca="false">IF(ISERROR(VLOOKUP(P176,Member_Tab,3,FALSE())),"",VLOOKUP(P176,Member_Tab,3,FALSE()))</f>
        <v/>
      </c>
      <c r="P176" s="75"/>
      <c r="Q176" s="128"/>
      <c r="R176" s="131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</row>
    <row r="177" customFormat="false" ht="15" hidden="false" customHeight="false" outlineLevel="0" collapsed="false">
      <c r="B177" s="75"/>
      <c r="C177" s="128"/>
      <c r="D177" s="128"/>
      <c r="E177" s="128"/>
      <c r="F177" s="128"/>
      <c r="G177" s="129"/>
      <c r="H177" s="128"/>
      <c r="I177" s="128"/>
      <c r="J177" s="128"/>
      <c r="K177" s="128"/>
      <c r="L177" s="78" t="n">
        <f aca="false">SUM($S177:$BB177)</f>
        <v>0</v>
      </c>
      <c r="M177" s="128"/>
      <c r="N177" s="130" t="str">
        <f aca="false">IF(ISERROR(VLOOKUP(P177,Member_Tab,2,FALSE())),"",VLOOKUP(P177,Member_Tab,2,FALSE()))</f>
        <v/>
      </c>
      <c r="O177" s="130" t="str">
        <f aca="false">IF(ISERROR(VLOOKUP(P177,Member_Tab,3,FALSE())),"",VLOOKUP(P177,Member_Tab,3,FALSE()))</f>
        <v/>
      </c>
      <c r="P177" s="75"/>
      <c r="Q177" s="128"/>
      <c r="R177" s="131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</row>
    <row r="178" customFormat="false" ht="15" hidden="false" customHeight="false" outlineLevel="0" collapsed="false">
      <c r="B178" s="75"/>
      <c r="C178" s="128"/>
      <c r="D178" s="128"/>
      <c r="E178" s="128"/>
      <c r="F178" s="128"/>
      <c r="G178" s="129"/>
      <c r="H178" s="128"/>
      <c r="I178" s="128"/>
      <c r="J178" s="128"/>
      <c r="K178" s="128"/>
      <c r="L178" s="78" t="n">
        <f aca="false">SUM($S178:$BB178)</f>
        <v>0</v>
      </c>
      <c r="M178" s="128"/>
      <c r="N178" s="130" t="str">
        <f aca="false">IF(ISERROR(VLOOKUP(P178,Member_Tab,2,FALSE())),"",VLOOKUP(P178,Member_Tab,2,FALSE()))</f>
        <v/>
      </c>
      <c r="O178" s="130" t="str">
        <f aca="false">IF(ISERROR(VLOOKUP(P178,Member_Tab,3,FALSE())),"",VLOOKUP(P178,Member_Tab,3,FALSE()))</f>
        <v/>
      </c>
      <c r="P178" s="75"/>
      <c r="Q178" s="128"/>
      <c r="R178" s="131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</row>
    <row r="179" customFormat="false" ht="15" hidden="false" customHeight="false" outlineLevel="0" collapsed="false">
      <c r="B179" s="75"/>
      <c r="C179" s="128"/>
      <c r="D179" s="128"/>
      <c r="E179" s="128"/>
      <c r="F179" s="128"/>
      <c r="G179" s="129"/>
      <c r="H179" s="128"/>
      <c r="I179" s="128"/>
      <c r="J179" s="128"/>
      <c r="K179" s="128"/>
      <c r="L179" s="78" t="n">
        <f aca="false">SUM($S179:$BB179)</f>
        <v>0</v>
      </c>
      <c r="M179" s="128"/>
      <c r="N179" s="130" t="str">
        <f aca="false">IF(ISERROR(VLOOKUP(P179,Member_Tab,2,FALSE())),"",VLOOKUP(P179,Member_Tab,2,FALSE()))</f>
        <v/>
      </c>
      <c r="O179" s="130" t="str">
        <f aca="false">IF(ISERROR(VLOOKUP(P179,Member_Tab,3,FALSE())),"",VLOOKUP(P179,Member_Tab,3,FALSE()))</f>
        <v/>
      </c>
      <c r="P179" s="75"/>
      <c r="Q179" s="128"/>
      <c r="R179" s="131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</row>
    <row r="180" customFormat="false" ht="15" hidden="false" customHeight="false" outlineLevel="0" collapsed="false">
      <c r="B180" s="75"/>
      <c r="C180" s="128"/>
      <c r="D180" s="128"/>
      <c r="E180" s="128"/>
      <c r="F180" s="128"/>
      <c r="G180" s="129"/>
      <c r="H180" s="128"/>
      <c r="I180" s="128"/>
      <c r="J180" s="128"/>
      <c r="K180" s="128"/>
      <c r="L180" s="78" t="n">
        <f aca="false">SUM($S180:$BB180)</f>
        <v>0</v>
      </c>
      <c r="M180" s="128"/>
      <c r="N180" s="130" t="str">
        <f aca="false">IF(ISERROR(VLOOKUP(P180,Member_Tab,2,FALSE())),"",VLOOKUP(P180,Member_Tab,2,FALSE()))</f>
        <v/>
      </c>
      <c r="O180" s="130" t="str">
        <f aca="false">IF(ISERROR(VLOOKUP(P180,Member_Tab,3,FALSE())),"",VLOOKUP(P180,Member_Tab,3,FALSE()))</f>
        <v/>
      </c>
      <c r="P180" s="75"/>
      <c r="Q180" s="128"/>
      <c r="R180" s="131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</row>
    <row r="181" customFormat="false" ht="15" hidden="false" customHeight="false" outlineLevel="0" collapsed="false">
      <c r="B181" s="75"/>
      <c r="C181" s="128"/>
      <c r="D181" s="128"/>
      <c r="E181" s="128"/>
      <c r="F181" s="128"/>
      <c r="G181" s="129"/>
      <c r="H181" s="128"/>
      <c r="I181" s="128"/>
      <c r="J181" s="128"/>
      <c r="K181" s="128"/>
      <c r="L181" s="78" t="n">
        <f aca="false">SUM($S181:$BB181)</f>
        <v>0</v>
      </c>
      <c r="M181" s="128"/>
      <c r="N181" s="130" t="str">
        <f aca="false">IF(ISERROR(VLOOKUP(P181,Member_Tab,2,FALSE())),"",VLOOKUP(P181,Member_Tab,2,FALSE()))</f>
        <v/>
      </c>
      <c r="O181" s="130" t="str">
        <f aca="false">IF(ISERROR(VLOOKUP(P181,Member_Tab,3,FALSE())),"",VLOOKUP(P181,Member_Tab,3,FALSE()))</f>
        <v/>
      </c>
      <c r="P181" s="75"/>
      <c r="Q181" s="128"/>
      <c r="R181" s="131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</row>
    <row r="182" customFormat="false" ht="15" hidden="false" customHeight="false" outlineLevel="0" collapsed="false">
      <c r="B182" s="75"/>
      <c r="C182" s="128"/>
      <c r="D182" s="128"/>
      <c r="E182" s="128"/>
      <c r="F182" s="128"/>
      <c r="G182" s="129"/>
      <c r="H182" s="128"/>
      <c r="I182" s="128"/>
      <c r="J182" s="128"/>
      <c r="K182" s="128"/>
      <c r="L182" s="78" t="n">
        <f aca="false">SUM($S182:$BB182)</f>
        <v>0</v>
      </c>
      <c r="M182" s="128"/>
      <c r="N182" s="130" t="str">
        <f aca="false">IF(ISERROR(VLOOKUP(P182,Member_Tab,2,FALSE())),"",VLOOKUP(P182,Member_Tab,2,FALSE()))</f>
        <v/>
      </c>
      <c r="O182" s="130" t="str">
        <f aca="false">IF(ISERROR(VLOOKUP(P182,Member_Tab,3,FALSE())),"",VLOOKUP(P182,Member_Tab,3,FALSE()))</f>
        <v/>
      </c>
      <c r="P182" s="75"/>
      <c r="Q182" s="128"/>
      <c r="R182" s="131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</row>
    <row r="183" customFormat="false" ht="15" hidden="false" customHeight="false" outlineLevel="0" collapsed="false">
      <c r="B183" s="75"/>
      <c r="C183" s="128"/>
      <c r="D183" s="128"/>
      <c r="E183" s="128"/>
      <c r="F183" s="128"/>
      <c r="G183" s="129"/>
      <c r="H183" s="128"/>
      <c r="I183" s="128"/>
      <c r="J183" s="128"/>
      <c r="K183" s="128"/>
      <c r="L183" s="78" t="n">
        <f aca="false">SUM($S183:$BB183)</f>
        <v>0</v>
      </c>
      <c r="M183" s="128"/>
      <c r="N183" s="130" t="str">
        <f aca="false">IF(ISERROR(VLOOKUP(P183,Member_Tab,2,FALSE())),"",VLOOKUP(P183,Member_Tab,2,FALSE()))</f>
        <v/>
      </c>
      <c r="O183" s="130" t="str">
        <f aca="false">IF(ISERROR(VLOOKUP(P183,Member_Tab,3,FALSE())),"",VLOOKUP(P183,Member_Tab,3,FALSE()))</f>
        <v/>
      </c>
      <c r="P183" s="75"/>
      <c r="Q183" s="128"/>
      <c r="R183" s="131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</row>
    <row r="184" customFormat="false" ht="15" hidden="false" customHeight="false" outlineLevel="0" collapsed="false">
      <c r="B184" s="75"/>
      <c r="C184" s="128"/>
      <c r="D184" s="128"/>
      <c r="E184" s="128"/>
      <c r="F184" s="128"/>
      <c r="G184" s="129"/>
      <c r="H184" s="128"/>
      <c r="I184" s="128"/>
      <c r="J184" s="128"/>
      <c r="K184" s="128"/>
      <c r="L184" s="78" t="n">
        <f aca="false">SUM($S184:$BB184)</f>
        <v>0</v>
      </c>
      <c r="M184" s="128"/>
      <c r="N184" s="130" t="str">
        <f aca="false">IF(ISERROR(VLOOKUP(P184,Member_Tab,2,FALSE())),"",VLOOKUP(P184,Member_Tab,2,FALSE()))</f>
        <v/>
      </c>
      <c r="O184" s="130" t="str">
        <f aca="false">IF(ISERROR(VLOOKUP(P184,Member_Tab,3,FALSE())),"",VLOOKUP(P184,Member_Tab,3,FALSE()))</f>
        <v/>
      </c>
      <c r="P184" s="75"/>
      <c r="Q184" s="128"/>
      <c r="R184" s="131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</row>
    <row r="185" customFormat="false" ht="15" hidden="false" customHeight="false" outlineLevel="0" collapsed="false">
      <c r="B185" s="75"/>
      <c r="C185" s="128"/>
      <c r="D185" s="128"/>
      <c r="E185" s="128"/>
      <c r="F185" s="128"/>
      <c r="G185" s="129"/>
      <c r="H185" s="128"/>
      <c r="I185" s="128"/>
      <c r="J185" s="128"/>
      <c r="K185" s="128"/>
      <c r="L185" s="78" t="n">
        <f aca="false">SUM($S185:$BB185)</f>
        <v>0</v>
      </c>
      <c r="M185" s="128"/>
      <c r="N185" s="130" t="str">
        <f aca="false">IF(ISERROR(VLOOKUP(P185,Member_Tab,2,FALSE())),"",VLOOKUP(P185,Member_Tab,2,FALSE()))</f>
        <v/>
      </c>
      <c r="O185" s="130" t="str">
        <f aca="false">IF(ISERROR(VLOOKUP(P185,Member_Tab,3,FALSE())),"",VLOOKUP(P185,Member_Tab,3,FALSE()))</f>
        <v/>
      </c>
      <c r="P185" s="75"/>
      <c r="Q185" s="128"/>
      <c r="R185" s="131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</row>
    <row r="186" customFormat="false" ht="15" hidden="false" customHeight="false" outlineLevel="0" collapsed="false">
      <c r="B186" s="75"/>
      <c r="C186" s="128"/>
      <c r="D186" s="128"/>
      <c r="E186" s="128"/>
      <c r="F186" s="128"/>
      <c r="G186" s="129"/>
      <c r="H186" s="128"/>
      <c r="I186" s="128"/>
      <c r="J186" s="128"/>
      <c r="K186" s="128"/>
      <c r="L186" s="78" t="n">
        <f aca="false">SUM($S186:$BB186)</f>
        <v>0</v>
      </c>
      <c r="M186" s="128"/>
      <c r="N186" s="130" t="str">
        <f aca="false">IF(ISERROR(VLOOKUP(P186,Member_Tab,2,FALSE())),"",VLOOKUP(P186,Member_Tab,2,FALSE()))</f>
        <v/>
      </c>
      <c r="O186" s="130" t="str">
        <f aca="false">IF(ISERROR(VLOOKUP(P186,Member_Tab,3,FALSE())),"",VLOOKUP(P186,Member_Tab,3,FALSE()))</f>
        <v/>
      </c>
      <c r="P186" s="75"/>
      <c r="Q186" s="128"/>
      <c r="R186" s="131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</row>
    <row r="187" customFormat="false" ht="15" hidden="false" customHeight="false" outlineLevel="0" collapsed="false">
      <c r="B187" s="75"/>
      <c r="C187" s="128"/>
      <c r="D187" s="128"/>
      <c r="E187" s="128"/>
      <c r="F187" s="128"/>
      <c r="G187" s="129"/>
      <c r="H187" s="128"/>
      <c r="I187" s="128"/>
      <c r="J187" s="128"/>
      <c r="K187" s="128"/>
      <c r="L187" s="78" t="n">
        <f aca="false">SUM($S187:$BB187)</f>
        <v>0</v>
      </c>
      <c r="M187" s="128"/>
      <c r="N187" s="130" t="str">
        <f aca="false">IF(ISERROR(VLOOKUP(P187,Member_Tab,2,FALSE())),"",VLOOKUP(P187,Member_Tab,2,FALSE()))</f>
        <v/>
      </c>
      <c r="O187" s="130" t="str">
        <f aca="false">IF(ISERROR(VLOOKUP(P187,Member_Tab,3,FALSE())),"",VLOOKUP(P187,Member_Tab,3,FALSE()))</f>
        <v/>
      </c>
      <c r="P187" s="75"/>
      <c r="Q187" s="128"/>
      <c r="R187" s="131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</row>
    <row r="188" customFormat="false" ht="15" hidden="false" customHeight="false" outlineLevel="0" collapsed="false">
      <c r="B188" s="75"/>
      <c r="C188" s="128"/>
      <c r="D188" s="128"/>
      <c r="E188" s="128"/>
      <c r="F188" s="128"/>
      <c r="G188" s="129"/>
      <c r="H188" s="128"/>
      <c r="I188" s="128"/>
      <c r="J188" s="128"/>
      <c r="K188" s="128"/>
      <c r="L188" s="78" t="n">
        <f aca="false">SUM($S188:$BB188)</f>
        <v>0</v>
      </c>
      <c r="M188" s="128"/>
      <c r="N188" s="130" t="str">
        <f aca="false">IF(ISERROR(VLOOKUP(P188,Member_Tab,2,FALSE())),"",VLOOKUP(P188,Member_Tab,2,FALSE()))</f>
        <v/>
      </c>
      <c r="O188" s="130" t="str">
        <f aca="false">IF(ISERROR(VLOOKUP(P188,Member_Tab,3,FALSE())),"",VLOOKUP(P188,Member_Tab,3,FALSE()))</f>
        <v/>
      </c>
      <c r="P188" s="75"/>
      <c r="Q188" s="128"/>
      <c r="R188" s="131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</row>
    <row r="189" customFormat="false" ht="15" hidden="false" customHeight="false" outlineLevel="0" collapsed="false">
      <c r="B189" s="75"/>
      <c r="C189" s="128"/>
      <c r="D189" s="128"/>
      <c r="E189" s="128"/>
      <c r="F189" s="128"/>
      <c r="G189" s="129"/>
      <c r="H189" s="128"/>
      <c r="I189" s="128"/>
      <c r="J189" s="128"/>
      <c r="K189" s="128"/>
      <c r="L189" s="78" t="n">
        <f aca="false">SUM($S189:$BB189)</f>
        <v>0</v>
      </c>
      <c r="M189" s="128"/>
      <c r="N189" s="130" t="str">
        <f aca="false">IF(ISERROR(VLOOKUP(P189,Member_Tab,2,FALSE())),"",VLOOKUP(P189,Member_Tab,2,FALSE()))</f>
        <v/>
      </c>
      <c r="O189" s="130" t="str">
        <f aca="false">IF(ISERROR(VLOOKUP(P189,Member_Tab,3,FALSE())),"",VLOOKUP(P189,Member_Tab,3,FALSE()))</f>
        <v/>
      </c>
      <c r="P189" s="75"/>
      <c r="Q189" s="128"/>
      <c r="R189" s="131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</row>
    <row r="190" customFormat="false" ht="15" hidden="false" customHeight="false" outlineLevel="0" collapsed="false">
      <c r="B190" s="75"/>
      <c r="C190" s="128"/>
      <c r="D190" s="128"/>
      <c r="E190" s="128"/>
      <c r="F190" s="128"/>
      <c r="G190" s="129"/>
      <c r="H190" s="128"/>
      <c r="I190" s="128"/>
      <c r="J190" s="128"/>
      <c r="K190" s="128"/>
      <c r="L190" s="78" t="n">
        <f aca="false">SUM($S190:$BB190)</f>
        <v>0</v>
      </c>
      <c r="M190" s="128"/>
      <c r="N190" s="130" t="str">
        <f aca="false">IF(ISERROR(VLOOKUP(P190,Member_Tab,2,FALSE())),"",VLOOKUP(P190,Member_Tab,2,FALSE()))</f>
        <v/>
      </c>
      <c r="O190" s="130" t="str">
        <f aca="false">IF(ISERROR(VLOOKUP(P190,Member_Tab,3,FALSE())),"",VLOOKUP(P190,Member_Tab,3,FALSE()))</f>
        <v/>
      </c>
      <c r="P190" s="75"/>
      <c r="Q190" s="128"/>
      <c r="R190" s="131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</row>
    <row r="191" customFormat="false" ht="15" hidden="false" customHeight="false" outlineLevel="0" collapsed="false">
      <c r="B191" s="75"/>
      <c r="C191" s="128"/>
      <c r="D191" s="128"/>
      <c r="E191" s="128"/>
      <c r="F191" s="128"/>
      <c r="G191" s="129"/>
      <c r="H191" s="128"/>
      <c r="I191" s="128"/>
      <c r="J191" s="128"/>
      <c r="K191" s="128"/>
      <c r="L191" s="78" t="n">
        <f aca="false">SUM($S191:$BB191)</f>
        <v>0</v>
      </c>
      <c r="M191" s="128"/>
      <c r="N191" s="130" t="str">
        <f aca="false">IF(ISERROR(VLOOKUP(P191,Member_Tab,2,FALSE())),"",VLOOKUP(P191,Member_Tab,2,FALSE()))</f>
        <v/>
      </c>
      <c r="O191" s="130" t="str">
        <f aca="false">IF(ISERROR(VLOOKUP(P191,Member_Tab,3,FALSE())),"",VLOOKUP(P191,Member_Tab,3,FALSE()))</f>
        <v/>
      </c>
      <c r="P191" s="75"/>
      <c r="Q191" s="128"/>
      <c r="R191" s="131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</row>
    <row r="192" customFormat="false" ht="15" hidden="false" customHeight="false" outlineLevel="0" collapsed="false">
      <c r="B192" s="75"/>
      <c r="C192" s="128"/>
      <c r="D192" s="128"/>
      <c r="E192" s="128"/>
      <c r="F192" s="128"/>
      <c r="G192" s="129"/>
      <c r="H192" s="128"/>
      <c r="I192" s="128"/>
      <c r="J192" s="128"/>
      <c r="K192" s="128"/>
      <c r="L192" s="78" t="n">
        <f aca="false">SUM($S192:$BB192)</f>
        <v>0</v>
      </c>
      <c r="M192" s="128"/>
      <c r="N192" s="130" t="str">
        <f aca="false">IF(ISERROR(VLOOKUP(P192,Member_Tab,2,FALSE())),"",VLOOKUP(P192,Member_Tab,2,FALSE()))</f>
        <v/>
      </c>
      <c r="O192" s="130" t="str">
        <f aca="false">IF(ISERROR(VLOOKUP(P192,Member_Tab,3,FALSE())),"",VLOOKUP(P192,Member_Tab,3,FALSE()))</f>
        <v/>
      </c>
      <c r="P192" s="75"/>
      <c r="Q192" s="128"/>
      <c r="R192" s="131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</row>
    <row r="193" customFormat="false" ht="15" hidden="false" customHeight="false" outlineLevel="0" collapsed="false">
      <c r="B193" s="75"/>
      <c r="C193" s="128"/>
      <c r="D193" s="128"/>
      <c r="E193" s="128"/>
      <c r="F193" s="128"/>
      <c r="G193" s="129"/>
      <c r="H193" s="128"/>
      <c r="I193" s="128"/>
      <c r="J193" s="128"/>
      <c r="K193" s="128"/>
      <c r="L193" s="78" t="n">
        <f aca="false">SUM($S193:$BB193)</f>
        <v>0</v>
      </c>
      <c r="M193" s="128"/>
      <c r="N193" s="130" t="str">
        <f aca="false">IF(ISERROR(VLOOKUP(P193,Member_Tab,2,FALSE())),"",VLOOKUP(P193,Member_Tab,2,FALSE()))</f>
        <v/>
      </c>
      <c r="O193" s="130" t="str">
        <f aca="false">IF(ISERROR(VLOOKUP(P193,Member_Tab,3,FALSE())),"",VLOOKUP(P193,Member_Tab,3,FALSE()))</f>
        <v/>
      </c>
      <c r="P193" s="75"/>
      <c r="Q193" s="128"/>
      <c r="R193" s="131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</row>
    <row r="194" customFormat="false" ht="15" hidden="false" customHeight="false" outlineLevel="0" collapsed="false">
      <c r="B194" s="75"/>
      <c r="C194" s="128"/>
      <c r="D194" s="128"/>
      <c r="E194" s="128"/>
      <c r="F194" s="128"/>
      <c r="G194" s="129"/>
      <c r="H194" s="128"/>
      <c r="I194" s="128"/>
      <c r="J194" s="128"/>
      <c r="K194" s="128"/>
      <c r="L194" s="78" t="n">
        <f aca="false">SUM($S194:$BB194)</f>
        <v>0</v>
      </c>
      <c r="M194" s="128"/>
      <c r="N194" s="130" t="str">
        <f aca="false">IF(ISERROR(VLOOKUP(P194,Member_Tab,2,FALSE())),"",VLOOKUP(P194,Member_Tab,2,FALSE()))</f>
        <v/>
      </c>
      <c r="O194" s="130" t="str">
        <f aca="false">IF(ISERROR(VLOOKUP(P194,Member_Tab,3,FALSE())),"",VLOOKUP(P194,Member_Tab,3,FALSE()))</f>
        <v/>
      </c>
      <c r="P194" s="75"/>
      <c r="Q194" s="128"/>
      <c r="R194" s="131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33"/>
      <c r="AH194" s="133"/>
      <c r="AI194" s="133"/>
      <c r="AJ194" s="133"/>
      <c r="AK194" s="133"/>
      <c r="AL194" s="133"/>
      <c r="AM194" s="133"/>
      <c r="AN194" s="133"/>
      <c r="AO194" s="133"/>
      <c r="AP194" s="133"/>
      <c r="AQ194" s="133"/>
      <c r="AR194" s="133"/>
      <c r="AS194" s="133"/>
      <c r="AT194" s="133"/>
      <c r="AU194" s="133"/>
      <c r="AV194" s="133"/>
      <c r="AW194" s="133"/>
      <c r="AX194" s="133"/>
      <c r="AY194" s="133"/>
      <c r="AZ194" s="133"/>
      <c r="BA194" s="133"/>
      <c r="BB194" s="133"/>
    </row>
    <row r="195" customFormat="false" ht="15" hidden="false" customHeight="false" outlineLevel="0" collapsed="false">
      <c r="B195" s="75"/>
      <c r="C195" s="128"/>
      <c r="D195" s="128"/>
      <c r="E195" s="128"/>
      <c r="F195" s="128"/>
      <c r="G195" s="129"/>
      <c r="H195" s="128"/>
      <c r="I195" s="128"/>
      <c r="J195" s="128"/>
      <c r="K195" s="128"/>
      <c r="L195" s="78" t="n">
        <f aca="false">SUM($S195:$BB195)</f>
        <v>0</v>
      </c>
      <c r="M195" s="128"/>
      <c r="N195" s="130" t="str">
        <f aca="false">IF(ISERROR(VLOOKUP(P195,Member_Tab,2,FALSE())),"",VLOOKUP(P195,Member_Tab,2,FALSE()))</f>
        <v/>
      </c>
      <c r="O195" s="130" t="str">
        <f aca="false">IF(ISERROR(VLOOKUP(P195,Member_Tab,3,FALSE())),"",VLOOKUP(P195,Member_Tab,3,FALSE()))</f>
        <v/>
      </c>
      <c r="P195" s="75"/>
      <c r="Q195" s="128"/>
      <c r="R195" s="131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33"/>
      <c r="AH195" s="133"/>
      <c r="AI195" s="133"/>
      <c r="AJ195" s="133"/>
      <c r="AK195" s="133"/>
      <c r="AL195" s="133"/>
      <c r="AM195" s="133"/>
      <c r="AN195" s="133"/>
      <c r="AO195" s="133"/>
      <c r="AP195" s="133"/>
      <c r="AQ195" s="133"/>
      <c r="AR195" s="133"/>
      <c r="AS195" s="133"/>
      <c r="AT195" s="133"/>
      <c r="AU195" s="133"/>
      <c r="AV195" s="133"/>
      <c r="AW195" s="133"/>
      <c r="AX195" s="133"/>
      <c r="AY195" s="133"/>
      <c r="AZ195" s="133"/>
      <c r="BA195" s="133"/>
      <c r="BB195" s="133"/>
    </row>
    <row r="196" customFormat="false" ht="15" hidden="false" customHeight="false" outlineLevel="0" collapsed="false">
      <c r="B196" s="75"/>
      <c r="C196" s="128"/>
      <c r="D196" s="128"/>
      <c r="E196" s="128"/>
      <c r="F196" s="128"/>
      <c r="G196" s="129"/>
      <c r="H196" s="128"/>
      <c r="I196" s="128"/>
      <c r="J196" s="128"/>
      <c r="K196" s="128"/>
      <c r="L196" s="78" t="n">
        <f aca="false">SUM($S196:$BB196)</f>
        <v>0</v>
      </c>
      <c r="M196" s="128"/>
      <c r="N196" s="130" t="str">
        <f aca="false">IF(ISERROR(VLOOKUP(P196,Member_Tab,2,FALSE())),"",VLOOKUP(P196,Member_Tab,2,FALSE()))</f>
        <v/>
      </c>
      <c r="O196" s="130" t="str">
        <f aca="false">IF(ISERROR(VLOOKUP(P196,Member_Tab,3,FALSE())),"",VLOOKUP(P196,Member_Tab,3,FALSE()))</f>
        <v/>
      </c>
      <c r="P196" s="75"/>
      <c r="Q196" s="128"/>
      <c r="R196" s="131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33"/>
      <c r="AH196" s="133"/>
      <c r="AI196" s="133"/>
      <c r="AJ196" s="133"/>
      <c r="AK196" s="133"/>
      <c r="AL196" s="133"/>
      <c r="AM196" s="133"/>
      <c r="AN196" s="133"/>
      <c r="AO196" s="133"/>
      <c r="AP196" s="133"/>
      <c r="AQ196" s="133"/>
      <c r="AR196" s="133"/>
      <c r="AS196" s="133"/>
      <c r="AT196" s="133"/>
      <c r="AU196" s="133"/>
      <c r="AV196" s="133"/>
      <c r="AW196" s="133"/>
      <c r="AX196" s="133"/>
      <c r="AY196" s="133"/>
      <c r="AZ196" s="133"/>
      <c r="BA196" s="133"/>
      <c r="BB196" s="133"/>
    </row>
    <row r="197" customFormat="false" ht="15" hidden="false" customHeight="false" outlineLevel="0" collapsed="false">
      <c r="B197" s="75"/>
      <c r="C197" s="128"/>
      <c r="D197" s="128"/>
      <c r="E197" s="128"/>
      <c r="F197" s="128"/>
      <c r="G197" s="129"/>
      <c r="H197" s="128"/>
      <c r="I197" s="128"/>
      <c r="J197" s="128"/>
      <c r="K197" s="128"/>
      <c r="L197" s="78" t="n">
        <f aca="false">SUM($S197:$BB197)</f>
        <v>0</v>
      </c>
      <c r="M197" s="128"/>
      <c r="N197" s="130" t="str">
        <f aca="false">IF(ISERROR(VLOOKUP(P197,Member_Tab,2,FALSE())),"",VLOOKUP(P197,Member_Tab,2,FALSE()))</f>
        <v/>
      </c>
      <c r="O197" s="130" t="str">
        <f aca="false">IF(ISERROR(VLOOKUP(P197,Member_Tab,3,FALSE())),"",VLOOKUP(P197,Member_Tab,3,FALSE()))</f>
        <v/>
      </c>
      <c r="P197" s="75"/>
      <c r="Q197" s="128"/>
      <c r="R197" s="131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33"/>
      <c r="AH197" s="133"/>
      <c r="AI197" s="133"/>
      <c r="AJ197" s="133"/>
      <c r="AK197" s="133"/>
      <c r="AL197" s="133"/>
      <c r="AM197" s="133"/>
      <c r="AN197" s="133"/>
      <c r="AO197" s="133"/>
      <c r="AP197" s="133"/>
      <c r="AQ197" s="133"/>
      <c r="AR197" s="133"/>
      <c r="AS197" s="133"/>
      <c r="AT197" s="133"/>
      <c r="AU197" s="133"/>
      <c r="AV197" s="133"/>
      <c r="AW197" s="133"/>
      <c r="AX197" s="133"/>
      <c r="AY197" s="133"/>
      <c r="AZ197" s="133"/>
      <c r="BA197" s="133"/>
      <c r="BB197" s="133"/>
    </row>
    <row r="198" customFormat="false" ht="15" hidden="false" customHeight="false" outlineLevel="0" collapsed="false">
      <c r="B198" s="75"/>
      <c r="C198" s="128"/>
      <c r="D198" s="128"/>
      <c r="E198" s="128"/>
      <c r="F198" s="128"/>
      <c r="G198" s="129"/>
      <c r="H198" s="128"/>
      <c r="I198" s="128"/>
      <c r="J198" s="128"/>
      <c r="K198" s="128"/>
      <c r="L198" s="78" t="n">
        <f aca="false">SUM($S198:$BB198)</f>
        <v>0</v>
      </c>
      <c r="M198" s="128"/>
      <c r="N198" s="130" t="str">
        <f aca="false">IF(ISERROR(VLOOKUP(P198,Member_Tab,2,FALSE())),"",VLOOKUP(P198,Member_Tab,2,FALSE()))</f>
        <v/>
      </c>
      <c r="O198" s="130" t="str">
        <f aca="false">IF(ISERROR(VLOOKUP(P198,Member_Tab,3,FALSE())),"",VLOOKUP(P198,Member_Tab,3,FALSE()))</f>
        <v/>
      </c>
      <c r="P198" s="75"/>
      <c r="Q198" s="128"/>
      <c r="R198" s="131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R198" s="133"/>
      <c r="AS198" s="133"/>
      <c r="AT198" s="133"/>
      <c r="AU198" s="133"/>
      <c r="AV198" s="133"/>
      <c r="AW198" s="133"/>
      <c r="AX198" s="133"/>
      <c r="AY198" s="133"/>
      <c r="AZ198" s="133"/>
      <c r="BA198" s="133"/>
      <c r="BB198" s="133"/>
    </row>
    <row r="199" customFormat="false" ht="15" hidden="false" customHeight="false" outlineLevel="0" collapsed="false">
      <c r="B199" s="75"/>
      <c r="C199" s="128"/>
      <c r="D199" s="128"/>
      <c r="E199" s="128"/>
      <c r="F199" s="128"/>
      <c r="G199" s="129"/>
      <c r="H199" s="128"/>
      <c r="I199" s="128"/>
      <c r="J199" s="128"/>
      <c r="K199" s="128"/>
      <c r="L199" s="78" t="n">
        <f aca="false">SUM($S199:$BB199)</f>
        <v>0</v>
      </c>
      <c r="M199" s="128"/>
      <c r="N199" s="130" t="str">
        <f aca="false">IF(ISERROR(VLOOKUP(P199,Member_Tab,2,FALSE())),"",VLOOKUP(P199,Member_Tab,2,FALSE()))</f>
        <v/>
      </c>
      <c r="O199" s="130" t="str">
        <f aca="false">IF(ISERROR(VLOOKUP(P199,Member_Tab,3,FALSE())),"",VLOOKUP(P199,Member_Tab,3,FALSE()))</f>
        <v/>
      </c>
      <c r="P199" s="75"/>
      <c r="Q199" s="128"/>
      <c r="R199" s="131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33"/>
      <c r="AH199" s="133"/>
      <c r="AI199" s="133"/>
      <c r="AJ199" s="133"/>
      <c r="AK199" s="133"/>
      <c r="AL199" s="133"/>
      <c r="AM199" s="133"/>
      <c r="AN199" s="133"/>
      <c r="AO199" s="133"/>
      <c r="AP199" s="133"/>
      <c r="AQ199" s="133"/>
      <c r="AR199" s="133"/>
      <c r="AS199" s="133"/>
      <c r="AT199" s="133"/>
      <c r="AU199" s="133"/>
      <c r="AV199" s="133"/>
      <c r="AW199" s="133"/>
      <c r="AX199" s="133"/>
      <c r="AY199" s="133"/>
      <c r="AZ199" s="133"/>
      <c r="BA199" s="133"/>
      <c r="BB199" s="133"/>
    </row>
    <row r="200" customFormat="false" ht="15" hidden="false" customHeight="false" outlineLevel="0" collapsed="false">
      <c r="B200" s="75"/>
      <c r="C200" s="128"/>
      <c r="D200" s="128"/>
      <c r="E200" s="128"/>
      <c r="F200" s="128"/>
      <c r="G200" s="129"/>
      <c r="H200" s="128"/>
      <c r="I200" s="128"/>
      <c r="J200" s="128"/>
      <c r="K200" s="128"/>
      <c r="L200" s="78" t="n">
        <f aca="false">SUM($S200:$BB200)</f>
        <v>0</v>
      </c>
      <c r="M200" s="128"/>
      <c r="N200" s="130" t="str">
        <f aca="false">IF(ISERROR(VLOOKUP(P200,Member_Tab,2,FALSE())),"",VLOOKUP(P200,Member_Tab,2,FALSE()))</f>
        <v/>
      </c>
      <c r="O200" s="130" t="str">
        <f aca="false">IF(ISERROR(VLOOKUP(P200,Member_Tab,3,FALSE())),"",VLOOKUP(P200,Member_Tab,3,FALSE()))</f>
        <v/>
      </c>
      <c r="P200" s="75"/>
      <c r="Q200" s="128"/>
      <c r="R200" s="131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133"/>
      <c r="AJ200" s="133"/>
      <c r="AK200" s="133"/>
      <c r="AL200" s="133"/>
      <c r="AM200" s="133"/>
      <c r="AN200" s="133"/>
      <c r="AO200" s="133"/>
      <c r="AP200" s="133"/>
      <c r="AQ200" s="133"/>
      <c r="AR200" s="133"/>
      <c r="AS200" s="133"/>
      <c r="AT200" s="133"/>
      <c r="AU200" s="133"/>
      <c r="AV200" s="133"/>
      <c r="AW200" s="133"/>
      <c r="AX200" s="133"/>
      <c r="AY200" s="133"/>
      <c r="AZ200" s="133"/>
      <c r="BA200" s="133"/>
      <c r="BB200" s="133"/>
    </row>
    <row r="201" customFormat="false" ht="15" hidden="false" customHeight="false" outlineLevel="0" collapsed="false">
      <c r="B201" s="75"/>
      <c r="C201" s="128"/>
      <c r="D201" s="128"/>
      <c r="E201" s="128"/>
      <c r="F201" s="128"/>
      <c r="G201" s="129"/>
      <c r="H201" s="128"/>
      <c r="I201" s="128"/>
      <c r="J201" s="128"/>
      <c r="K201" s="128"/>
      <c r="L201" s="78" t="n">
        <f aca="false">SUM($S201:$BB201)</f>
        <v>0</v>
      </c>
      <c r="M201" s="128"/>
      <c r="N201" s="130" t="str">
        <f aca="false">IF(ISERROR(VLOOKUP(P201,Member_Tab,2,FALSE())),"",VLOOKUP(P201,Member_Tab,2,FALSE()))</f>
        <v/>
      </c>
      <c r="O201" s="130" t="str">
        <f aca="false">IF(ISERROR(VLOOKUP(P201,Member_Tab,3,FALSE())),"",VLOOKUP(P201,Member_Tab,3,FALSE()))</f>
        <v/>
      </c>
      <c r="P201" s="75"/>
      <c r="Q201" s="128"/>
      <c r="R201" s="131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  <c r="AC201" s="133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3"/>
      <c r="AT201" s="133"/>
      <c r="AU201" s="133"/>
      <c r="AV201" s="133"/>
      <c r="AW201" s="133"/>
      <c r="AX201" s="133"/>
      <c r="AY201" s="133"/>
      <c r="AZ201" s="133"/>
      <c r="BA201" s="133"/>
      <c r="BB201" s="133"/>
    </row>
    <row r="202" customFormat="false" ht="15" hidden="false" customHeight="false" outlineLevel="0" collapsed="false">
      <c r="B202" s="75"/>
      <c r="C202" s="128"/>
      <c r="D202" s="128"/>
      <c r="E202" s="128"/>
      <c r="F202" s="128"/>
      <c r="G202" s="129"/>
      <c r="H202" s="128"/>
      <c r="I202" s="128"/>
      <c r="J202" s="128"/>
      <c r="K202" s="128"/>
      <c r="L202" s="78" t="n">
        <f aca="false">SUM($S202:$BB202)</f>
        <v>0</v>
      </c>
      <c r="M202" s="128"/>
      <c r="N202" s="130" t="str">
        <f aca="false">IF(ISERROR(VLOOKUP(P202,Member_Tab,2,FALSE())),"",VLOOKUP(P202,Member_Tab,2,FALSE()))</f>
        <v/>
      </c>
      <c r="O202" s="130" t="str">
        <f aca="false">IF(ISERROR(VLOOKUP(P202,Member_Tab,3,FALSE())),"",VLOOKUP(P202,Member_Tab,3,FALSE()))</f>
        <v/>
      </c>
      <c r="P202" s="75"/>
      <c r="Q202" s="128"/>
      <c r="R202" s="131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133"/>
      <c r="AK202" s="133"/>
      <c r="AL202" s="133"/>
      <c r="AM202" s="133"/>
      <c r="AN202" s="133"/>
      <c r="AO202" s="133"/>
      <c r="AP202" s="133"/>
      <c r="AQ202" s="133"/>
      <c r="AR202" s="133"/>
      <c r="AS202" s="133"/>
      <c r="AT202" s="133"/>
      <c r="AU202" s="133"/>
      <c r="AV202" s="133"/>
      <c r="AW202" s="133"/>
      <c r="AX202" s="133"/>
      <c r="AY202" s="133"/>
      <c r="AZ202" s="133"/>
      <c r="BA202" s="133"/>
      <c r="BB202" s="133"/>
    </row>
    <row r="203" customFormat="false" ht="15" hidden="false" customHeight="false" outlineLevel="0" collapsed="false">
      <c r="B203" s="75"/>
      <c r="C203" s="128"/>
      <c r="D203" s="128"/>
      <c r="E203" s="128"/>
      <c r="F203" s="128"/>
      <c r="G203" s="129"/>
      <c r="H203" s="128"/>
      <c r="I203" s="128"/>
      <c r="J203" s="128"/>
      <c r="K203" s="128"/>
      <c r="L203" s="78" t="n">
        <f aca="false">SUM($S203:$BB203)</f>
        <v>0</v>
      </c>
      <c r="M203" s="128"/>
      <c r="N203" s="130" t="str">
        <f aca="false">IF(ISERROR(VLOOKUP(P203,Member_Tab,2,FALSE())),"",VLOOKUP(P203,Member_Tab,2,FALSE()))</f>
        <v/>
      </c>
      <c r="O203" s="130" t="str">
        <f aca="false">IF(ISERROR(VLOOKUP(P203,Member_Tab,3,FALSE())),"",VLOOKUP(P203,Member_Tab,3,FALSE()))</f>
        <v/>
      </c>
      <c r="P203" s="75"/>
      <c r="Q203" s="128"/>
      <c r="R203" s="131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  <c r="AC203" s="133"/>
      <c r="AD203" s="133"/>
      <c r="AE203" s="133"/>
      <c r="AF203" s="133"/>
      <c r="AG203" s="133"/>
      <c r="AH203" s="133"/>
      <c r="AI203" s="133"/>
      <c r="AJ203" s="133"/>
      <c r="AK203" s="133"/>
      <c r="AL203" s="133"/>
      <c r="AM203" s="133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3"/>
      <c r="AX203" s="133"/>
      <c r="AY203" s="133"/>
      <c r="AZ203" s="133"/>
      <c r="BA203" s="133"/>
      <c r="BB203" s="133"/>
    </row>
    <row r="204" customFormat="false" ht="15" hidden="false" customHeight="false" outlineLevel="0" collapsed="false">
      <c r="B204" s="75"/>
      <c r="C204" s="128"/>
      <c r="D204" s="128"/>
      <c r="E204" s="128"/>
      <c r="F204" s="128"/>
      <c r="G204" s="129"/>
      <c r="H204" s="128"/>
      <c r="I204" s="128"/>
      <c r="J204" s="128"/>
      <c r="K204" s="128"/>
      <c r="L204" s="78" t="n">
        <f aca="false">SUM($S204:$BB204)</f>
        <v>0</v>
      </c>
      <c r="M204" s="128"/>
      <c r="N204" s="130" t="str">
        <f aca="false">IF(ISERROR(VLOOKUP(P204,Member_Tab,2,FALSE())),"",VLOOKUP(P204,Member_Tab,2,FALSE()))</f>
        <v/>
      </c>
      <c r="O204" s="130" t="str">
        <f aca="false">IF(ISERROR(VLOOKUP(P204,Member_Tab,3,FALSE())),"",VLOOKUP(P204,Member_Tab,3,FALSE()))</f>
        <v/>
      </c>
      <c r="P204" s="75"/>
      <c r="Q204" s="128"/>
      <c r="R204" s="131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3"/>
      <c r="AT204" s="133"/>
      <c r="AU204" s="133"/>
      <c r="AV204" s="133"/>
      <c r="AW204" s="133"/>
      <c r="AX204" s="133"/>
      <c r="AY204" s="133"/>
      <c r="AZ204" s="133"/>
      <c r="BA204" s="133"/>
      <c r="BB204" s="133"/>
    </row>
    <row r="205" customFormat="false" ht="15" hidden="false" customHeight="false" outlineLevel="0" collapsed="false">
      <c r="B205" s="75"/>
      <c r="C205" s="128"/>
      <c r="D205" s="128"/>
      <c r="E205" s="128"/>
      <c r="F205" s="128"/>
      <c r="G205" s="129"/>
      <c r="H205" s="128"/>
      <c r="I205" s="128"/>
      <c r="J205" s="128"/>
      <c r="K205" s="128"/>
      <c r="L205" s="78" t="n">
        <f aca="false">SUM($S205:$BB205)</f>
        <v>0</v>
      </c>
      <c r="M205" s="128"/>
      <c r="N205" s="130" t="str">
        <f aca="false">IF(ISERROR(VLOOKUP(P205,Member_Tab,2,FALSE())),"",VLOOKUP(P205,Member_Tab,2,FALSE()))</f>
        <v/>
      </c>
      <c r="O205" s="130" t="str">
        <f aca="false">IF(ISERROR(VLOOKUP(P205,Member_Tab,3,FALSE())),"",VLOOKUP(P205,Member_Tab,3,FALSE()))</f>
        <v/>
      </c>
      <c r="P205" s="75"/>
      <c r="Q205" s="128"/>
      <c r="R205" s="131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  <c r="AC205" s="133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3"/>
      <c r="AT205" s="133"/>
      <c r="AU205" s="133"/>
      <c r="AV205" s="133"/>
      <c r="AW205" s="133"/>
      <c r="AX205" s="133"/>
      <c r="AY205" s="133"/>
      <c r="AZ205" s="133"/>
      <c r="BA205" s="133"/>
      <c r="BB205" s="133"/>
    </row>
    <row r="206" customFormat="false" ht="15" hidden="false" customHeight="false" outlineLevel="0" collapsed="false">
      <c r="B206" s="75"/>
      <c r="C206" s="128"/>
      <c r="D206" s="128"/>
      <c r="E206" s="128"/>
      <c r="F206" s="128"/>
      <c r="G206" s="129"/>
      <c r="H206" s="128"/>
      <c r="I206" s="128"/>
      <c r="J206" s="128"/>
      <c r="K206" s="128"/>
      <c r="L206" s="78" t="n">
        <f aca="false">SUM($S206:$BB206)</f>
        <v>0</v>
      </c>
      <c r="M206" s="128"/>
      <c r="N206" s="130" t="str">
        <f aca="false">IF(ISERROR(VLOOKUP(P206,Member_Tab,2,FALSE())),"",VLOOKUP(P206,Member_Tab,2,FALSE()))</f>
        <v/>
      </c>
      <c r="O206" s="130" t="str">
        <f aca="false">IF(ISERROR(VLOOKUP(P206,Member_Tab,3,FALSE())),"",VLOOKUP(P206,Member_Tab,3,FALSE()))</f>
        <v/>
      </c>
      <c r="P206" s="75"/>
      <c r="Q206" s="128"/>
      <c r="R206" s="131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3"/>
      <c r="AT206" s="133"/>
      <c r="AU206" s="133"/>
      <c r="AV206" s="133"/>
      <c r="AW206" s="133"/>
      <c r="AX206" s="133"/>
      <c r="AY206" s="133"/>
      <c r="AZ206" s="133"/>
      <c r="BA206" s="133"/>
      <c r="BB206" s="133"/>
    </row>
    <row r="207" customFormat="false" ht="15" hidden="false" customHeight="false" outlineLevel="0" collapsed="false">
      <c r="B207" s="75"/>
      <c r="C207" s="128"/>
      <c r="D207" s="128"/>
      <c r="E207" s="128"/>
      <c r="F207" s="128"/>
      <c r="G207" s="129"/>
      <c r="H207" s="128"/>
      <c r="I207" s="128"/>
      <c r="J207" s="128"/>
      <c r="K207" s="128"/>
      <c r="L207" s="78" t="n">
        <f aca="false">SUM($S207:$BB207)</f>
        <v>0</v>
      </c>
      <c r="M207" s="128"/>
      <c r="N207" s="130" t="str">
        <f aca="false">IF(ISERROR(VLOOKUP(P207,Member_Tab,2,FALSE())),"",VLOOKUP(P207,Member_Tab,2,FALSE()))</f>
        <v/>
      </c>
      <c r="O207" s="130" t="str">
        <f aca="false">IF(ISERROR(VLOOKUP(P207,Member_Tab,3,FALSE())),"",VLOOKUP(P207,Member_Tab,3,FALSE()))</f>
        <v/>
      </c>
      <c r="P207" s="75"/>
      <c r="Q207" s="128"/>
      <c r="R207" s="131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3"/>
      <c r="AT207" s="133"/>
      <c r="AU207" s="133"/>
      <c r="AV207" s="133"/>
      <c r="AW207" s="133"/>
      <c r="AX207" s="133"/>
      <c r="AY207" s="133"/>
      <c r="AZ207" s="133"/>
      <c r="BA207" s="133"/>
      <c r="BB207" s="133"/>
    </row>
    <row r="208" customFormat="false" ht="15" hidden="false" customHeight="false" outlineLevel="0" collapsed="false">
      <c r="B208" s="75"/>
      <c r="C208" s="128"/>
      <c r="D208" s="128"/>
      <c r="E208" s="128"/>
      <c r="F208" s="128"/>
      <c r="G208" s="129"/>
      <c r="H208" s="128"/>
      <c r="I208" s="128"/>
      <c r="J208" s="128"/>
      <c r="K208" s="128"/>
      <c r="L208" s="78" t="n">
        <f aca="false">SUM($S208:$BB208)</f>
        <v>0</v>
      </c>
      <c r="M208" s="128"/>
      <c r="N208" s="130" t="str">
        <f aca="false">IF(ISERROR(VLOOKUP(P208,Member_Tab,2,FALSE())),"",VLOOKUP(P208,Member_Tab,2,FALSE()))</f>
        <v/>
      </c>
      <c r="O208" s="130" t="str">
        <f aca="false">IF(ISERROR(VLOOKUP(P208,Member_Tab,3,FALSE())),"",VLOOKUP(P208,Member_Tab,3,FALSE()))</f>
        <v/>
      </c>
      <c r="P208" s="75"/>
      <c r="Q208" s="128"/>
      <c r="R208" s="131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133"/>
      <c r="AN208" s="133"/>
      <c r="AO208" s="133"/>
      <c r="AP208" s="133"/>
      <c r="AQ208" s="133"/>
      <c r="AR208" s="133"/>
      <c r="AS208" s="133"/>
      <c r="AT208" s="133"/>
      <c r="AU208" s="133"/>
      <c r="AV208" s="133"/>
      <c r="AW208" s="133"/>
      <c r="AX208" s="133"/>
      <c r="AY208" s="133"/>
      <c r="AZ208" s="133"/>
      <c r="BA208" s="133"/>
      <c r="BB208" s="133"/>
    </row>
    <row r="209" customFormat="false" ht="15" hidden="false" customHeight="false" outlineLevel="0" collapsed="false">
      <c r="B209" s="75"/>
      <c r="C209" s="128"/>
      <c r="D209" s="128"/>
      <c r="E209" s="128"/>
      <c r="F209" s="128"/>
      <c r="G209" s="129"/>
      <c r="H209" s="128"/>
      <c r="I209" s="128"/>
      <c r="J209" s="128"/>
      <c r="K209" s="128"/>
      <c r="L209" s="78" t="n">
        <f aca="false">SUM($S209:$BB209)</f>
        <v>0</v>
      </c>
      <c r="M209" s="128"/>
      <c r="N209" s="130" t="str">
        <f aca="false">IF(ISERROR(VLOOKUP(P209,Member_Tab,2,FALSE())),"",VLOOKUP(P209,Member_Tab,2,FALSE()))</f>
        <v/>
      </c>
      <c r="O209" s="130" t="str">
        <f aca="false">IF(ISERROR(VLOOKUP(P209,Member_Tab,3,FALSE())),"",VLOOKUP(P209,Member_Tab,3,FALSE()))</f>
        <v/>
      </c>
      <c r="P209" s="75"/>
      <c r="Q209" s="128"/>
      <c r="R209" s="131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33"/>
      <c r="AH209" s="133"/>
      <c r="AI209" s="133"/>
      <c r="AJ209" s="133"/>
      <c r="AK209" s="133"/>
      <c r="AL209" s="133"/>
      <c r="AM209" s="133"/>
      <c r="AN209" s="133"/>
      <c r="AO209" s="133"/>
      <c r="AP209" s="133"/>
      <c r="AQ209" s="133"/>
      <c r="AR209" s="133"/>
      <c r="AS209" s="133"/>
      <c r="AT209" s="133"/>
      <c r="AU209" s="133"/>
      <c r="AV209" s="133"/>
      <c r="AW209" s="133"/>
      <c r="AX209" s="133"/>
      <c r="AY209" s="133"/>
      <c r="AZ209" s="133"/>
      <c r="BA209" s="133"/>
      <c r="BB209" s="133"/>
    </row>
    <row r="210" customFormat="false" ht="15" hidden="false" customHeight="false" outlineLevel="0" collapsed="false">
      <c r="B210" s="75"/>
      <c r="C210" s="128"/>
      <c r="D210" s="128"/>
      <c r="E210" s="128"/>
      <c r="F210" s="128"/>
      <c r="G210" s="129"/>
      <c r="H210" s="128"/>
      <c r="I210" s="128"/>
      <c r="J210" s="128"/>
      <c r="K210" s="128"/>
      <c r="L210" s="78" t="n">
        <f aca="false">SUM($S210:$BB210)</f>
        <v>0</v>
      </c>
      <c r="M210" s="128"/>
      <c r="N210" s="130" t="str">
        <f aca="false">IF(ISERROR(VLOOKUP(P210,Member_Tab,2,FALSE())),"",VLOOKUP(P210,Member_Tab,2,FALSE()))</f>
        <v/>
      </c>
      <c r="O210" s="130" t="str">
        <f aca="false">IF(ISERROR(VLOOKUP(P210,Member_Tab,3,FALSE())),"",VLOOKUP(P210,Member_Tab,3,FALSE()))</f>
        <v/>
      </c>
      <c r="P210" s="75"/>
      <c r="Q210" s="128"/>
      <c r="R210" s="131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133"/>
      <c r="AO210" s="133"/>
      <c r="AP210" s="133"/>
      <c r="AQ210" s="133"/>
      <c r="AR210" s="133"/>
      <c r="AS210" s="133"/>
      <c r="AT210" s="133"/>
      <c r="AU210" s="133"/>
      <c r="AV210" s="133"/>
      <c r="AW210" s="133"/>
      <c r="AX210" s="133"/>
      <c r="AY210" s="133"/>
      <c r="AZ210" s="133"/>
      <c r="BA210" s="133"/>
      <c r="BB210" s="133"/>
    </row>
    <row r="211" customFormat="false" ht="15" hidden="false" customHeight="false" outlineLevel="0" collapsed="false">
      <c r="B211" s="75"/>
      <c r="C211" s="128"/>
      <c r="D211" s="128"/>
      <c r="E211" s="128"/>
      <c r="F211" s="128"/>
      <c r="G211" s="129"/>
      <c r="H211" s="128"/>
      <c r="I211" s="128"/>
      <c r="J211" s="128"/>
      <c r="K211" s="128"/>
      <c r="L211" s="78" t="n">
        <f aca="false">SUM($S211:$BB211)</f>
        <v>0</v>
      </c>
      <c r="M211" s="128"/>
      <c r="N211" s="130" t="str">
        <f aca="false">IF(ISERROR(VLOOKUP(P211,Member_Tab,2,FALSE())),"",VLOOKUP(P211,Member_Tab,2,FALSE()))</f>
        <v/>
      </c>
      <c r="O211" s="130" t="str">
        <f aca="false">IF(ISERROR(VLOOKUP(P211,Member_Tab,3,FALSE())),"",VLOOKUP(P211,Member_Tab,3,FALSE()))</f>
        <v/>
      </c>
      <c r="P211" s="75"/>
      <c r="Q211" s="128"/>
      <c r="R211" s="131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  <c r="AC211" s="133"/>
      <c r="AD211" s="133"/>
      <c r="AE211" s="133"/>
      <c r="AF211" s="133"/>
      <c r="AG211" s="133"/>
      <c r="AH211" s="133"/>
      <c r="AI211" s="133"/>
      <c r="AJ211" s="133"/>
      <c r="AK211" s="133"/>
      <c r="AL211" s="133"/>
      <c r="AM211" s="133"/>
      <c r="AN211" s="133"/>
      <c r="AO211" s="133"/>
      <c r="AP211" s="133"/>
      <c r="AQ211" s="133"/>
      <c r="AR211" s="133"/>
      <c r="AS211" s="133"/>
      <c r="AT211" s="133"/>
      <c r="AU211" s="133"/>
      <c r="AV211" s="133"/>
      <c r="AW211" s="133"/>
      <c r="AX211" s="133"/>
      <c r="AY211" s="133"/>
      <c r="AZ211" s="133"/>
      <c r="BA211" s="133"/>
      <c r="BB211" s="133"/>
    </row>
    <row r="212" customFormat="false" ht="15" hidden="false" customHeight="false" outlineLevel="0" collapsed="false">
      <c r="B212" s="75"/>
      <c r="C212" s="128"/>
      <c r="D212" s="128"/>
      <c r="E212" s="128"/>
      <c r="F212" s="128"/>
      <c r="G212" s="129"/>
      <c r="H212" s="128"/>
      <c r="I212" s="128"/>
      <c r="J212" s="128"/>
      <c r="K212" s="128"/>
      <c r="L212" s="78" t="n">
        <f aca="false">SUM($S212:$BB212)</f>
        <v>0</v>
      </c>
      <c r="M212" s="128"/>
      <c r="N212" s="130" t="str">
        <f aca="false">IF(ISERROR(VLOOKUP(P212,Member_Tab,2,FALSE())),"",VLOOKUP(P212,Member_Tab,2,FALSE()))</f>
        <v/>
      </c>
      <c r="O212" s="130" t="str">
        <f aca="false">IF(ISERROR(VLOOKUP(P212,Member_Tab,3,FALSE())),"",VLOOKUP(P212,Member_Tab,3,FALSE()))</f>
        <v/>
      </c>
      <c r="P212" s="75"/>
      <c r="Q212" s="128"/>
      <c r="R212" s="131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  <c r="AJ212" s="133"/>
      <c r="AK212" s="133"/>
      <c r="AL212" s="133"/>
      <c r="AM212" s="133"/>
      <c r="AN212" s="133"/>
      <c r="AO212" s="133"/>
      <c r="AP212" s="133"/>
      <c r="AQ212" s="133"/>
      <c r="AR212" s="133"/>
      <c r="AS212" s="133"/>
      <c r="AT212" s="133"/>
      <c r="AU212" s="133"/>
      <c r="AV212" s="133"/>
      <c r="AW212" s="133"/>
      <c r="AX212" s="133"/>
      <c r="AY212" s="133"/>
      <c r="AZ212" s="133"/>
      <c r="BA212" s="133"/>
      <c r="BB212" s="133"/>
    </row>
    <row r="213" customFormat="false" ht="15" hidden="false" customHeight="false" outlineLevel="0" collapsed="false">
      <c r="B213" s="75"/>
      <c r="C213" s="128"/>
      <c r="D213" s="128"/>
      <c r="E213" s="128"/>
      <c r="F213" s="128"/>
      <c r="G213" s="129"/>
      <c r="H213" s="128"/>
      <c r="I213" s="128"/>
      <c r="J213" s="128"/>
      <c r="K213" s="128"/>
      <c r="L213" s="78" t="n">
        <f aca="false">SUM($S213:$BB213)</f>
        <v>0</v>
      </c>
      <c r="M213" s="128"/>
      <c r="N213" s="130" t="str">
        <f aca="false">IF(ISERROR(VLOOKUP(P213,Member_Tab,2,FALSE())),"",VLOOKUP(P213,Member_Tab,2,FALSE()))</f>
        <v/>
      </c>
      <c r="O213" s="130" t="str">
        <f aca="false">IF(ISERROR(VLOOKUP(P213,Member_Tab,3,FALSE())),"",VLOOKUP(P213,Member_Tab,3,FALSE()))</f>
        <v/>
      </c>
      <c r="P213" s="75"/>
      <c r="Q213" s="128"/>
      <c r="R213" s="131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  <c r="AC213" s="133"/>
      <c r="AD213" s="133"/>
      <c r="AE213" s="133"/>
      <c r="AF213" s="133"/>
      <c r="AG213" s="133"/>
      <c r="AH213" s="133"/>
      <c r="AI213" s="133"/>
      <c r="AJ213" s="133"/>
      <c r="AK213" s="133"/>
      <c r="AL213" s="133"/>
      <c r="AM213" s="133"/>
      <c r="AN213" s="133"/>
      <c r="AO213" s="133"/>
      <c r="AP213" s="133"/>
      <c r="AQ213" s="133"/>
      <c r="AR213" s="133"/>
      <c r="AS213" s="133"/>
      <c r="AT213" s="133"/>
      <c r="AU213" s="133"/>
      <c r="AV213" s="133"/>
      <c r="AW213" s="133"/>
      <c r="AX213" s="133"/>
      <c r="AY213" s="133"/>
      <c r="AZ213" s="133"/>
      <c r="BA213" s="133"/>
      <c r="BB213" s="133"/>
    </row>
    <row r="214" customFormat="false" ht="15" hidden="false" customHeight="false" outlineLevel="0" collapsed="false">
      <c r="B214" s="75"/>
      <c r="C214" s="128"/>
      <c r="D214" s="128"/>
      <c r="E214" s="128"/>
      <c r="F214" s="128"/>
      <c r="G214" s="129"/>
      <c r="H214" s="128"/>
      <c r="I214" s="128"/>
      <c r="J214" s="128"/>
      <c r="K214" s="128"/>
      <c r="L214" s="78" t="n">
        <f aca="false">SUM($S214:$BB214)</f>
        <v>0</v>
      </c>
      <c r="M214" s="128"/>
      <c r="N214" s="130" t="str">
        <f aca="false">IF(ISERROR(VLOOKUP(P214,Member_Tab,2,FALSE())),"",VLOOKUP(P214,Member_Tab,2,FALSE()))</f>
        <v/>
      </c>
      <c r="O214" s="130" t="str">
        <f aca="false">IF(ISERROR(VLOOKUP(P214,Member_Tab,3,FALSE())),"",VLOOKUP(P214,Member_Tab,3,FALSE()))</f>
        <v/>
      </c>
      <c r="P214" s="75"/>
      <c r="Q214" s="128"/>
      <c r="R214" s="131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3"/>
      <c r="AT214" s="133"/>
      <c r="AU214" s="133"/>
      <c r="AV214" s="133"/>
      <c r="AW214" s="133"/>
      <c r="AX214" s="133"/>
      <c r="AY214" s="133"/>
      <c r="AZ214" s="133"/>
      <c r="BA214" s="133"/>
      <c r="BB214" s="133"/>
    </row>
    <row r="215" customFormat="false" ht="15" hidden="false" customHeight="false" outlineLevel="0" collapsed="false">
      <c r="B215" s="75"/>
      <c r="C215" s="128"/>
      <c r="D215" s="128"/>
      <c r="E215" s="128"/>
      <c r="F215" s="128"/>
      <c r="G215" s="129"/>
      <c r="H215" s="128"/>
      <c r="I215" s="128"/>
      <c r="J215" s="128"/>
      <c r="K215" s="128"/>
      <c r="L215" s="78" t="n">
        <f aca="false">SUM($S215:$BB215)</f>
        <v>0</v>
      </c>
      <c r="M215" s="128"/>
      <c r="N215" s="130" t="str">
        <f aca="false">IF(ISERROR(VLOOKUP(P215,Member_Tab,2,FALSE())),"",VLOOKUP(P215,Member_Tab,2,FALSE()))</f>
        <v/>
      </c>
      <c r="O215" s="130" t="str">
        <f aca="false">IF(ISERROR(VLOOKUP(P215,Member_Tab,3,FALSE())),"",VLOOKUP(P215,Member_Tab,3,FALSE()))</f>
        <v/>
      </c>
      <c r="P215" s="75"/>
      <c r="Q215" s="128"/>
      <c r="R215" s="131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R215" s="133"/>
      <c r="AS215" s="133"/>
      <c r="AT215" s="133"/>
      <c r="AU215" s="133"/>
      <c r="AV215" s="133"/>
      <c r="AW215" s="133"/>
      <c r="AX215" s="133"/>
      <c r="AY215" s="133"/>
      <c r="AZ215" s="133"/>
      <c r="BA215" s="133"/>
      <c r="BB215" s="133"/>
    </row>
    <row r="216" customFormat="false" ht="15" hidden="false" customHeight="false" outlineLevel="0" collapsed="false">
      <c r="B216" s="75"/>
      <c r="C216" s="128"/>
      <c r="D216" s="128"/>
      <c r="E216" s="128"/>
      <c r="F216" s="128"/>
      <c r="G216" s="129"/>
      <c r="H216" s="128"/>
      <c r="I216" s="128"/>
      <c r="J216" s="128"/>
      <c r="K216" s="128"/>
      <c r="L216" s="78" t="n">
        <f aca="false">SUM($S216:$BB216)</f>
        <v>0</v>
      </c>
      <c r="M216" s="128"/>
      <c r="N216" s="130" t="str">
        <f aca="false">IF(ISERROR(VLOOKUP(P216,Member_Tab,2,FALSE())),"",VLOOKUP(P216,Member_Tab,2,FALSE()))</f>
        <v/>
      </c>
      <c r="O216" s="130" t="str">
        <f aca="false">IF(ISERROR(VLOOKUP(P216,Member_Tab,3,FALSE())),"",VLOOKUP(P216,Member_Tab,3,FALSE()))</f>
        <v/>
      </c>
      <c r="P216" s="75"/>
      <c r="Q216" s="128"/>
      <c r="R216" s="131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3"/>
      <c r="AT216" s="133"/>
      <c r="AU216" s="133"/>
      <c r="AV216" s="133"/>
      <c r="AW216" s="133"/>
      <c r="AX216" s="133"/>
      <c r="AY216" s="133"/>
      <c r="AZ216" s="133"/>
      <c r="BA216" s="133"/>
      <c r="BB216" s="133"/>
    </row>
    <row r="217" customFormat="false" ht="15" hidden="false" customHeight="false" outlineLevel="0" collapsed="false">
      <c r="B217" s="75"/>
      <c r="C217" s="128"/>
      <c r="D217" s="128"/>
      <c r="E217" s="128"/>
      <c r="F217" s="128"/>
      <c r="G217" s="129"/>
      <c r="H217" s="128"/>
      <c r="I217" s="128"/>
      <c r="J217" s="128"/>
      <c r="K217" s="128"/>
      <c r="L217" s="78" t="n">
        <f aca="false">SUM($S217:$BB217)</f>
        <v>0</v>
      </c>
      <c r="M217" s="128"/>
      <c r="N217" s="130" t="str">
        <f aca="false">IF(ISERROR(VLOOKUP(P217,Member_Tab,2,FALSE())),"",VLOOKUP(P217,Member_Tab,2,FALSE()))</f>
        <v/>
      </c>
      <c r="O217" s="130" t="str">
        <f aca="false">IF(ISERROR(VLOOKUP(P217,Member_Tab,3,FALSE())),"",VLOOKUP(P217,Member_Tab,3,FALSE()))</f>
        <v/>
      </c>
      <c r="P217" s="75"/>
      <c r="Q217" s="128"/>
      <c r="R217" s="131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  <c r="AC217" s="133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3"/>
      <c r="AT217" s="133"/>
      <c r="AU217" s="133"/>
      <c r="AV217" s="133"/>
      <c r="AW217" s="133"/>
      <c r="AX217" s="133"/>
      <c r="AY217" s="133"/>
      <c r="AZ217" s="133"/>
      <c r="BA217" s="133"/>
      <c r="BB217" s="133"/>
    </row>
    <row r="218" customFormat="false" ht="15" hidden="false" customHeight="false" outlineLevel="0" collapsed="false">
      <c r="B218" s="75"/>
      <c r="C218" s="128"/>
      <c r="D218" s="128"/>
      <c r="E218" s="128"/>
      <c r="F218" s="128"/>
      <c r="G218" s="129"/>
      <c r="H218" s="128"/>
      <c r="I218" s="128"/>
      <c r="J218" s="128"/>
      <c r="K218" s="128"/>
      <c r="L218" s="78" t="n">
        <f aca="false">SUM($S218:$BB218)</f>
        <v>0</v>
      </c>
      <c r="M218" s="128"/>
      <c r="N218" s="130" t="str">
        <f aca="false">IF(ISERROR(VLOOKUP(P218,Member_Tab,2,FALSE())),"",VLOOKUP(P218,Member_Tab,2,FALSE()))</f>
        <v/>
      </c>
      <c r="O218" s="130" t="str">
        <f aca="false">IF(ISERROR(VLOOKUP(P218,Member_Tab,3,FALSE())),"",VLOOKUP(P218,Member_Tab,3,FALSE()))</f>
        <v/>
      </c>
      <c r="P218" s="75"/>
      <c r="Q218" s="128"/>
      <c r="R218" s="131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  <c r="AC218" s="133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3"/>
      <c r="AT218" s="133"/>
      <c r="AU218" s="133"/>
      <c r="AV218" s="133"/>
      <c r="AW218" s="133"/>
      <c r="AX218" s="133"/>
      <c r="AY218" s="133"/>
      <c r="AZ218" s="133"/>
      <c r="BA218" s="133"/>
      <c r="BB218" s="133"/>
    </row>
    <row r="219" customFormat="false" ht="15" hidden="false" customHeight="false" outlineLevel="0" collapsed="false">
      <c r="B219" s="75"/>
      <c r="C219" s="128"/>
      <c r="D219" s="128"/>
      <c r="E219" s="128"/>
      <c r="F219" s="128"/>
      <c r="G219" s="129"/>
      <c r="H219" s="128"/>
      <c r="I219" s="128"/>
      <c r="J219" s="128"/>
      <c r="K219" s="128"/>
      <c r="L219" s="78" t="n">
        <f aca="false">SUM($S219:$BB219)</f>
        <v>0</v>
      </c>
      <c r="M219" s="128"/>
      <c r="N219" s="130" t="str">
        <f aca="false">IF(ISERROR(VLOOKUP(P219,Member_Tab,2,FALSE())),"",VLOOKUP(P219,Member_Tab,2,FALSE()))</f>
        <v/>
      </c>
      <c r="O219" s="130" t="str">
        <f aca="false">IF(ISERROR(VLOOKUP(P219,Member_Tab,3,FALSE())),"",VLOOKUP(P219,Member_Tab,3,FALSE()))</f>
        <v/>
      </c>
      <c r="P219" s="75"/>
      <c r="Q219" s="128"/>
      <c r="R219" s="131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  <c r="AC219" s="133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3"/>
      <c r="AT219" s="133"/>
      <c r="AU219" s="133"/>
      <c r="AV219" s="133"/>
      <c r="AW219" s="133"/>
      <c r="AX219" s="133"/>
      <c r="AY219" s="133"/>
      <c r="AZ219" s="133"/>
      <c r="BA219" s="133"/>
      <c r="BB219" s="133"/>
    </row>
    <row r="220" customFormat="false" ht="15" hidden="false" customHeight="false" outlineLevel="0" collapsed="false">
      <c r="B220" s="75"/>
      <c r="C220" s="128"/>
      <c r="D220" s="128"/>
      <c r="E220" s="128"/>
      <c r="F220" s="128"/>
      <c r="G220" s="129"/>
      <c r="H220" s="128"/>
      <c r="I220" s="128"/>
      <c r="J220" s="128"/>
      <c r="K220" s="128"/>
      <c r="L220" s="78" t="n">
        <f aca="false">SUM($S220:$BB220)</f>
        <v>0</v>
      </c>
      <c r="M220" s="128"/>
      <c r="N220" s="130" t="str">
        <f aca="false">IF(ISERROR(VLOOKUP(P220,Member_Tab,2,FALSE())),"",VLOOKUP(P220,Member_Tab,2,FALSE()))</f>
        <v/>
      </c>
      <c r="O220" s="130" t="str">
        <f aca="false">IF(ISERROR(VLOOKUP(P220,Member_Tab,3,FALSE())),"",VLOOKUP(P220,Member_Tab,3,FALSE()))</f>
        <v/>
      </c>
      <c r="P220" s="75"/>
      <c r="Q220" s="128"/>
      <c r="R220" s="131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  <c r="AC220" s="133"/>
      <c r="AD220" s="133"/>
      <c r="AE220" s="133"/>
      <c r="AF220" s="133"/>
      <c r="AG220" s="133"/>
      <c r="AH220" s="133"/>
      <c r="AI220" s="133"/>
      <c r="AJ220" s="133"/>
      <c r="AK220" s="133"/>
      <c r="AL220" s="133"/>
      <c r="AM220" s="133"/>
      <c r="AN220" s="133"/>
      <c r="AO220" s="133"/>
      <c r="AP220" s="133"/>
      <c r="AQ220" s="133"/>
      <c r="AR220" s="133"/>
      <c r="AS220" s="133"/>
      <c r="AT220" s="133"/>
      <c r="AU220" s="133"/>
      <c r="AV220" s="133"/>
      <c r="AW220" s="133"/>
      <c r="AX220" s="133"/>
      <c r="AY220" s="133"/>
      <c r="AZ220" s="133"/>
      <c r="BA220" s="133"/>
      <c r="BB220" s="133"/>
    </row>
    <row r="221" customFormat="false" ht="15" hidden="false" customHeight="false" outlineLevel="0" collapsed="false">
      <c r="B221" s="75"/>
      <c r="C221" s="128"/>
      <c r="D221" s="128"/>
      <c r="E221" s="128"/>
      <c r="F221" s="128"/>
      <c r="G221" s="129"/>
      <c r="H221" s="128"/>
      <c r="I221" s="128"/>
      <c r="J221" s="128"/>
      <c r="K221" s="128"/>
      <c r="L221" s="78" t="n">
        <f aca="false">SUM($S221:$BB221)</f>
        <v>0</v>
      </c>
      <c r="M221" s="128"/>
      <c r="N221" s="130" t="str">
        <f aca="false">IF(ISERROR(VLOOKUP(P221,Member_Tab,2,FALSE())),"",VLOOKUP(P221,Member_Tab,2,FALSE()))</f>
        <v/>
      </c>
      <c r="O221" s="130" t="str">
        <f aca="false">IF(ISERROR(VLOOKUP(P221,Member_Tab,3,FALSE())),"",VLOOKUP(P221,Member_Tab,3,FALSE()))</f>
        <v/>
      </c>
      <c r="P221" s="75"/>
      <c r="Q221" s="128"/>
      <c r="R221" s="131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  <c r="AC221" s="133"/>
      <c r="AD221" s="133"/>
      <c r="AE221" s="133"/>
      <c r="AF221" s="133"/>
      <c r="AG221" s="133"/>
      <c r="AH221" s="133"/>
      <c r="AI221" s="133"/>
      <c r="AJ221" s="133"/>
      <c r="AK221" s="133"/>
      <c r="AL221" s="133"/>
      <c r="AM221" s="133"/>
      <c r="AN221" s="133"/>
      <c r="AO221" s="133"/>
      <c r="AP221" s="133"/>
      <c r="AQ221" s="133"/>
      <c r="AR221" s="133"/>
      <c r="AS221" s="133"/>
      <c r="AT221" s="133"/>
      <c r="AU221" s="133"/>
      <c r="AV221" s="133"/>
      <c r="AW221" s="133"/>
      <c r="AX221" s="133"/>
      <c r="AY221" s="133"/>
      <c r="AZ221" s="133"/>
      <c r="BA221" s="133"/>
      <c r="BB221" s="133"/>
    </row>
    <row r="222" customFormat="false" ht="15" hidden="false" customHeight="false" outlineLevel="0" collapsed="false">
      <c r="B222" s="75"/>
      <c r="C222" s="128"/>
      <c r="D222" s="128"/>
      <c r="E222" s="128"/>
      <c r="F222" s="128"/>
      <c r="G222" s="129"/>
      <c r="H222" s="128"/>
      <c r="I222" s="128"/>
      <c r="J222" s="128"/>
      <c r="K222" s="128"/>
      <c r="L222" s="78" t="n">
        <f aca="false">SUM($S222:$BB222)</f>
        <v>0</v>
      </c>
      <c r="M222" s="128"/>
      <c r="N222" s="130" t="str">
        <f aca="false">IF(ISERROR(VLOOKUP(P222,Member_Tab,2,FALSE())),"",VLOOKUP(P222,Member_Tab,2,FALSE()))</f>
        <v/>
      </c>
      <c r="O222" s="130" t="str">
        <f aca="false">IF(ISERROR(VLOOKUP(P222,Member_Tab,3,FALSE())),"",VLOOKUP(P222,Member_Tab,3,FALSE()))</f>
        <v/>
      </c>
      <c r="P222" s="75"/>
      <c r="Q222" s="128"/>
      <c r="R222" s="131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  <c r="AC222" s="133"/>
      <c r="AD222" s="133"/>
      <c r="AE222" s="133"/>
      <c r="AF222" s="133"/>
      <c r="AG222" s="133"/>
      <c r="AH222" s="133"/>
      <c r="AI222" s="133"/>
      <c r="AJ222" s="133"/>
      <c r="AK222" s="133"/>
      <c r="AL222" s="133"/>
      <c r="AM222" s="133"/>
      <c r="AN222" s="133"/>
      <c r="AO222" s="133"/>
      <c r="AP222" s="133"/>
      <c r="AQ222" s="133"/>
      <c r="AR222" s="133"/>
      <c r="AS222" s="133"/>
      <c r="AT222" s="133"/>
      <c r="AU222" s="133"/>
      <c r="AV222" s="133"/>
      <c r="AW222" s="133"/>
      <c r="AX222" s="133"/>
      <c r="AY222" s="133"/>
      <c r="AZ222" s="133"/>
      <c r="BA222" s="133"/>
      <c r="BB222" s="133"/>
    </row>
    <row r="223" customFormat="false" ht="15" hidden="false" customHeight="false" outlineLevel="0" collapsed="false">
      <c r="B223" s="75"/>
      <c r="C223" s="128"/>
      <c r="D223" s="128"/>
      <c r="E223" s="128"/>
      <c r="F223" s="128"/>
      <c r="G223" s="129"/>
      <c r="H223" s="128"/>
      <c r="I223" s="128"/>
      <c r="J223" s="128"/>
      <c r="K223" s="128"/>
      <c r="L223" s="78" t="n">
        <f aca="false">SUM($S223:$BB223)</f>
        <v>0</v>
      </c>
      <c r="M223" s="128"/>
      <c r="N223" s="130" t="str">
        <f aca="false">IF(ISERROR(VLOOKUP(P223,Member_Tab,2,FALSE())),"",VLOOKUP(P223,Member_Tab,2,FALSE()))</f>
        <v/>
      </c>
      <c r="O223" s="130" t="str">
        <f aca="false">IF(ISERROR(VLOOKUP(P223,Member_Tab,3,FALSE())),"",VLOOKUP(P223,Member_Tab,3,FALSE()))</f>
        <v/>
      </c>
      <c r="P223" s="75"/>
      <c r="Q223" s="128"/>
      <c r="R223" s="131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  <c r="AC223" s="133"/>
      <c r="AD223" s="133"/>
      <c r="AE223" s="133"/>
      <c r="AF223" s="133"/>
      <c r="AG223" s="133"/>
      <c r="AH223" s="133"/>
      <c r="AI223" s="133"/>
      <c r="AJ223" s="133"/>
      <c r="AK223" s="133"/>
      <c r="AL223" s="133"/>
      <c r="AM223" s="133"/>
      <c r="AN223" s="133"/>
      <c r="AO223" s="133"/>
      <c r="AP223" s="133"/>
      <c r="AQ223" s="133"/>
      <c r="AR223" s="133"/>
      <c r="AS223" s="133"/>
      <c r="AT223" s="133"/>
      <c r="AU223" s="133"/>
      <c r="AV223" s="133"/>
      <c r="AW223" s="133"/>
      <c r="AX223" s="133"/>
      <c r="AY223" s="133"/>
      <c r="AZ223" s="133"/>
      <c r="BA223" s="133"/>
      <c r="BB223" s="133"/>
    </row>
    <row r="224" customFormat="false" ht="15" hidden="false" customHeight="false" outlineLevel="0" collapsed="false">
      <c r="B224" s="75"/>
      <c r="C224" s="128"/>
      <c r="D224" s="128"/>
      <c r="E224" s="128"/>
      <c r="F224" s="128"/>
      <c r="G224" s="129"/>
      <c r="H224" s="128"/>
      <c r="I224" s="128"/>
      <c r="J224" s="128"/>
      <c r="K224" s="128"/>
      <c r="L224" s="78" t="n">
        <f aca="false">SUM($S224:$BB224)</f>
        <v>0</v>
      </c>
      <c r="M224" s="128"/>
      <c r="N224" s="130" t="str">
        <f aca="false">IF(ISERROR(VLOOKUP(P224,Member_Tab,2,FALSE())),"",VLOOKUP(P224,Member_Tab,2,FALSE()))</f>
        <v/>
      </c>
      <c r="O224" s="130" t="str">
        <f aca="false">IF(ISERROR(VLOOKUP(P224,Member_Tab,3,FALSE())),"",VLOOKUP(P224,Member_Tab,3,FALSE()))</f>
        <v/>
      </c>
      <c r="P224" s="75"/>
      <c r="Q224" s="128"/>
      <c r="R224" s="131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  <c r="AC224" s="133"/>
      <c r="AD224" s="133"/>
      <c r="AE224" s="133"/>
      <c r="AF224" s="133"/>
      <c r="AG224" s="133"/>
      <c r="AH224" s="133"/>
      <c r="AI224" s="133"/>
      <c r="AJ224" s="133"/>
      <c r="AK224" s="133"/>
      <c r="AL224" s="133"/>
      <c r="AM224" s="133"/>
      <c r="AN224" s="133"/>
      <c r="AO224" s="133"/>
      <c r="AP224" s="133"/>
      <c r="AQ224" s="133"/>
      <c r="AR224" s="133"/>
      <c r="AS224" s="133"/>
      <c r="AT224" s="133"/>
      <c r="AU224" s="133"/>
      <c r="AV224" s="133"/>
      <c r="AW224" s="133"/>
      <c r="AX224" s="133"/>
      <c r="AY224" s="133"/>
      <c r="AZ224" s="133"/>
      <c r="BA224" s="133"/>
      <c r="BB224" s="133"/>
    </row>
    <row r="225" customFormat="false" ht="15" hidden="false" customHeight="false" outlineLevel="0" collapsed="false">
      <c r="B225" s="75"/>
      <c r="C225" s="128"/>
      <c r="D225" s="128"/>
      <c r="E225" s="128"/>
      <c r="F225" s="128"/>
      <c r="G225" s="129"/>
      <c r="H225" s="128"/>
      <c r="I225" s="128"/>
      <c r="J225" s="128"/>
      <c r="K225" s="128"/>
      <c r="L225" s="78" t="n">
        <f aca="false">SUM($S225:$BB225)</f>
        <v>0</v>
      </c>
      <c r="M225" s="128"/>
      <c r="N225" s="130" t="str">
        <f aca="false">IF(ISERROR(VLOOKUP(P225,Member_Tab,2,FALSE())),"",VLOOKUP(P225,Member_Tab,2,FALSE()))</f>
        <v/>
      </c>
      <c r="O225" s="130" t="str">
        <f aca="false">IF(ISERROR(VLOOKUP(P225,Member_Tab,3,FALSE())),"",VLOOKUP(P225,Member_Tab,3,FALSE()))</f>
        <v/>
      </c>
      <c r="P225" s="75"/>
      <c r="Q225" s="128"/>
      <c r="R225" s="131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  <c r="AC225" s="133"/>
      <c r="AD225" s="133"/>
      <c r="AE225" s="133"/>
      <c r="AF225" s="133"/>
      <c r="AG225" s="133"/>
      <c r="AH225" s="133"/>
      <c r="AI225" s="133"/>
      <c r="AJ225" s="133"/>
      <c r="AK225" s="133"/>
      <c r="AL225" s="133"/>
      <c r="AM225" s="133"/>
      <c r="AN225" s="133"/>
      <c r="AO225" s="133"/>
      <c r="AP225" s="133"/>
      <c r="AQ225" s="133"/>
      <c r="AR225" s="133"/>
      <c r="AS225" s="133"/>
      <c r="AT225" s="133"/>
      <c r="AU225" s="133"/>
      <c r="AV225" s="133"/>
      <c r="AW225" s="133"/>
      <c r="AX225" s="133"/>
      <c r="AY225" s="133"/>
      <c r="AZ225" s="133"/>
      <c r="BA225" s="133"/>
      <c r="BB225" s="133"/>
    </row>
    <row r="226" customFormat="false" ht="15" hidden="false" customHeight="false" outlineLevel="0" collapsed="false">
      <c r="B226" s="75"/>
      <c r="C226" s="128"/>
      <c r="D226" s="128"/>
      <c r="E226" s="128"/>
      <c r="F226" s="128"/>
      <c r="G226" s="129"/>
      <c r="H226" s="128"/>
      <c r="I226" s="128"/>
      <c r="J226" s="128"/>
      <c r="K226" s="128"/>
      <c r="L226" s="78" t="n">
        <f aca="false">SUM($S226:$BB226)</f>
        <v>0</v>
      </c>
      <c r="M226" s="128"/>
      <c r="N226" s="130" t="str">
        <f aca="false">IF(ISERROR(VLOOKUP(P226,Member_Tab,2,FALSE())),"",VLOOKUP(P226,Member_Tab,2,FALSE()))</f>
        <v/>
      </c>
      <c r="O226" s="130" t="str">
        <f aca="false">IF(ISERROR(VLOOKUP(P226,Member_Tab,3,FALSE())),"",VLOOKUP(P226,Member_Tab,3,FALSE()))</f>
        <v/>
      </c>
      <c r="P226" s="75"/>
      <c r="Q226" s="128"/>
      <c r="R226" s="131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3"/>
      <c r="AL226" s="133"/>
      <c r="AM226" s="133"/>
      <c r="AN226" s="133"/>
      <c r="AO226" s="133"/>
      <c r="AP226" s="133"/>
      <c r="AQ226" s="133"/>
      <c r="AR226" s="133"/>
      <c r="AS226" s="133"/>
      <c r="AT226" s="133"/>
      <c r="AU226" s="133"/>
      <c r="AV226" s="133"/>
      <c r="AW226" s="133"/>
      <c r="AX226" s="133"/>
      <c r="AY226" s="133"/>
      <c r="AZ226" s="133"/>
      <c r="BA226" s="133"/>
      <c r="BB226" s="133"/>
    </row>
    <row r="227" customFormat="false" ht="15" hidden="false" customHeight="false" outlineLevel="0" collapsed="false">
      <c r="B227" s="75"/>
      <c r="C227" s="128"/>
      <c r="D227" s="128"/>
      <c r="E227" s="128"/>
      <c r="F227" s="128"/>
      <c r="G227" s="129"/>
      <c r="H227" s="128"/>
      <c r="I227" s="128"/>
      <c r="J227" s="128"/>
      <c r="K227" s="128"/>
      <c r="L227" s="78" t="n">
        <f aca="false">SUM($S227:$BB227)</f>
        <v>0</v>
      </c>
      <c r="M227" s="128"/>
      <c r="N227" s="130" t="str">
        <f aca="false">IF(ISERROR(VLOOKUP(P227,Member_Tab,2,FALSE())),"",VLOOKUP(P227,Member_Tab,2,FALSE()))</f>
        <v/>
      </c>
      <c r="O227" s="130" t="str">
        <f aca="false">IF(ISERROR(VLOOKUP(P227,Member_Tab,3,FALSE())),"",VLOOKUP(P227,Member_Tab,3,FALSE()))</f>
        <v/>
      </c>
      <c r="P227" s="75"/>
      <c r="Q227" s="128"/>
      <c r="R227" s="131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3"/>
      <c r="AT227" s="133"/>
      <c r="AU227" s="133"/>
      <c r="AV227" s="133"/>
      <c r="AW227" s="133"/>
      <c r="AX227" s="133"/>
      <c r="AY227" s="133"/>
      <c r="AZ227" s="133"/>
      <c r="BA227" s="133"/>
      <c r="BB227" s="133"/>
    </row>
    <row r="228" customFormat="false" ht="15" hidden="false" customHeight="false" outlineLevel="0" collapsed="false">
      <c r="B228" s="75"/>
      <c r="C228" s="128"/>
      <c r="D228" s="128"/>
      <c r="E228" s="128"/>
      <c r="F228" s="128"/>
      <c r="G228" s="129"/>
      <c r="H228" s="128"/>
      <c r="I228" s="128"/>
      <c r="J228" s="128"/>
      <c r="K228" s="128"/>
      <c r="L228" s="78" t="n">
        <f aca="false">SUM($S228:$BB228)</f>
        <v>0</v>
      </c>
      <c r="M228" s="128"/>
      <c r="N228" s="130" t="str">
        <f aca="false">IF(ISERROR(VLOOKUP(P228,Member_Tab,2,FALSE())),"",VLOOKUP(P228,Member_Tab,2,FALSE()))</f>
        <v/>
      </c>
      <c r="O228" s="130" t="str">
        <f aca="false">IF(ISERROR(VLOOKUP(P228,Member_Tab,3,FALSE())),"",VLOOKUP(P228,Member_Tab,3,FALSE()))</f>
        <v/>
      </c>
      <c r="P228" s="75"/>
      <c r="Q228" s="128"/>
      <c r="R228" s="131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3"/>
      <c r="AL228" s="133"/>
      <c r="AM228" s="133"/>
      <c r="AN228" s="133"/>
      <c r="AO228" s="133"/>
      <c r="AP228" s="133"/>
      <c r="AQ228" s="133"/>
      <c r="AR228" s="133"/>
      <c r="AS228" s="133"/>
      <c r="AT228" s="133"/>
      <c r="AU228" s="133"/>
      <c r="AV228" s="133"/>
      <c r="AW228" s="133"/>
      <c r="AX228" s="133"/>
      <c r="AY228" s="133"/>
      <c r="AZ228" s="133"/>
      <c r="BA228" s="133"/>
      <c r="BB228" s="133"/>
    </row>
    <row r="229" customFormat="false" ht="15" hidden="false" customHeight="false" outlineLevel="0" collapsed="false">
      <c r="B229" s="75"/>
      <c r="C229" s="128"/>
      <c r="D229" s="128"/>
      <c r="E229" s="128"/>
      <c r="F229" s="128"/>
      <c r="G229" s="129"/>
      <c r="H229" s="128"/>
      <c r="I229" s="128"/>
      <c r="J229" s="128"/>
      <c r="K229" s="128"/>
      <c r="L229" s="78" t="n">
        <f aca="false">SUM($S229:$BB229)</f>
        <v>0</v>
      </c>
      <c r="M229" s="128"/>
      <c r="N229" s="130" t="str">
        <f aca="false">IF(ISERROR(VLOOKUP(P229,Member_Tab,2,FALSE())),"",VLOOKUP(P229,Member_Tab,2,FALSE()))</f>
        <v/>
      </c>
      <c r="O229" s="130" t="str">
        <f aca="false">IF(ISERROR(VLOOKUP(P229,Member_Tab,3,FALSE())),"",VLOOKUP(P229,Member_Tab,3,FALSE()))</f>
        <v/>
      </c>
      <c r="P229" s="75"/>
      <c r="Q229" s="128"/>
      <c r="R229" s="131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3"/>
      <c r="AT229" s="133"/>
      <c r="AU229" s="133"/>
      <c r="AV229" s="133"/>
      <c r="AW229" s="133"/>
      <c r="AX229" s="133"/>
      <c r="AY229" s="133"/>
      <c r="AZ229" s="133"/>
      <c r="BA229" s="133"/>
      <c r="BB229" s="133"/>
    </row>
    <row r="230" customFormat="false" ht="15" hidden="false" customHeight="false" outlineLevel="0" collapsed="false">
      <c r="B230" s="75"/>
      <c r="C230" s="128"/>
      <c r="D230" s="128"/>
      <c r="E230" s="128"/>
      <c r="F230" s="128"/>
      <c r="G230" s="129"/>
      <c r="H230" s="128"/>
      <c r="I230" s="128"/>
      <c r="J230" s="128"/>
      <c r="K230" s="128"/>
      <c r="L230" s="78" t="n">
        <f aca="false">SUM($S230:$BB230)</f>
        <v>0</v>
      </c>
      <c r="M230" s="128"/>
      <c r="N230" s="130" t="str">
        <f aca="false">IF(ISERROR(VLOOKUP(P230,Member_Tab,2,FALSE())),"",VLOOKUP(P230,Member_Tab,2,FALSE()))</f>
        <v/>
      </c>
      <c r="O230" s="130" t="str">
        <f aca="false">IF(ISERROR(VLOOKUP(P230,Member_Tab,3,FALSE())),"",VLOOKUP(P230,Member_Tab,3,FALSE()))</f>
        <v/>
      </c>
      <c r="P230" s="75"/>
      <c r="Q230" s="128"/>
      <c r="R230" s="131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33"/>
      <c r="AV230" s="133"/>
      <c r="AW230" s="133"/>
      <c r="AX230" s="133"/>
      <c r="AY230" s="133"/>
      <c r="AZ230" s="133"/>
      <c r="BA230" s="133"/>
      <c r="BB230" s="133"/>
    </row>
    <row r="231" customFormat="false" ht="15" hidden="false" customHeight="false" outlineLevel="0" collapsed="false">
      <c r="B231" s="75"/>
      <c r="C231" s="128"/>
      <c r="D231" s="128"/>
      <c r="E231" s="128"/>
      <c r="F231" s="128"/>
      <c r="G231" s="129"/>
      <c r="H231" s="128"/>
      <c r="I231" s="128"/>
      <c r="J231" s="128"/>
      <c r="K231" s="128"/>
      <c r="L231" s="78" t="n">
        <f aca="false">SUM($S231:$BB231)</f>
        <v>0</v>
      </c>
      <c r="M231" s="128"/>
      <c r="N231" s="130" t="str">
        <f aca="false">IF(ISERROR(VLOOKUP(P231,Member_Tab,2,FALSE())),"",VLOOKUP(P231,Member_Tab,2,FALSE()))</f>
        <v/>
      </c>
      <c r="O231" s="130" t="str">
        <f aca="false">IF(ISERROR(VLOOKUP(P231,Member_Tab,3,FALSE())),"",VLOOKUP(P231,Member_Tab,3,FALSE()))</f>
        <v/>
      </c>
      <c r="P231" s="75"/>
      <c r="Q231" s="128"/>
      <c r="R231" s="131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3"/>
      <c r="AT231" s="133"/>
      <c r="AU231" s="133"/>
      <c r="AV231" s="133"/>
      <c r="AW231" s="133"/>
      <c r="AX231" s="133"/>
      <c r="AY231" s="133"/>
      <c r="AZ231" s="133"/>
      <c r="BA231" s="133"/>
      <c r="BB231" s="133"/>
    </row>
    <row r="232" customFormat="false" ht="15" hidden="false" customHeight="false" outlineLevel="0" collapsed="false">
      <c r="B232" s="75"/>
      <c r="C232" s="128"/>
      <c r="D232" s="128"/>
      <c r="E232" s="128"/>
      <c r="F232" s="128"/>
      <c r="G232" s="129"/>
      <c r="H232" s="128"/>
      <c r="I232" s="128"/>
      <c r="J232" s="128"/>
      <c r="K232" s="128"/>
      <c r="L232" s="78" t="n">
        <f aca="false">SUM($S232:$BB232)</f>
        <v>0</v>
      </c>
      <c r="M232" s="128"/>
      <c r="N232" s="130" t="str">
        <f aca="false">IF(ISERROR(VLOOKUP(P232,Member_Tab,2,FALSE())),"",VLOOKUP(P232,Member_Tab,2,FALSE()))</f>
        <v/>
      </c>
      <c r="O232" s="130" t="str">
        <f aca="false">IF(ISERROR(VLOOKUP(P232,Member_Tab,3,FALSE())),"",VLOOKUP(P232,Member_Tab,3,FALSE()))</f>
        <v/>
      </c>
      <c r="P232" s="75"/>
      <c r="Q232" s="128"/>
      <c r="R232" s="131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3"/>
      <c r="AT232" s="133"/>
      <c r="AU232" s="133"/>
      <c r="AV232" s="133"/>
      <c r="AW232" s="133"/>
      <c r="AX232" s="133"/>
      <c r="AY232" s="133"/>
      <c r="AZ232" s="133"/>
      <c r="BA232" s="133"/>
      <c r="BB232" s="133"/>
    </row>
    <row r="233" customFormat="false" ht="15" hidden="false" customHeight="false" outlineLevel="0" collapsed="false">
      <c r="B233" s="75"/>
      <c r="C233" s="128"/>
      <c r="D233" s="128"/>
      <c r="E233" s="128"/>
      <c r="F233" s="128"/>
      <c r="G233" s="129"/>
      <c r="H233" s="128"/>
      <c r="I233" s="128"/>
      <c r="J233" s="128"/>
      <c r="K233" s="128"/>
      <c r="L233" s="78" t="n">
        <f aca="false">SUM($S233:$BB233)</f>
        <v>0</v>
      </c>
      <c r="M233" s="128"/>
      <c r="N233" s="130" t="str">
        <f aca="false">IF(ISERROR(VLOOKUP(P233,Member_Tab,2,FALSE())),"",VLOOKUP(P233,Member_Tab,2,FALSE()))</f>
        <v/>
      </c>
      <c r="O233" s="130" t="str">
        <f aca="false">IF(ISERROR(VLOOKUP(P233,Member_Tab,3,FALSE())),"",VLOOKUP(P233,Member_Tab,3,FALSE()))</f>
        <v/>
      </c>
      <c r="P233" s="75"/>
      <c r="Q233" s="128"/>
      <c r="R233" s="131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3"/>
      <c r="AD233" s="133"/>
      <c r="AE233" s="133"/>
      <c r="AF233" s="133"/>
      <c r="AG233" s="133"/>
      <c r="AH233" s="133"/>
      <c r="AI233" s="133"/>
      <c r="AJ233" s="133"/>
      <c r="AK233" s="133"/>
      <c r="AL233" s="133"/>
      <c r="AM233" s="133"/>
      <c r="AN233" s="133"/>
      <c r="AO233" s="133"/>
      <c r="AP233" s="133"/>
      <c r="AQ233" s="133"/>
      <c r="AR233" s="133"/>
      <c r="AS233" s="133"/>
      <c r="AT233" s="133"/>
      <c r="AU233" s="133"/>
      <c r="AV233" s="133"/>
      <c r="AW233" s="133"/>
      <c r="AX233" s="133"/>
      <c r="AY233" s="133"/>
      <c r="AZ233" s="133"/>
      <c r="BA233" s="133"/>
      <c r="BB233" s="133"/>
    </row>
    <row r="234" customFormat="false" ht="15" hidden="false" customHeight="false" outlineLevel="0" collapsed="false">
      <c r="B234" s="75"/>
      <c r="C234" s="128"/>
      <c r="D234" s="128"/>
      <c r="E234" s="128"/>
      <c r="F234" s="128"/>
      <c r="G234" s="129"/>
      <c r="H234" s="128"/>
      <c r="I234" s="128"/>
      <c r="J234" s="128"/>
      <c r="K234" s="128"/>
      <c r="L234" s="78" t="n">
        <f aca="false">SUM($S234:$BB234)</f>
        <v>0</v>
      </c>
      <c r="M234" s="128"/>
      <c r="N234" s="130" t="str">
        <f aca="false">IF(ISERROR(VLOOKUP(P234,Member_Tab,2,FALSE())),"",VLOOKUP(P234,Member_Tab,2,FALSE()))</f>
        <v/>
      </c>
      <c r="O234" s="130" t="str">
        <f aca="false">IF(ISERROR(VLOOKUP(P234,Member_Tab,3,FALSE())),"",VLOOKUP(P234,Member_Tab,3,FALSE()))</f>
        <v/>
      </c>
      <c r="P234" s="75"/>
      <c r="Q234" s="128"/>
      <c r="R234" s="131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  <c r="AC234" s="133"/>
      <c r="AD234" s="133"/>
      <c r="AE234" s="133"/>
      <c r="AF234" s="133"/>
      <c r="AG234" s="133"/>
      <c r="AH234" s="133"/>
      <c r="AI234" s="133"/>
      <c r="AJ234" s="133"/>
      <c r="AK234" s="133"/>
      <c r="AL234" s="133"/>
      <c r="AM234" s="133"/>
      <c r="AN234" s="133"/>
      <c r="AO234" s="133"/>
      <c r="AP234" s="133"/>
      <c r="AQ234" s="133"/>
      <c r="AR234" s="133"/>
      <c r="AS234" s="133"/>
      <c r="AT234" s="133"/>
      <c r="AU234" s="133"/>
      <c r="AV234" s="133"/>
      <c r="AW234" s="133"/>
      <c r="AX234" s="133"/>
      <c r="AY234" s="133"/>
      <c r="AZ234" s="133"/>
      <c r="BA234" s="133"/>
      <c r="BB234" s="133"/>
    </row>
    <row r="235" customFormat="false" ht="15" hidden="false" customHeight="false" outlineLevel="0" collapsed="false">
      <c r="B235" s="75"/>
      <c r="C235" s="128"/>
      <c r="D235" s="128"/>
      <c r="E235" s="128"/>
      <c r="F235" s="128"/>
      <c r="G235" s="129"/>
      <c r="H235" s="128"/>
      <c r="I235" s="128"/>
      <c r="J235" s="128"/>
      <c r="K235" s="128"/>
      <c r="L235" s="78" t="n">
        <f aca="false">SUM($S235:$BB235)</f>
        <v>0</v>
      </c>
      <c r="M235" s="128"/>
      <c r="N235" s="130" t="str">
        <f aca="false">IF(ISERROR(VLOOKUP(P235,Member_Tab,2,FALSE())),"",VLOOKUP(P235,Member_Tab,2,FALSE()))</f>
        <v/>
      </c>
      <c r="O235" s="130" t="str">
        <f aca="false">IF(ISERROR(VLOOKUP(P235,Member_Tab,3,FALSE())),"",VLOOKUP(P235,Member_Tab,3,FALSE()))</f>
        <v/>
      </c>
      <c r="P235" s="75"/>
      <c r="Q235" s="128"/>
      <c r="R235" s="131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  <c r="AC235" s="133"/>
      <c r="AD235" s="133"/>
      <c r="AE235" s="133"/>
      <c r="AF235" s="133"/>
      <c r="AG235" s="133"/>
      <c r="AH235" s="133"/>
      <c r="AI235" s="133"/>
      <c r="AJ235" s="133"/>
      <c r="AK235" s="133"/>
      <c r="AL235" s="133"/>
      <c r="AM235" s="133"/>
      <c r="AN235" s="133"/>
      <c r="AO235" s="133"/>
      <c r="AP235" s="133"/>
      <c r="AQ235" s="133"/>
      <c r="AR235" s="133"/>
      <c r="AS235" s="133"/>
      <c r="AT235" s="133"/>
      <c r="AU235" s="133"/>
      <c r="AV235" s="133"/>
      <c r="AW235" s="133"/>
      <c r="AX235" s="133"/>
      <c r="AY235" s="133"/>
      <c r="AZ235" s="133"/>
      <c r="BA235" s="133"/>
      <c r="BB235" s="133"/>
    </row>
    <row r="236" customFormat="false" ht="15" hidden="false" customHeight="false" outlineLevel="0" collapsed="false">
      <c r="B236" s="75"/>
      <c r="C236" s="128"/>
      <c r="D236" s="128"/>
      <c r="E236" s="128"/>
      <c r="F236" s="128"/>
      <c r="G236" s="129"/>
      <c r="H236" s="128"/>
      <c r="I236" s="128"/>
      <c r="J236" s="128"/>
      <c r="K236" s="128"/>
      <c r="L236" s="78" t="n">
        <f aca="false">SUM($S236:$BB236)</f>
        <v>0</v>
      </c>
      <c r="M236" s="128"/>
      <c r="N236" s="130" t="str">
        <f aca="false">IF(ISERROR(VLOOKUP(P236,Member_Tab,2,FALSE())),"",VLOOKUP(P236,Member_Tab,2,FALSE()))</f>
        <v/>
      </c>
      <c r="O236" s="130" t="str">
        <f aca="false">IF(ISERROR(VLOOKUP(P236,Member_Tab,3,FALSE())),"",VLOOKUP(P236,Member_Tab,3,FALSE()))</f>
        <v/>
      </c>
      <c r="P236" s="75"/>
      <c r="Q236" s="128"/>
      <c r="R236" s="131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3"/>
      <c r="AD236" s="133"/>
      <c r="AE236" s="133"/>
      <c r="AF236" s="133"/>
      <c r="AG236" s="133"/>
      <c r="AH236" s="133"/>
      <c r="AI236" s="133"/>
      <c r="AJ236" s="133"/>
      <c r="AK236" s="133"/>
      <c r="AL236" s="133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</row>
    <row r="237" customFormat="false" ht="15" hidden="false" customHeight="false" outlineLevel="0" collapsed="false">
      <c r="B237" s="75"/>
      <c r="C237" s="128"/>
      <c r="D237" s="128"/>
      <c r="E237" s="128"/>
      <c r="F237" s="128"/>
      <c r="G237" s="129"/>
      <c r="H237" s="128"/>
      <c r="I237" s="128"/>
      <c r="J237" s="128"/>
      <c r="K237" s="128"/>
      <c r="L237" s="78" t="n">
        <f aca="false">SUM($S237:$BB237)</f>
        <v>0</v>
      </c>
      <c r="M237" s="128"/>
      <c r="N237" s="130" t="str">
        <f aca="false">IF(ISERROR(VLOOKUP(P237,Member_Tab,2,FALSE())),"",VLOOKUP(P237,Member_Tab,2,FALSE()))</f>
        <v/>
      </c>
      <c r="O237" s="130" t="str">
        <f aca="false">IF(ISERROR(VLOOKUP(P237,Member_Tab,3,FALSE())),"",VLOOKUP(P237,Member_Tab,3,FALSE()))</f>
        <v/>
      </c>
      <c r="P237" s="75"/>
      <c r="Q237" s="128"/>
      <c r="R237" s="131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  <c r="AC237" s="133"/>
      <c r="AD237" s="133"/>
      <c r="AE237" s="133"/>
      <c r="AF237" s="133"/>
      <c r="AG237" s="133"/>
      <c r="AH237" s="133"/>
      <c r="AI237" s="133"/>
      <c r="AJ237" s="133"/>
      <c r="AK237" s="133"/>
      <c r="AL237" s="133"/>
      <c r="AM237" s="133"/>
      <c r="AN237" s="133"/>
      <c r="AO237" s="133"/>
      <c r="AP237" s="133"/>
      <c r="AQ237" s="133"/>
      <c r="AR237" s="133"/>
      <c r="AS237" s="133"/>
      <c r="AT237" s="133"/>
      <c r="AU237" s="133"/>
      <c r="AV237" s="133"/>
      <c r="AW237" s="133"/>
      <c r="AX237" s="133"/>
      <c r="AY237" s="133"/>
      <c r="AZ237" s="133"/>
      <c r="BA237" s="133"/>
      <c r="BB237" s="133"/>
    </row>
    <row r="238" customFormat="false" ht="15" hidden="false" customHeight="false" outlineLevel="0" collapsed="false">
      <c r="B238" s="75"/>
      <c r="C238" s="128"/>
      <c r="D238" s="128"/>
      <c r="E238" s="128"/>
      <c r="F238" s="128"/>
      <c r="G238" s="129"/>
      <c r="H238" s="128"/>
      <c r="I238" s="128"/>
      <c r="J238" s="128"/>
      <c r="K238" s="128"/>
      <c r="L238" s="78" t="n">
        <f aca="false">SUM($S238:$BB238)</f>
        <v>0</v>
      </c>
      <c r="M238" s="128"/>
      <c r="N238" s="130" t="str">
        <f aca="false">IF(ISERROR(VLOOKUP(P238,Member_Tab,2,FALSE())),"",VLOOKUP(P238,Member_Tab,2,FALSE()))</f>
        <v/>
      </c>
      <c r="O238" s="130" t="str">
        <f aca="false">IF(ISERROR(VLOOKUP(P238,Member_Tab,3,FALSE())),"",VLOOKUP(P238,Member_Tab,3,FALSE()))</f>
        <v/>
      </c>
      <c r="P238" s="75"/>
      <c r="Q238" s="128"/>
      <c r="R238" s="131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  <c r="AJ238" s="133"/>
      <c r="AK238" s="133"/>
      <c r="AL238" s="133"/>
      <c r="AM238" s="133"/>
      <c r="AN238" s="133"/>
      <c r="AO238" s="133"/>
      <c r="AP238" s="133"/>
      <c r="AQ238" s="133"/>
      <c r="AR238" s="133"/>
      <c r="AS238" s="133"/>
      <c r="AT238" s="133"/>
      <c r="AU238" s="133"/>
      <c r="AV238" s="133"/>
      <c r="AW238" s="133"/>
      <c r="AX238" s="133"/>
      <c r="AY238" s="133"/>
      <c r="AZ238" s="133"/>
      <c r="BA238" s="133"/>
      <c r="BB238" s="133"/>
    </row>
    <row r="239" customFormat="false" ht="15" hidden="false" customHeight="false" outlineLevel="0" collapsed="false">
      <c r="B239" s="75"/>
      <c r="C239" s="128"/>
      <c r="D239" s="128"/>
      <c r="E239" s="128"/>
      <c r="F239" s="128"/>
      <c r="G239" s="129"/>
      <c r="H239" s="128"/>
      <c r="I239" s="128"/>
      <c r="J239" s="128"/>
      <c r="K239" s="128"/>
      <c r="L239" s="78" t="n">
        <f aca="false">SUM($S239:$BB239)</f>
        <v>0</v>
      </c>
      <c r="M239" s="128"/>
      <c r="N239" s="130" t="str">
        <f aca="false">IF(ISERROR(VLOOKUP(P239,Member_Tab,2,FALSE())),"",VLOOKUP(P239,Member_Tab,2,FALSE()))</f>
        <v/>
      </c>
      <c r="O239" s="130" t="str">
        <f aca="false">IF(ISERROR(VLOOKUP(P239,Member_Tab,3,FALSE())),"",VLOOKUP(P239,Member_Tab,3,FALSE()))</f>
        <v/>
      </c>
      <c r="P239" s="75"/>
      <c r="Q239" s="128"/>
      <c r="R239" s="131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R239" s="133"/>
      <c r="AS239" s="133"/>
      <c r="AT239" s="133"/>
      <c r="AU239" s="133"/>
      <c r="AV239" s="133"/>
      <c r="AW239" s="133"/>
      <c r="AX239" s="133"/>
      <c r="AY239" s="133"/>
      <c r="AZ239" s="133"/>
      <c r="BA239" s="133"/>
      <c r="BB239" s="133"/>
    </row>
    <row r="240" customFormat="false" ht="15" hidden="false" customHeight="false" outlineLevel="0" collapsed="false">
      <c r="B240" s="75"/>
      <c r="C240" s="128"/>
      <c r="D240" s="128"/>
      <c r="E240" s="128"/>
      <c r="F240" s="128"/>
      <c r="G240" s="129"/>
      <c r="H240" s="128"/>
      <c r="I240" s="128"/>
      <c r="J240" s="128"/>
      <c r="K240" s="128"/>
      <c r="L240" s="78" t="n">
        <f aca="false">SUM($S240:$BB240)</f>
        <v>0</v>
      </c>
      <c r="M240" s="128"/>
      <c r="N240" s="130" t="str">
        <f aca="false">IF(ISERROR(VLOOKUP(P240,Member_Tab,2,FALSE())),"",VLOOKUP(P240,Member_Tab,2,FALSE()))</f>
        <v/>
      </c>
      <c r="O240" s="130" t="str">
        <f aca="false">IF(ISERROR(VLOOKUP(P240,Member_Tab,3,FALSE())),"",VLOOKUP(P240,Member_Tab,3,FALSE()))</f>
        <v/>
      </c>
      <c r="P240" s="75"/>
      <c r="Q240" s="128"/>
      <c r="R240" s="131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3"/>
      <c r="AT240" s="133"/>
      <c r="AU240" s="133"/>
      <c r="AV240" s="133"/>
      <c r="AW240" s="133"/>
      <c r="AX240" s="133"/>
      <c r="AY240" s="133"/>
      <c r="AZ240" s="133"/>
      <c r="BA240" s="133"/>
      <c r="BB240" s="133"/>
    </row>
    <row r="241" customFormat="false" ht="15" hidden="false" customHeight="false" outlineLevel="0" collapsed="false">
      <c r="B241" s="75"/>
      <c r="C241" s="128"/>
      <c r="D241" s="128"/>
      <c r="E241" s="128"/>
      <c r="F241" s="128"/>
      <c r="G241" s="129"/>
      <c r="H241" s="128"/>
      <c r="I241" s="128"/>
      <c r="J241" s="128"/>
      <c r="K241" s="128"/>
      <c r="L241" s="78" t="n">
        <f aca="false">SUM($S241:$BB241)</f>
        <v>0</v>
      </c>
      <c r="M241" s="128"/>
      <c r="N241" s="130" t="str">
        <f aca="false">IF(ISERROR(VLOOKUP(P241,Member_Tab,2,FALSE())),"",VLOOKUP(P241,Member_Tab,2,FALSE()))</f>
        <v/>
      </c>
      <c r="O241" s="130" t="str">
        <f aca="false">IF(ISERROR(VLOOKUP(P241,Member_Tab,3,FALSE())),"",VLOOKUP(P241,Member_Tab,3,FALSE()))</f>
        <v/>
      </c>
      <c r="P241" s="75"/>
      <c r="Q241" s="128"/>
      <c r="R241" s="131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  <c r="AP241" s="133"/>
      <c r="AQ241" s="133"/>
      <c r="AR241" s="133"/>
      <c r="AS241" s="133"/>
      <c r="AT241" s="133"/>
      <c r="AU241" s="133"/>
      <c r="AV241" s="133"/>
      <c r="AW241" s="133"/>
      <c r="AX241" s="133"/>
      <c r="AY241" s="133"/>
      <c r="AZ241" s="133"/>
      <c r="BA241" s="133"/>
      <c r="BB241" s="133"/>
    </row>
    <row r="242" customFormat="false" ht="15" hidden="false" customHeight="false" outlineLevel="0" collapsed="false">
      <c r="B242" s="75"/>
      <c r="C242" s="128"/>
      <c r="D242" s="128"/>
      <c r="E242" s="128"/>
      <c r="F242" s="128"/>
      <c r="G242" s="129"/>
      <c r="H242" s="128"/>
      <c r="I242" s="128"/>
      <c r="J242" s="128"/>
      <c r="K242" s="128"/>
      <c r="L242" s="78" t="n">
        <f aca="false">SUM($S242:$BB242)</f>
        <v>0</v>
      </c>
      <c r="M242" s="128"/>
      <c r="N242" s="130" t="str">
        <f aca="false">IF(ISERROR(VLOOKUP(P242,Member_Tab,2,FALSE())),"",VLOOKUP(P242,Member_Tab,2,FALSE()))</f>
        <v/>
      </c>
      <c r="O242" s="130" t="str">
        <f aca="false">IF(ISERROR(VLOOKUP(P242,Member_Tab,3,FALSE())),"",VLOOKUP(P242,Member_Tab,3,FALSE()))</f>
        <v/>
      </c>
      <c r="P242" s="75"/>
      <c r="Q242" s="128"/>
      <c r="R242" s="131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3"/>
      <c r="AT242" s="133"/>
      <c r="AU242" s="133"/>
      <c r="AV242" s="133"/>
      <c r="AW242" s="133"/>
      <c r="AX242" s="133"/>
      <c r="AY242" s="133"/>
      <c r="AZ242" s="133"/>
      <c r="BA242" s="133"/>
      <c r="BB242" s="133"/>
    </row>
    <row r="243" customFormat="false" ht="15" hidden="false" customHeight="false" outlineLevel="0" collapsed="false">
      <c r="B243" s="75"/>
      <c r="C243" s="128"/>
      <c r="D243" s="128"/>
      <c r="E243" s="128"/>
      <c r="F243" s="128"/>
      <c r="G243" s="129"/>
      <c r="H243" s="128"/>
      <c r="I243" s="128"/>
      <c r="J243" s="128"/>
      <c r="K243" s="128"/>
      <c r="L243" s="78" t="n">
        <f aca="false">SUM($S243:$BB243)</f>
        <v>0</v>
      </c>
      <c r="M243" s="128"/>
      <c r="N243" s="130" t="str">
        <f aca="false">IF(ISERROR(VLOOKUP(P243,Member_Tab,2,FALSE())),"",VLOOKUP(P243,Member_Tab,2,FALSE()))</f>
        <v/>
      </c>
      <c r="O243" s="130" t="str">
        <f aca="false">IF(ISERROR(VLOOKUP(P243,Member_Tab,3,FALSE())),"",VLOOKUP(P243,Member_Tab,3,FALSE()))</f>
        <v/>
      </c>
      <c r="P243" s="75"/>
      <c r="Q243" s="128"/>
      <c r="R243" s="131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3"/>
      <c r="AY243" s="133"/>
      <c r="AZ243" s="133"/>
      <c r="BA243" s="133"/>
      <c r="BB243" s="133"/>
    </row>
    <row r="244" customFormat="false" ht="15" hidden="false" customHeight="false" outlineLevel="0" collapsed="false">
      <c r="B244" s="75"/>
      <c r="C244" s="128"/>
      <c r="D244" s="128"/>
      <c r="E244" s="128"/>
      <c r="F244" s="128"/>
      <c r="G244" s="129"/>
      <c r="H244" s="128"/>
      <c r="I244" s="128"/>
      <c r="J244" s="128"/>
      <c r="K244" s="128"/>
      <c r="L244" s="78" t="n">
        <f aca="false">SUM($S244:$BB244)</f>
        <v>0</v>
      </c>
      <c r="M244" s="128"/>
      <c r="N244" s="130" t="str">
        <f aca="false">IF(ISERROR(VLOOKUP(P244,Member_Tab,2,FALSE())),"",VLOOKUP(P244,Member_Tab,2,FALSE()))</f>
        <v/>
      </c>
      <c r="O244" s="130" t="str">
        <f aca="false">IF(ISERROR(VLOOKUP(P244,Member_Tab,3,FALSE())),"",VLOOKUP(P244,Member_Tab,3,FALSE()))</f>
        <v/>
      </c>
      <c r="P244" s="75"/>
      <c r="Q244" s="128"/>
      <c r="R244" s="131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3"/>
      <c r="AY244" s="133"/>
      <c r="AZ244" s="133"/>
      <c r="BA244" s="133"/>
      <c r="BB244" s="133"/>
    </row>
    <row r="245" customFormat="false" ht="15" hidden="false" customHeight="false" outlineLevel="0" collapsed="false">
      <c r="B245" s="75"/>
      <c r="C245" s="128"/>
      <c r="D245" s="128"/>
      <c r="E245" s="128"/>
      <c r="F245" s="128"/>
      <c r="G245" s="129"/>
      <c r="H245" s="128"/>
      <c r="I245" s="128"/>
      <c r="J245" s="128"/>
      <c r="K245" s="128"/>
      <c r="L245" s="78" t="n">
        <f aca="false">SUM($S245:$BB245)</f>
        <v>0</v>
      </c>
      <c r="M245" s="128"/>
      <c r="N245" s="130" t="str">
        <f aca="false">IF(ISERROR(VLOOKUP(P245,Member_Tab,2,FALSE())),"",VLOOKUP(P245,Member_Tab,2,FALSE()))</f>
        <v/>
      </c>
      <c r="O245" s="130" t="str">
        <f aca="false">IF(ISERROR(VLOOKUP(P245,Member_Tab,3,FALSE())),"",VLOOKUP(P245,Member_Tab,3,FALSE()))</f>
        <v/>
      </c>
      <c r="P245" s="75"/>
      <c r="Q245" s="128"/>
      <c r="R245" s="131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3"/>
      <c r="AY245" s="133"/>
      <c r="AZ245" s="133"/>
      <c r="BA245" s="133"/>
      <c r="BB245" s="133"/>
    </row>
    <row r="246" customFormat="false" ht="15" hidden="false" customHeight="false" outlineLevel="0" collapsed="false">
      <c r="B246" s="75"/>
      <c r="C246" s="128"/>
      <c r="D246" s="128"/>
      <c r="E246" s="128"/>
      <c r="F246" s="128"/>
      <c r="G246" s="129"/>
      <c r="H246" s="128"/>
      <c r="I246" s="128"/>
      <c r="J246" s="128"/>
      <c r="K246" s="128"/>
      <c r="L246" s="78" t="n">
        <f aca="false">SUM($S246:$BB246)</f>
        <v>0</v>
      </c>
      <c r="M246" s="128"/>
      <c r="N246" s="130" t="str">
        <f aca="false">IF(ISERROR(VLOOKUP(P246,Member_Tab,2,FALSE())),"",VLOOKUP(P246,Member_Tab,2,FALSE()))</f>
        <v/>
      </c>
      <c r="O246" s="130" t="str">
        <f aca="false">IF(ISERROR(VLOOKUP(P246,Member_Tab,3,FALSE())),"",VLOOKUP(P246,Member_Tab,3,FALSE()))</f>
        <v/>
      </c>
      <c r="P246" s="75"/>
      <c r="Q246" s="128"/>
      <c r="R246" s="131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3"/>
      <c r="AY246" s="133"/>
      <c r="AZ246" s="133"/>
      <c r="BA246" s="133"/>
      <c r="BB246" s="133"/>
    </row>
    <row r="247" customFormat="false" ht="15" hidden="false" customHeight="false" outlineLevel="0" collapsed="false">
      <c r="B247" s="75"/>
      <c r="C247" s="128"/>
      <c r="D247" s="128"/>
      <c r="E247" s="128"/>
      <c r="F247" s="128"/>
      <c r="G247" s="129"/>
      <c r="H247" s="128"/>
      <c r="I247" s="128"/>
      <c r="J247" s="128"/>
      <c r="K247" s="128"/>
      <c r="L247" s="78" t="n">
        <f aca="false">SUM($S247:$BB247)</f>
        <v>0</v>
      </c>
      <c r="M247" s="128"/>
      <c r="N247" s="130" t="str">
        <f aca="false">IF(ISERROR(VLOOKUP(P247,Member_Tab,2,FALSE())),"",VLOOKUP(P247,Member_Tab,2,FALSE()))</f>
        <v/>
      </c>
      <c r="O247" s="130" t="str">
        <f aca="false">IF(ISERROR(VLOOKUP(P247,Member_Tab,3,FALSE())),"",VLOOKUP(P247,Member_Tab,3,FALSE()))</f>
        <v/>
      </c>
      <c r="P247" s="75"/>
      <c r="Q247" s="128"/>
      <c r="R247" s="131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3"/>
      <c r="AY247" s="133"/>
      <c r="AZ247" s="133"/>
      <c r="BA247" s="133"/>
      <c r="BB247" s="133"/>
    </row>
    <row r="248" customFormat="false" ht="15" hidden="false" customHeight="false" outlineLevel="0" collapsed="false">
      <c r="B248" s="75"/>
      <c r="C248" s="128"/>
      <c r="D248" s="128"/>
      <c r="E248" s="128"/>
      <c r="F248" s="128"/>
      <c r="G248" s="129"/>
      <c r="H248" s="128"/>
      <c r="I248" s="128"/>
      <c r="J248" s="128"/>
      <c r="K248" s="128"/>
      <c r="L248" s="78" t="n">
        <f aca="false">SUM($S248:$BB248)</f>
        <v>0</v>
      </c>
      <c r="M248" s="128"/>
      <c r="N248" s="130" t="str">
        <f aca="false">IF(ISERROR(VLOOKUP(P248,Member_Tab,2,FALSE())),"",VLOOKUP(P248,Member_Tab,2,FALSE()))</f>
        <v/>
      </c>
      <c r="O248" s="130" t="str">
        <f aca="false">IF(ISERROR(VLOOKUP(P248,Member_Tab,3,FALSE())),"",VLOOKUP(P248,Member_Tab,3,FALSE()))</f>
        <v/>
      </c>
      <c r="P248" s="75"/>
      <c r="Q248" s="128"/>
      <c r="R248" s="131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3"/>
      <c r="AY248" s="133"/>
      <c r="AZ248" s="133"/>
      <c r="BA248" s="133"/>
      <c r="BB248" s="133"/>
    </row>
    <row r="249" customFormat="false" ht="15" hidden="false" customHeight="false" outlineLevel="0" collapsed="false">
      <c r="B249" s="75"/>
      <c r="C249" s="128"/>
      <c r="D249" s="128"/>
      <c r="E249" s="128"/>
      <c r="F249" s="128"/>
      <c r="G249" s="129"/>
      <c r="H249" s="128"/>
      <c r="I249" s="128"/>
      <c r="J249" s="128"/>
      <c r="K249" s="128"/>
      <c r="L249" s="78" t="n">
        <f aca="false">SUM($S249:$BB249)</f>
        <v>0</v>
      </c>
      <c r="M249" s="128"/>
      <c r="N249" s="130" t="str">
        <f aca="false">IF(ISERROR(VLOOKUP(P249,Member_Tab,2,FALSE())),"",VLOOKUP(P249,Member_Tab,2,FALSE()))</f>
        <v/>
      </c>
      <c r="O249" s="130" t="str">
        <f aca="false">IF(ISERROR(VLOOKUP(P249,Member_Tab,3,FALSE())),"",VLOOKUP(P249,Member_Tab,3,FALSE()))</f>
        <v/>
      </c>
      <c r="P249" s="75"/>
      <c r="Q249" s="128"/>
      <c r="R249" s="131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  <c r="AC249" s="133"/>
      <c r="AD249" s="133"/>
      <c r="AE249" s="133"/>
      <c r="AF249" s="133"/>
      <c r="AG249" s="133"/>
      <c r="AH249" s="133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3"/>
      <c r="AY249" s="133"/>
      <c r="AZ249" s="133"/>
      <c r="BA249" s="133"/>
      <c r="BB249" s="133"/>
    </row>
    <row r="250" customFormat="false" ht="15" hidden="false" customHeight="false" outlineLevel="0" collapsed="false">
      <c r="B250" s="75"/>
      <c r="C250" s="128"/>
      <c r="D250" s="128"/>
      <c r="E250" s="128"/>
      <c r="F250" s="128"/>
      <c r="G250" s="129"/>
      <c r="H250" s="128"/>
      <c r="I250" s="128"/>
      <c r="J250" s="128"/>
      <c r="K250" s="128"/>
      <c r="L250" s="78" t="n">
        <f aca="false">SUM($S250:$BB250)</f>
        <v>0</v>
      </c>
      <c r="M250" s="128"/>
      <c r="N250" s="130" t="str">
        <f aca="false">IF(ISERROR(VLOOKUP(P250,Member_Tab,2,FALSE())),"",VLOOKUP(P250,Member_Tab,2,FALSE()))</f>
        <v/>
      </c>
      <c r="O250" s="130" t="str">
        <f aca="false">IF(ISERROR(VLOOKUP(P250,Member_Tab,3,FALSE())),"",VLOOKUP(P250,Member_Tab,3,FALSE()))</f>
        <v/>
      </c>
      <c r="P250" s="75"/>
      <c r="Q250" s="128"/>
      <c r="R250" s="131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</row>
    <row r="251" customFormat="false" ht="15" hidden="false" customHeight="false" outlineLevel="0" collapsed="false">
      <c r="B251" s="135" t="s">
        <v>210</v>
      </c>
      <c r="C251" s="136"/>
      <c r="D251" s="136"/>
      <c r="E251" s="137"/>
      <c r="F251" s="136"/>
      <c r="G251" s="136"/>
      <c r="H251" s="136"/>
      <c r="I251" s="136"/>
      <c r="J251" s="136"/>
      <c r="K251" s="137"/>
      <c r="L251" s="138"/>
      <c r="M251" s="138"/>
      <c r="N251" s="136" t="str">
        <f aca="false">IF(ISERROR(VLOOKUP(O251,mssd445_tab,3,FALSE())),"",VLOOKUP(O251,mssd445_tab,3,FALSE()))</f>
        <v/>
      </c>
      <c r="O251" s="136" t="str">
        <f aca="false">IF(ISERROR(VLOOKUP(P251,mssd445_tab,3,FALSE())),"",VLOOKUP(P251,mssd445_tab,3,FALSE()))</f>
        <v/>
      </c>
      <c r="P251" s="137"/>
      <c r="Q251" s="139"/>
      <c r="R251" s="140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  <c r="AH251" s="141"/>
      <c r="AI251" s="141"/>
      <c r="AJ251" s="141"/>
      <c r="AK251" s="141"/>
      <c r="AL251" s="141"/>
      <c r="AM251" s="141"/>
      <c r="AN251" s="141"/>
      <c r="AO251" s="141"/>
      <c r="AP251" s="141"/>
      <c r="AQ251" s="141"/>
      <c r="AR251" s="141"/>
      <c r="AS251" s="141"/>
      <c r="AT251" s="141"/>
      <c r="AU251" s="141"/>
      <c r="AV251" s="141"/>
      <c r="AW251" s="141"/>
      <c r="AX251" s="141"/>
      <c r="AY251" s="141"/>
      <c r="AZ251" s="141"/>
      <c r="BA251" s="141"/>
      <c r="BB251" s="141"/>
    </row>
    <row r="252" s="41" customFormat="true" ht="7.5" hidden="false" customHeight="true" outlineLevel="0" collapsed="false">
      <c r="B252" s="142"/>
      <c r="C252" s="142"/>
      <c r="D252" s="142"/>
      <c r="H252" s="142"/>
      <c r="I252" s="142"/>
      <c r="J252" s="142"/>
      <c r="L252" s="143"/>
      <c r="M252" s="143"/>
      <c r="N252" s="143"/>
      <c r="O252" s="142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  <c r="AF252" s="144"/>
      <c r="AG252" s="144"/>
      <c r="AH252" s="144"/>
      <c r="AI252" s="144"/>
      <c r="AJ252" s="144"/>
      <c r="AK252" s="144"/>
      <c r="AL252" s="144"/>
      <c r="AM252" s="144"/>
      <c r="AN252" s="144"/>
      <c r="AO252" s="144"/>
      <c r="AP252" s="144"/>
      <c r="AQ252" s="144"/>
      <c r="AR252" s="144"/>
      <c r="AS252" s="144"/>
      <c r="AT252" s="144"/>
      <c r="AU252" s="144"/>
      <c r="AV252" s="144"/>
      <c r="AW252" s="144"/>
      <c r="AX252" s="144"/>
      <c r="AY252" s="144"/>
      <c r="AZ252" s="144"/>
      <c r="BA252" s="144"/>
      <c r="BB252" s="144"/>
    </row>
    <row r="253" customFormat="false" ht="13.5" hidden="false" customHeight="true" outlineLevel="0" collapsed="false">
      <c r="B253" s="145" t="s">
        <v>211</v>
      </c>
      <c r="C253" s="146"/>
      <c r="D253" s="146"/>
      <c r="E253" s="73"/>
      <c r="F253" s="73"/>
      <c r="G253" s="73"/>
      <c r="H253" s="146"/>
      <c r="I253" s="146"/>
      <c r="J253" s="146"/>
      <c r="K253" s="73"/>
      <c r="L253" s="73"/>
      <c r="M253" s="73"/>
      <c r="N253" s="146"/>
      <c r="O253" s="146"/>
      <c r="P253" s="73"/>
      <c r="Q253" s="73"/>
      <c r="R253" s="131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</row>
    <row r="254" customFormat="false" ht="15" hidden="true" customHeight="false" outlineLevel="1" collapsed="false">
      <c r="B254" s="82" t="s">
        <v>212</v>
      </c>
      <c r="C254" s="128" t="s">
        <v>213</v>
      </c>
      <c r="D254" s="128" t="s">
        <v>59</v>
      </c>
      <c r="E254" s="128"/>
      <c r="F254" s="128" t="s">
        <v>59</v>
      </c>
      <c r="G254" s="82"/>
      <c r="H254" s="128"/>
      <c r="I254" s="128"/>
      <c r="J254" s="128"/>
      <c r="K254" s="128"/>
      <c r="L254" s="78" t="n">
        <f aca="false">SUM(S254:BB254)</f>
        <v>0</v>
      </c>
      <c r="M254" s="128"/>
      <c r="N254" s="130" t="str">
        <f aca="false">IF(ISERROR(VLOOKUP(P254,Member_Tab,2,FALSE())),"",VLOOKUP(P254,Member_Tab,2,FALSE()))</f>
        <v/>
      </c>
      <c r="O254" s="130" t="str">
        <f aca="false">IF(ISERROR(VLOOKUP(P254,Member_Tab,3,FALSE())),"",VLOOKUP(P254,Member_Tab,3,FALSE()))</f>
        <v/>
      </c>
      <c r="P254" s="148" t="str">
        <f aca="false">Site!I10</f>
        <v>Lastname1, Firstname1 (ext.)</v>
      </c>
      <c r="Q254" s="128"/>
      <c r="R254" s="149"/>
      <c r="S254" s="150" t="n">
        <f aca="false">(1-ProdFac)*S391</f>
        <v>0</v>
      </c>
      <c r="T254" s="150" t="n">
        <f aca="false">(1-ProdFac)*T391</f>
        <v>0</v>
      </c>
      <c r="U254" s="150" t="n">
        <f aca="false">(1-ProdFac)*U391</f>
        <v>0</v>
      </c>
      <c r="V254" s="150" t="n">
        <f aca="false">(1-ProdFac)*V391</f>
        <v>0</v>
      </c>
      <c r="W254" s="150" t="n">
        <f aca="false">(1-ProdFac)*W391</f>
        <v>0</v>
      </c>
      <c r="X254" s="150" t="n">
        <f aca="false">(1-ProdFac)*X391</f>
        <v>0</v>
      </c>
      <c r="Y254" s="150" t="n">
        <f aca="false">(1-ProdFac)*Y391</f>
        <v>0</v>
      </c>
      <c r="Z254" s="150" t="n">
        <f aca="false">(1-ProdFac)*Z391</f>
        <v>0</v>
      </c>
      <c r="AA254" s="150" t="n">
        <f aca="false">(1-ProdFac)*AA391</f>
        <v>0</v>
      </c>
      <c r="AB254" s="150" t="n">
        <f aca="false">(1-ProdFac)*AB391</f>
        <v>0</v>
      </c>
      <c r="AC254" s="150" t="n">
        <f aca="false">(1-ProdFac)*AC391</f>
        <v>0</v>
      </c>
      <c r="AD254" s="150" t="n">
        <f aca="false">(1-ProdFac)*AD391</f>
        <v>0</v>
      </c>
      <c r="AE254" s="150" t="n">
        <f aca="false">(1-ProdFac)*AE391</f>
        <v>0</v>
      </c>
      <c r="AF254" s="150" t="n">
        <f aca="false">(1-ProdFac)*AF391</f>
        <v>0</v>
      </c>
      <c r="AG254" s="150" t="n">
        <f aca="false">(1-ProdFac)*AG391</f>
        <v>0</v>
      </c>
      <c r="AH254" s="150" t="n">
        <f aca="false">(1-ProdFac)*AH391</f>
        <v>0</v>
      </c>
      <c r="AI254" s="150" t="n">
        <f aca="false">(1-ProdFac)*AI391</f>
        <v>0</v>
      </c>
      <c r="AJ254" s="150" t="n">
        <f aca="false">(1-ProdFac)*AJ391</f>
        <v>0</v>
      </c>
      <c r="AK254" s="150" t="n">
        <f aca="false">(1-ProdFac)*AK391</f>
        <v>0</v>
      </c>
      <c r="AL254" s="150" t="n">
        <f aca="false">(1-ProdFac)*AL391</f>
        <v>0</v>
      </c>
      <c r="AM254" s="150" t="n">
        <f aca="false">(1-ProdFac)*AM391</f>
        <v>0</v>
      </c>
      <c r="AN254" s="150" t="n">
        <f aca="false">(1-ProdFac)*AN391</f>
        <v>0</v>
      </c>
      <c r="AO254" s="150" t="n">
        <f aca="false">(1-ProdFac)*AO391</f>
        <v>0</v>
      </c>
      <c r="AP254" s="150" t="n">
        <f aca="false">(1-ProdFac)*AP391</f>
        <v>0</v>
      </c>
      <c r="AQ254" s="150" t="n">
        <f aca="false">(1-ProdFac)*AQ391</f>
        <v>0</v>
      </c>
      <c r="AR254" s="150" t="n">
        <f aca="false">(1-ProdFac)*AR391</f>
        <v>0</v>
      </c>
      <c r="AS254" s="150" t="n">
        <f aca="false">(1-ProdFac)*AS391</f>
        <v>0</v>
      </c>
      <c r="AT254" s="150" t="n">
        <f aca="false">(1-ProdFac)*AT391</f>
        <v>0</v>
      </c>
      <c r="AU254" s="150" t="n">
        <f aca="false">(1-ProdFac)*AU391</f>
        <v>0</v>
      </c>
      <c r="AV254" s="150" t="n">
        <f aca="false">(1-ProdFac)*AV391</f>
        <v>0</v>
      </c>
      <c r="AW254" s="150" t="n">
        <f aca="false">(1-ProdFac)*AW391</f>
        <v>0</v>
      </c>
      <c r="AX254" s="150" t="n">
        <f aca="false">(1-ProdFac)*AX391</f>
        <v>0</v>
      </c>
      <c r="AY254" s="150" t="n">
        <f aca="false">(1-ProdFac)*AY391</f>
        <v>0</v>
      </c>
      <c r="AZ254" s="150" t="n">
        <f aca="false">(1-ProdFac)*AZ391</f>
        <v>0</v>
      </c>
      <c r="BA254" s="150" t="n">
        <f aca="false">(1-ProdFac)*BA391</f>
        <v>0</v>
      </c>
      <c r="BB254" s="150" t="n">
        <f aca="false">(1-ProdFac)*BB391</f>
        <v>0</v>
      </c>
    </row>
    <row r="255" customFormat="false" ht="15" hidden="true" customHeight="false" outlineLevel="1" collapsed="false">
      <c r="B255" s="82" t="s">
        <v>212</v>
      </c>
      <c r="C255" s="128" t="s">
        <v>213</v>
      </c>
      <c r="D255" s="128" t="s">
        <v>59</v>
      </c>
      <c r="E255" s="128"/>
      <c r="F255" s="128" t="s">
        <v>59</v>
      </c>
      <c r="G255" s="75"/>
      <c r="H255" s="128"/>
      <c r="I255" s="128"/>
      <c r="J255" s="128"/>
      <c r="K255" s="128"/>
      <c r="L255" s="78" t="n">
        <f aca="false">SUM(S255:BB255)</f>
        <v>0</v>
      </c>
      <c r="M255" s="128"/>
      <c r="N255" s="130" t="str">
        <f aca="false">IF(ISERROR(VLOOKUP(P255,Member_Tab,2,FALSE())),"",VLOOKUP(P255,Member_Tab,2,FALSE()))</f>
        <v/>
      </c>
      <c r="O255" s="130" t="str">
        <f aca="false">IF(ISERROR(VLOOKUP(P255,Member_Tab,3,FALSE())),"",VLOOKUP(P255,Member_Tab,3,FALSE()))</f>
        <v/>
      </c>
      <c r="P255" s="148" t="str">
        <f aca="false">Site!I11</f>
        <v>Lastname2, Firstname2</v>
      </c>
      <c r="Q255" s="128"/>
      <c r="R255" s="131"/>
      <c r="S255" s="150" t="n">
        <f aca="false">(1-ProdFac)*S392</f>
        <v>0</v>
      </c>
      <c r="T255" s="150" t="n">
        <f aca="false">(1-ProdFac)*T392</f>
        <v>0</v>
      </c>
      <c r="U255" s="150" t="n">
        <f aca="false">(1-ProdFac)*U392</f>
        <v>0</v>
      </c>
      <c r="V255" s="150" t="n">
        <f aca="false">(1-ProdFac)*V392</f>
        <v>0</v>
      </c>
      <c r="W255" s="150" t="n">
        <f aca="false">(1-ProdFac)*W392</f>
        <v>0</v>
      </c>
      <c r="X255" s="150" t="n">
        <f aca="false">(1-ProdFac)*X392</f>
        <v>0</v>
      </c>
      <c r="Y255" s="150" t="n">
        <f aca="false">(1-ProdFac)*Y392</f>
        <v>0</v>
      </c>
      <c r="Z255" s="150" t="n">
        <f aca="false">(1-ProdFac)*Z392</f>
        <v>0</v>
      </c>
      <c r="AA255" s="150" t="n">
        <f aca="false">(1-ProdFac)*AA392</f>
        <v>0</v>
      </c>
      <c r="AB255" s="150" t="n">
        <f aca="false">(1-ProdFac)*AB392</f>
        <v>0</v>
      </c>
      <c r="AC255" s="150" t="n">
        <f aca="false">(1-ProdFac)*AC392</f>
        <v>0</v>
      </c>
      <c r="AD255" s="150" t="n">
        <f aca="false">(1-ProdFac)*AD392</f>
        <v>0</v>
      </c>
      <c r="AE255" s="150" t="n">
        <f aca="false">(1-ProdFac)*AE392</f>
        <v>0</v>
      </c>
      <c r="AF255" s="150" t="n">
        <f aca="false">(1-ProdFac)*AF392</f>
        <v>0</v>
      </c>
      <c r="AG255" s="150" t="n">
        <f aca="false">(1-ProdFac)*AG392</f>
        <v>0</v>
      </c>
      <c r="AH255" s="150" t="n">
        <f aca="false">(1-ProdFac)*AH392</f>
        <v>0</v>
      </c>
      <c r="AI255" s="150" t="n">
        <f aca="false">(1-ProdFac)*AI392</f>
        <v>0</v>
      </c>
      <c r="AJ255" s="150" t="n">
        <f aca="false">(1-ProdFac)*AJ392</f>
        <v>0</v>
      </c>
      <c r="AK255" s="150" t="n">
        <f aca="false">(1-ProdFac)*AK392</f>
        <v>0</v>
      </c>
      <c r="AL255" s="150" t="n">
        <f aca="false">(1-ProdFac)*AL392</f>
        <v>0</v>
      </c>
      <c r="AM255" s="150" t="n">
        <f aca="false">(1-ProdFac)*AM392</f>
        <v>0</v>
      </c>
      <c r="AN255" s="150" t="n">
        <f aca="false">(1-ProdFac)*AN392</f>
        <v>0</v>
      </c>
      <c r="AO255" s="150" t="n">
        <f aca="false">(1-ProdFac)*AO392</f>
        <v>0</v>
      </c>
      <c r="AP255" s="150" t="n">
        <f aca="false">(1-ProdFac)*AP392</f>
        <v>0</v>
      </c>
      <c r="AQ255" s="150" t="n">
        <f aca="false">(1-ProdFac)*AQ392</f>
        <v>0</v>
      </c>
      <c r="AR255" s="150" t="n">
        <f aca="false">(1-ProdFac)*AR392</f>
        <v>0</v>
      </c>
      <c r="AS255" s="150" t="n">
        <f aca="false">(1-ProdFac)*AS392</f>
        <v>0</v>
      </c>
      <c r="AT255" s="150" t="n">
        <f aca="false">(1-ProdFac)*AT392</f>
        <v>0</v>
      </c>
      <c r="AU255" s="150" t="n">
        <f aca="false">(1-ProdFac)*AU392</f>
        <v>0</v>
      </c>
      <c r="AV255" s="150" t="n">
        <f aca="false">(1-ProdFac)*AV392</f>
        <v>0</v>
      </c>
      <c r="AW255" s="150" t="n">
        <f aca="false">(1-ProdFac)*AW392</f>
        <v>0</v>
      </c>
      <c r="AX255" s="150" t="n">
        <f aca="false">(1-ProdFac)*AX392</f>
        <v>0</v>
      </c>
      <c r="AY255" s="150" t="n">
        <f aca="false">(1-ProdFac)*AY392</f>
        <v>0</v>
      </c>
      <c r="AZ255" s="150" t="n">
        <f aca="false">(1-ProdFac)*AZ392</f>
        <v>0</v>
      </c>
      <c r="BA255" s="150" t="n">
        <f aca="false">(1-ProdFac)*BA392</f>
        <v>0</v>
      </c>
      <c r="BB255" s="150" t="n">
        <f aca="false">(1-ProdFac)*BB392</f>
        <v>0</v>
      </c>
    </row>
    <row r="256" customFormat="false" ht="15" hidden="true" customHeight="false" outlineLevel="1" collapsed="false">
      <c r="B256" s="82" t="s">
        <v>212</v>
      </c>
      <c r="C256" s="128" t="s">
        <v>213</v>
      </c>
      <c r="D256" s="128" t="s">
        <v>59</v>
      </c>
      <c r="E256" s="128"/>
      <c r="F256" s="128" t="s">
        <v>59</v>
      </c>
      <c r="G256" s="75"/>
      <c r="H256" s="128"/>
      <c r="I256" s="128"/>
      <c r="J256" s="128"/>
      <c r="K256" s="128"/>
      <c r="L256" s="78" t="n">
        <f aca="false">SUM(S256:BB256)</f>
        <v>0</v>
      </c>
      <c r="M256" s="128"/>
      <c r="N256" s="130" t="str">
        <f aca="false">IF(ISERROR(VLOOKUP(P256,Member_Tab,2,FALSE())),"",VLOOKUP(P256,Member_Tab,2,FALSE()))</f>
        <v/>
      </c>
      <c r="O256" s="130" t="str">
        <f aca="false">IF(ISERROR(VLOOKUP(P256,Member_Tab,3,FALSE())),"",VLOOKUP(P256,Member_Tab,3,FALSE()))</f>
        <v/>
      </c>
      <c r="P256" s="148" t="str">
        <f aca="false">Site!I12</f>
        <v> Lastname3, Firstname3</v>
      </c>
      <c r="Q256" s="128"/>
      <c r="R256" s="131"/>
      <c r="S256" s="150" t="n">
        <f aca="false">(1-ProdFac)*S393</f>
        <v>0</v>
      </c>
      <c r="T256" s="150" t="n">
        <f aca="false">(1-ProdFac)*T393</f>
        <v>0</v>
      </c>
      <c r="U256" s="150" t="n">
        <f aca="false">(1-ProdFac)*U393</f>
        <v>0</v>
      </c>
      <c r="V256" s="150" t="n">
        <f aca="false">(1-ProdFac)*V393</f>
        <v>0</v>
      </c>
      <c r="W256" s="150" t="n">
        <f aca="false">(1-ProdFac)*W393</f>
        <v>0</v>
      </c>
      <c r="X256" s="150" t="n">
        <f aca="false">(1-ProdFac)*X393</f>
        <v>0</v>
      </c>
      <c r="Y256" s="150" t="n">
        <f aca="false">(1-ProdFac)*Y393</f>
        <v>0</v>
      </c>
      <c r="Z256" s="150" t="n">
        <f aca="false">(1-ProdFac)*Z393</f>
        <v>0</v>
      </c>
      <c r="AA256" s="150" t="n">
        <f aca="false">(1-ProdFac)*AA393</f>
        <v>0</v>
      </c>
      <c r="AB256" s="150" t="n">
        <f aca="false">(1-ProdFac)*AB393</f>
        <v>0</v>
      </c>
      <c r="AC256" s="150" t="n">
        <f aca="false">(1-ProdFac)*AC393</f>
        <v>0</v>
      </c>
      <c r="AD256" s="150" t="n">
        <f aca="false">(1-ProdFac)*AD393</f>
        <v>0</v>
      </c>
      <c r="AE256" s="150" t="n">
        <f aca="false">(1-ProdFac)*AE393</f>
        <v>0</v>
      </c>
      <c r="AF256" s="150" t="n">
        <f aca="false">(1-ProdFac)*AF393</f>
        <v>0</v>
      </c>
      <c r="AG256" s="150" t="n">
        <f aca="false">(1-ProdFac)*AG393</f>
        <v>0</v>
      </c>
      <c r="AH256" s="150" t="n">
        <f aca="false">(1-ProdFac)*AH393</f>
        <v>0</v>
      </c>
      <c r="AI256" s="150" t="n">
        <f aca="false">(1-ProdFac)*AI393</f>
        <v>0</v>
      </c>
      <c r="AJ256" s="150" t="n">
        <f aca="false">(1-ProdFac)*AJ393</f>
        <v>0</v>
      </c>
      <c r="AK256" s="150" t="n">
        <f aca="false">(1-ProdFac)*AK393</f>
        <v>0</v>
      </c>
      <c r="AL256" s="150" t="n">
        <f aca="false">(1-ProdFac)*AL393</f>
        <v>0</v>
      </c>
      <c r="AM256" s="150" t="n">
        <f aca="false">(1-ProdFac)*AM393</f>
        <v>0</v>
      </c>
      <c r="AN256" s="150" t="n">
        <f aca="false">(1-ProdFac)*AN393</f>
        <v>0</v>
      </c>
      <c r="AO256" s="150" t="n">
        <f aca="false">(1-ProdFac)*AO393</f>
        <v>0</v>
      </c>
      <c r="AP256" s="150" t="n">
        <f aca="false">(1-ProdFac)*AP393</f>
        <v>0</v>
      </c>
      <c r="AQ256" s="150" t="n">
        <f aca="false">(1-ProdFac)*AQ393</f>
        <v>0</v>
      </c>
      <c r="AR256" s="150" t="n">
        <f aca="false">(1-ProdFac)*AR393</f>
        <v>0</v>
      </c>
      <c r="AS256" s="150" t="n">
        <f aca="false">(1-ProdFac)*AS393</f>
        <v>0</v>
      </c>
      <c r="AT256" s="150" t="n">
        <f aca="false">(1-ProdFac)*AT393</f>
        <v>0</v>
      </c>
      <c r="AU256" s="150" t="n">
        <f aca="false">(1-ProdFac)*AU393</f>
        <v>0</v>
      </c>
      <c r="AV256" s="150" t="n">
        <f aca="false">(1-ProdFac)*AV393</f>
        <v>0</v>
      </c>
      <c r="AW256" s="150" t="n">
        <f aca="false">(1-ProdFac)*AW393</f>
        <v>0</v>
      </c>
      <c r="AX256" s="150" t="n">
        <f aca="false">(1-ProdFac)*AX393</f>
        <v>0</v>
      </c>
      <c r="AY256" s="150" t="n">
        <f aca="false">(1-ProdFac)*AY393</f>
        <v>0</v>
      </c>
      <c r="AZ256" s="150" t="n">
        <f aca="false">(1-ProdFac)*AZ393</f>
        <v>0</v>
      </c>
      <c r="BA256" s="150" t="n">
        <f aca="false">(1-ProdFac)*BA393</f>
        <v>0</v>
      </c>
      <c r="BB256" s="150" t="n">
        <f aca="false">(1-ProdFac)*BB393</f>
        <v>0</v>
      </c>
    </row>
    <row r="257" customFormat="false" ht="15" hidden="true" customHeight="false" outlineLevel="1" collapsed="false">
      <c r="B257" s="82" t="s">
        <v>212</v>
      </c>
      <c r="C257" s="128" t="s">
        <v>213</v>
      </c>
      <c r="D257" s="128" t="s">
        <v>59</v>
      </c>
      <c r="E257" s="128"/>
      <c r="F257" s="128" t="s">
        <v>59</v>
      </c>
      <c r="G257" s="75"/>
      <c r="H257" s="128"/>
      <c r="I257" s="128"/>
      <c r="J257" s="128"/>
      <c r="K257" s="128"/>
      <c r="L257" s="78" t="n">
        <f aca="false">SUM(S257:BB257)</f>
        <v>0</v>
      </c>
      <c r="M257" s="128"/>
      <c r="N257" s="130" t="str">
        <f aca="false">IF(ISERROR(VLOOKUP(P257,Member_Tab,2,FALSE())),"",VLOOKUP(P257,Member_Tab,2,FALSE()))</f>
        <v/>
      </c>
      <c r="O257" s="130" t="str">
        <f aca="false">IF(ISERROR(VLOOKUP(P257,Member_Tab,3,FALSE())),"",VLOOKUP(P257,Member_Tab,3,FALSE()))</f>
        <v/>
      </c>
      <c r="P257" s="148" t="str">
        <f aca="false">Site!I13</f>
        <v>Lastname4, Firstname4</v>
      </c>
      <c r="Q257" s="128"/>
      <c r="R257" s="131"/>
      <c r="S257" s="150" t="n">
        <f aca="false">(1-ProdFac)*S394</f>
        <v>0</v>
      </c>
      <c r="T257" s="150" t="n">
        <f aca="false">(1-ProdFac)*T394</f>
        <v>0</v>
      </c>
      <c r="U257" s="150" t="n">
        <f aca="false">(1-ProdFac)*U394</f>
        <v>0</v>
      </c>
      <c r="V257" s="150" t="n">
        <f aca="false">(1-ProdFac)*V394</f>
        <v>0</v>
      </c>
      <c r="W257" s="150" t="n">
        <f aca="false">(1-ProdFac)*W394</f>
        <v>0</v>
      </c>
      <c r="X257" s="150" t="n">
        <f aca="false">(1-ProdFac)*X394</f>
        <v>0</v>
      </c>
      <c r="Y257" s="150" t="n">
        <f aca="false">(1-ProdFac)*Y394</f>
        <v>0</v>
      </c>
      <c r="Z257" s="150" t="n">
        <f aca="false">(1-ProdFac)*Z394</f>
        <v>0</v>
      </c>
      <c r="AA257" s="150" t="n">
        <f aca="false">(1-ProdFac)*AA394</f>
        <v>0</v>
      </c>
      <c r="AB257" s="150" t="n">
        <f aca="false">(1-ProdFac)*AB394</f>
        <v>0</v>
      </c>
      <c r="AC257" s="150" t="n">
        <f aca="false">(1-ProdFac)*AC394</f>
        <v>0</v>
      </c>
      <c r="AD257" s="150" t="n">
        <f aca="false">(1-ProdFac)*AD394</f>
        <v>0</v>
      </c>
      <c r="AE257" s="150" t="n">
        <f aca="false">(1-ProdFac)*AE394</f>
        <v>0</v>
      </c>
      <c r="AF257" s="150" t="n">
        <f aca="false">(1-ProdFac)*AF394</f>
        <v>0</v>
      </c>
      <c r="AG257" s="150" t="n">
        <f aca="false">(1-ProdFac)*AG394</f>
        <v>0</v>
      </c>
      <c r="AH257" s="150" t="n">
        <f aca="false">(1-ProdFac)*AH394</f>
        <v>0</v>
      </c>
      <c r="AI257" s="150" t="n">
        <f aca="false">(1-ProdFac)*AI394</f>
        <v>0</v>
      </c>
      <c r="AJ257" s="150" t="n">
        <f aca="false">(1-ProdFac)*AJ394</f>
        <v>0</v>
      </c>
      <c r="AK257" s="150" t="n">
        <f aca="false">(1-ProdFac)*AK394</f>
        <v>0</v>
      </c>
      <c r="AL257" s="150" t="n">
        <f aca="false">(1-ProdFac)*AL394</f>
        <v>0</v>
      </c>
      <c r="AM257" s="150" t="n">
        <f aca="false">(1-ProdFac)*AM394</f>
        <v>0</v>
      </c>
      <c r="AN257" s="150" t="n">
        <f aca="false">(1-ProdFac)*AN394</f>
        <v>0</v>
      </c>
      <c r="AO257" s="150" t="n">
        <f aca="false">(1-ProdFac)*AO394</f>
        <v>0</v>
      </c>
      <c r="AP257" s="150" t="n">
        <f aca="false">(1-ProdFac)*AP394</f>
        <v>0</v>
      </c>
      <c r="AQ257" s="150" t="n">
        <f aca="false">(1-ProdFac)*AQ394</f>
        <v>0</v>
      </c>
      <c r="AR257" s="150" t="n">
        <f aca="false">(1-ProdFac)*AR394</f>
        <v>0</v>
      </c>
      <c r="AS257" s="150" t="n">
        <f aca="false">(1-ProdFac)*AS394</f>
        <v>0</v>
      </c>
      <c r="AT257" s="150" t="n">
        <f aca="false">(1-ProdFac)*AT394</f>
        <v>0</v>
      </c>
      <c r="AU257" s="150" t="n">
        <f aca="false">(1-ProdFac)*AU394</f>
        <v>0</v>
      </c>
      <c r="AV257" s="150" t="n">
        <f aca="false">(1-ProdFac)*AV394</f>
        <v>0</v>
      </c>
      <c r="AW257" s="150" t="n">
        <f aca="false">(1-ProdFac)*AW394</f>
        <v>0</v>
      </c>
      <c r="AX257" s="150" t="n">
        <f aca="false">(1-ProdFac)*AX394</f>
        <v>0</v>
      </c>
      <c r="AY257" s="150" t="n">
        <f aca="false">(1-ProdFac)*AY394</f>
        <v>0</v>
      </c>
      <c r="AZ257" s="150" t="n">
        <f aca="false">(1-ProdFac)*AZ394</f>
        <v>0</v>
      </c>
      <c r="BA257" s="150" t="n">
        <f aca="false">(1-ProdFac)*BA394</f>
        <v>0</v>
      </c>
      <c r="BB257" s="150" t="n">
        <f aca="false">(1-ProdFac)*BB394</f>
        <v>0</v>
      </c>
    </row>
    <row r="258" customFormat="false" ht="15" hidden="true" customHeight="false" outlineLevel="1" collapsed="false">
      <c r="B258" s="82" t="s">
        <v>212</v>
      </c>
      <c r="C258" s="128" t="s">
        <v>213</v>
      </c>
      <c r="D258" s="128" t="s">
        <v>59</v>
      </c>
      <c r="E258" s="128"/>
      <c r="F258" s="128" t="s">
        <v>59</v>
      </c>
      <c r="G258" s="75"/>
      <c r="H258" s="128"/>
      <c r="I258" s="128"/>
      <c r="J258" s="128"/>
      <c r="K258" s="128"/>
      <c r="L258" s="78" t="n">
        <f aca="false">SUM(S258:BB258)</f>
        <v>0</v>
      </c>
      <c r="M258" s="128"/>
      <c r="N258" s="130" t="str">
        <f aca="false">IF(ISERROR(VLOOKUP(P258,Member_Tab,2,FALSE())),"",VLOOKUP(P258,Member_Tab,2,FALSE()))</f>
        <v/>
      </c>
      <c r="O258" s="130" t="str">
        <f aca="false">IF(ISERROR(VLOOKUP(P258,Member_Tab,3,FALSE())),"",VLOOKUP(P258,Member_Tab,3,FALSE()))</f>
        <v/>
      </c>
      <c r="P258" s="148" t="str">
        <f aca="false">Site!I14</f>
        <v>Lastname5, Firstname5</v>
      </c>
      <c r="Q258" s="128"/>
      <c r="R258" s="131"/>
      <c r="S258" s="150" t="n">
        <f aca="false">(1-ProdFac)*S395</f>
        <v>0</v>
      </c>
      <c r="T258" s="150" t="n">
        <f aca="false">(1-ProdFac)*T395</f>
        <v>0</v>
      </c>
      <c r="U258" s="150" t="n">
        <f aca="false">(1-ProdFac)*U395</f>
        <v>0</v>
      </c>
      <c r="V258" s="150" t="n">
        <f aca="false">(1-ProdFac)*V395</f>
        <v>0</v>
      </c>
      <c r="W258" s="150" t="n">
        <f aca="false">(1-ProdFac)*W395</f>
        <v>0</v>
      </c>
      <c r="X258" s="150" t="n">
        <f aca="false">(1-ProdFac)*X395</f>
        <v>0</v>
      </c>
      <c r="Y258" s="150" t="n">
        <f aca="false">(1-ProdFac)*Y395</f>
        <v>0</v>
      </c>
      <c r="Z258" s="150" t="n">
        <f aca="false">(1-ProdFac)*Z395</f>
        <v>0</v>
      </c>
      <c r="AA258" s="150" t="n">
        <f aca="false">(1-ProdFac)*AA395</f>
        <v>0</v>
      </c>
      <c r="AB258" s="150" t="n">
        <f aca="false">(1-ProdFac)*AB395</f>
        <v>0</v>
      </c>
      <c r="AC258" s="150" t="n">
        <f aca="false">(1-ProdFac)*AC395</f>
        <v>0</v>
      </c>
      <c r="AD258" s="150" t="n">
        <f aca="false">(1-ProdFac)*AD395</f>
        <v>0</v>
      </c>
      <c r="AE258" s="150" t="n">
        <f aca="false">(1-ProdFac)*AE395</f>
        <v>0</v>
      </c>
      <c r="AF258" s="150" t="n">
        <f aca="false">(1-ProdFac)*AF395</f>
        <v>0</v>
      </c>
      <c r="AG258" s="150" t="n">
        <f aca="false">(1-ProdFac)*AG395</f>
        <v>0</v>
      </c>
      <c r="AH258" s="150" t="n">
        <f aca="false">(1-ProdFac)*AH395</f>
        <v>0</v>
      </c>
      <c r="AI258" s="150" t="n">
        <f aca="false">(1-ProdFac)*AI395</f>
        <v>0</v>
      </c>
      <c r="AJ258" s="150" t="n">
        <f aca="false">(1-ProdFac)*AJ395</f>
        <v>0</v>
      </c>
      <c r="AK258" s="150" t="n">
        <f aca="false">(1-ProdFac)*AK395</f>
        <v>0</v>
      </c>
      <c r="AL258" s="150" t="n">
        <f aca="false">(1-ProdFac)*AL395</f>
        <v>0</v>
      </c>
      <c r="AM258" s="150" t="n">
        <f aca="false">(1-ProdFac)*AM395</f>
        <v>0</v>
      </c>
      <c r="AN258" s="150" t="n">
        <f aca="false">(1-ProdFac)*AN395</f>
        <v>0</v>
      </c>
      <c r="AO258" s="150" t="n">
        <f aca="false">(1-ProdFac)*AO395</f>
        <v>0</v>
      </c>
      <c r="AP258" s="150" t="n">
        <f aca="false">(1-ProdFac)*AP395</f>
        <v>0</v>
      </c>
      <c r="AQ258" s="150" t="n">
        <f aca="false">(1-ProdFac)*AQ395</f>
        <v>0</v>
      </c>
      <c r="AR258" s="150" t="n">
        <f aca="false">(1-ProdFac)*AR395</f>
        <v>0</v>
      </c>
      <c r="AS258" s="150" t="n">
        <f aca="false">(1-ProdFac)*AS395</f>
        <v>0</v>
      </c>
      <c r="AT258" s="150" t="n">
        <f aca="false">(1-ProdFac)*AT395</f>
        <v>0</v>
      </c>
      <c r="AU258" s="150" t="n">
        <f aca="false">(1-ProdFac)*AU395</f>
        <v>0</v>
      </c>
      <c r="AV258" s="150" t="n">
        <f aca="false">(1-ProdFac)*AV395</f>
        <v>0</v>
      </c>
      <c r="AW258" s="150" t="n">
        <f aca="false">(1-ProdFac)*AW395</f>
        <v>0</v>
      </c>
      <c r="AX258" s="150" t="n">
        <f aca="false">(1-ProdFac)*AX395</f>
        <v>0</v>
      </c>
      <c r="AY258" s="150" t="n">
        <f aca="false">(1-ProdFac)*AY395</f>
        <v>0</v>
      </c>
      <c r="AZ258" s="150" t="n">
        <f aca="false">(1-ProdFac)*AZ395</f>
        <v>0</v>
      </c>
      <c r="BA258" s="150" t="n">
        <f aca="false">(1-ProdFac)*BA395</f>
        <v>0</v>
      </c>
      <c r="BB258" s="150" t="n">
        <f aca="false">(1-ProdFac)*BB395</f>
        <v>0</v>
      </c>
    </row>
    <row r="259" customFormat="false" ht="15" hidden="true" customHeight="false" outlineLevel="1" collapsed="false">
      <c r="B259" s="82" t="s">
        <v>212</v>
      </c>
      <c r="C259" s="128" t="s">
        <v>213</v>
      </c>
      <c r="D259" s="128" t="s">
        <v>59</v>
      </c>
      <c r="E259" s="128"/>
      <c r="F259" s="128" t="s">
        <v>59</v>
      </c>
      <c r="G259" s="75"/>
      <c r="H259" s="128"/>
      <c r="I259" s="128"/>
      <c r="J259" s="128"/>
      <c r="K259" s="128"/>
      <c r="L259" s="78" t="n">
        <f aca="false">SUM(S259:BB259)</f>
        <v>0</v>
      </c>
      <c r="M259" s="128"/>
      <c r="N259" s="130" t="str">
        <f aca="false">IF(ISERROR(VLOOKUP(P259,Member_Tab,2,FALSE())),"",VLOOKUP(P259,Member_Tab,2,FALSE()))</f>
        <v/>
      </c>
      <c r="O259" s="130" t="str">
        <f aca="false">IF(ISERROR(VLOOKUP(P259,Member_Tab,3,FALSE())),"",VLOOKUP(P259,Member_Tab,3,FALSE()))</f>
        <v/>
      </c>
      <c r="P259" s="148" t="str">
        <f aca="false">Site!I15</f>
        <v>Lastname6, Firstname6</v>
      </c>
      <c r="Q259" s="128"/>
      <c r="R259" s="131"/>
      <c r="S259" s="150" t="n">
        <f aca="false">(1-ProdFac)*S396</f>
        <v>0</v>
      </c>
      <c r="T259" s="150" t="n">
        <f aca="false">(1-ProdFac)*T396</f>
        <v>0</v>
      </c>
      <c r="U259" s="150" t="n">
        <f aca="false">(1-ProdFac)*U396</f>
        <v>0</v>
      </c>
      <c r="V259" s="150" t="n">
        <f aca="false">(1-ProdFac)*V396</f>
        <v>0</v>
      </c>
      <c r="W259" s="150" t="n">
        <f aca="false">(1-ProdFac)*W396</f>
        <v>0</v>
      </c>
      <c r="X259" s="150" t="n">
        <f aca="false">(1-ProdFac)*X396</f>
        <v>0</v>
      </c>
      <c r="Y259" s="150" t="n">
        <f aca="false">(1-ProdFac)*Y396</f>
        <v>0</v>
      </c>
      <c r="Z259" s="150" t="n">
        <f aca="false">(1-ProdFac)*Z396</f>
        <v>0</v>
      </c>
      <c r="AA259" s="150" t="n">
        <f aca="false">(1-ProdFac)*AA396</f>
        <v>0</v>
      </c>
      <c r="AB259" s="150" t="n">
        <f aca="false">(1-ProdFac)*AB396</f>
        <v>0</v>
      </c>
      <c r="AC259" s="150" t="n">
        <f aca="false">(1-ProdFac)*AC396</f>
        <v>0</v>
      </c>
      <c r="AD259" s="150" t="n">
        <f aca="false">(1-ProdFac)*AD396</f>
        <v>0</v>
      </c>
      <c r="AE259" s="150" t="n">
        <f aca="false">(1-ProdFac)*AE396</f>
        <v>0</v>
      </c>
      <c r="AF259" s="150" t="n">
        <f aca="false">(1-ProdFac)*AF396</f>
        <v>0</v>
      </c>
      <c r="AG259" s="150" t="n">
        <f aca="false">(1-ProdFac)*AG396</f>
        <v>0</v>
      </c>
      <c r="AH259" s="150" t="n">
        <f aca="false">(1-ProdFac)*AH396</f>
        <v>0</v>
      </c>
      <c r="AI259" s="150" t="n">
        <f aca="false">(1-ProdFac)*AI396</f>
        <v>0</v>
      </c>
      <c r="AJ259" s="150" t="n">
        <f aca="false">(1-ProdFac)*AJ396</f>
        <v>0</v>
      </c>
      <c r="AK259" s="150" t="n">
        <f aca="false">(1-ProdFac)*AK396</f>
        <v>0</v>
      </c>
      <c r="AL259" s="150" t="n">
        <f aca="false">(1-ProdFac)*AL396</f>
        <v>0</v>
      </c>
      <c r="AM259" s="150" t="n">
        <f aca="false">(1-ProdFac)*AM396</f>
        <v>0</v>
      </c>
      <c r="AN259" s="150" t="n">
        <f aca="false">(1-ProdFac)*AN396</f>
        <v>0</v>
      </c>
      <c r="AO259" s="150" t="n">
        <f aca="false">(1-ProdFac)*AO396</f>
        <v>0</v>
      </c>
      <c r="AP259" s="150" t="n">
        <f aca="false">(1-ProdFac)*AP396</f>
        <v>0</v>
      </c>
      <c r="AQ259" s="150" t="n">
        <f aca="false">(1-ProdFac)*AQ396</f>
        <v>0</v>
      </c>
      <c r="AR259" s="150" t="n">
        <f aca="false">(1-ProdFac)*AR396</f>
        <v>0</v>
      </c>
      <c r="AS259" s="150" t="n">
        <f aca="false">(1-ProdFac)*AS396</f>
        <v>0</v>
      </c>
      <c r="AT259" s="150" t="n">
        <f aca="false">(1-ProdFac)*AT396</f>
        <v>0</v>
      </c>
      <c r="AU259" s="150" t="n">
        <f aca="false">(1-ProdFac)*AU396</f>
        <v>0</v>
      </c>
      <c r="AV259" s="150" t="n">
        <f aca="false">(1-ProdFac)*AV396</f>
        <v>0</v>
      </c>
      <c r="AW259" s="150" t="n">
        <f aca="false">(1-ProdFac)*AW396</f>
        <v>0</v>
      </c>
      <c r="AX259" s="150" t="n">
        <f aca="false">(1-ProdFac)*AX396</f>
        <v>0</v>
      </c>
      <c r="AY259" s="150" t="n">
        <f aca="false">(1-ProdFac)*AY396</f>
        <v>0</v>
      </c>
      <c r="AZ259" s="150" t="n">
        <f aca="false">(1-ProdFac)*AZ396</f>
        <v>0</v>
      </c>
      <c r="BA259" s="150" t="n">
        <f aca="false">(1-ProdFac)*BA396</f>
        <v>0</v>
      </c>
      <c r="BB259" s="150" t="n">
        <f aca="false">(1-ProdFac)*BB396</f>
        <v>0</v>
      </c>
    </row>
    <row r="260" customFormat="false" ht="15" hidden="true" customHeight="false" outlineLevel="1" collapsed="false">
      <c r="B260" s="82" t="s">
        <v>212</v>
      </c>
      <c r="C260" s="128" t="s">
        <v>213</v>
      </c>
      <c r="D260" s="128" t="s">
        <v>59</v>
      </c>
      <c r="E260" s="128"/>
      <c r="F260" s="128" t="s">
        <v>59</v>
      </c>
      <c r="G260" s="75"/>
      <c r="H260" s="128"/>
      <c r="I260" s="128"/>
      <c r="J260" s="128"/>
      <c r="K260" s="128"/>
      <c r="L260" s="78" t="n">
        <f aca="false">SUM(S260:BB260)</f>
        <v>0</v>
      </c>
      <c r="M260" s="128"/>
      <c r="N260" s="130" t="str">
        <f aca="false">IF(ISERROR(VLOOKUP(P260,Member_Tab,2,FALSE())),"",VLOOKUP(P260,Member_Tab,2,FALSE()))</f>
        <v/>
      </c>
      <c r="O260" s="130" t="str">
        <f aca="false">IF(ISERROR(VLOOKUP(P260,Member_Tab,3,FALSE())),"",VLOOKUP(P260,Member_Tab,3,FALSE()))</f>
        <v/>
      </c>
      <c r="P260" s="148" t="str">
        <f aca="false">Site!I16</f>
        <v>Lastname7, Firstname7</v>
      </c>
      <c r="Q260" s="128"/>
      <c r="R260" s="131"/>
      <c r="S260" s="150" t="n">
        <f aca="false">(1-ProdFac)*S397</f>
        <v>0</v>
      </c>
      <c r="T260" s="150" t="n">
        <f aca="false">(1-ProdFac)*T397</f>
        <v>0</v>
      </c>
      <c r="U260" s="150" t="n">
        <f aca="false">(1-ProdFac)*U397</f>
        <v>0</v>
      </c>
      <c r="V260" s="150" t="n">
        <f aca="false">(1-ProdFac)*V397</f>
        <v>0</v>
      </c>
      <c r="W260" s="150" t="n">
        <f aca="false">(1-ProdFac)*W397</f>
        <v>0</v>
      </c>
      <c r="X260" s="150" t="n">
        <f aca="false">(1-ProdFac)*X397</f>
        <v>0</v>
      </c>
      <c r="Y260" s="150" t="n">
        <f aca="false">(1-ProdFac)*Y397</f>
        <v>0</v>
      </c>
      <c r="Z260" s="150" t="n">
        <f aca="false">(1-ProdFac)*Z397</f>
        <v>0</v>
      </c>
      <c r="AA260" s="150" t="n">
        <f aca="false">(1-ProdFac)*AA397</f>
        <v>0</v>
      </c>
      <c r="AB260" s="150" t="n">
        <f aca="false">(1-ProdFac)*AB397</f>
        <v>0</v>
      </c>
      <c r="AC260" s="150" t="n">
        <f aca="false">(1-ProdFac)*AC397</f>
        <v>0</v>
      </c>
      <c r="AD260" s="150" t="n">
        <f aca="false">(1-ProdFac)*AD397</f>
        <v>0</v>
      </c>
      <c r="AE260" s="150" t="n">
        <f aca="false">(1-ProdFac)*AE397</f>
        <v>0</v>
      </c>
      <c r="AF260" s="150" t="n">
        <f aca="false">(1-ProdFac)*AF397</f>
        <v>0</v>
      </c>
      <c r="AG260" s="150" t="n">
        <f aca="false">(1-ProdFac)*AG397</f>
        <v>0</v>
      </c>
      <c r="AH260" s="150" t="n">
        <f aca="false">(1-ProdFac)*AH397</f>
        <v>0</v>
      </c>
      <c r="AI260" s="150" t="n">
        <f aca="false">(1-ProdFac)*AI397</f>
        <v>0</v>
      </c>
      <c r="AJ260" s="150" t="n">
        <f aca="false">(1-ProdFac)*AJ397</f>
        <v>0</v>
      </c>
      <c r="AK260" s="150" t="n">
        <f aca="false">(1-ProdFac)*AK397</f>
        <v>0</v>
      </c>
      <c r="AL260" s="150" t="n">
        <f aca="false">(1-ProdFac)*AL397</f>
        <v>0</v>
      </c>
      <c r="AM260" s="150" t="n">
        <f aca="false">(1-ProdFac)*AM397</f>
        <v>0</v>
      </c>
      <c r="AN260" s="150" t="n">
        <f aca="false">(1-ProdFac)*AN397</f>
        <v>0</v>
      </c>
      <c r="AO260" s="150" t="n">
        <f aca="false">(1-ProdFac)*AO397</f>
        <v>0</v>
      </c>
      <c r="AP260" s="150" t="n">
        <f aca="false">(1-ProdFac)*AP397</f>
        <v>0</v>
      </c>
      <c r="AQ260" s="150" t="n">
        <f aca="false">(1-ProdFac)*AQ397</f>
        <v>0</v>
      </c>
      <c r="AR260" s="150" t="n">
        <f aca="false">(1-ProdFac)*AR397</f>
        <v>0</v>
      </c>
      <c r="AS260" s="150" t="n">
        <f aca="false">(1-ProdFac)*AS397</f>
        <v>0</v>
      </c>
      <c r="AT260" s="150" t="n">
        <f aca="false">(1-ProdFac)*AT397</f>
        <v>0</v>
      </c>
      <c r="AU260" s="150" t="n">
        <f aca="false">(1-ProdFac)*AU397</f>
        <v>0</v>
      </c>
      <c r="AV260" s="150" t="n">
        <f aca="false">(1-ProdFac)*AV397</f>
        <v>0</v>
      </c>
      <c r="AW260" s="150" t="n">
        <f aca="false">(1-ProdFac)*AW397</f>
        <v>0</v>
      </c>
      <c r="AX260" s="150" t="n">
        <f aca="false">(1-ProdFac)*AX397</f>
        <v>0</v>
      </c>
      <c r="AY260" s="150" t="n">
        <f aca="false">(1-ProdFac)*AY397</f>
        <v>0</v>
      </c>
      <c r="AZ260" s="150" t="n">
        <f aca="false">(1-ProdFac)*AZ397</f>
        <v>0</v>
      </c>
      <c r="BA260" s="150" t="n">
        <f aca="false">(1-ProdFac)*BA397</f>
        <v>0</v>
      </c>
      <c r="BB260" s="150" t="n">
        <f aca="false">(1-ProdFac)*BB397</f>
        <v>0</v>
      </c>
    </row>
    <row r="261" customFormat="false" ht="15" hidden="true" customHeight="false" outlineLevel="1" collapsed="false">
      <c r="B261" s="82" t="s">
        <v>212</v>
      </c>
      <c r="C261" s="128" t="s">
        <v>213</v>
      </c>
      <c r="D261" s="128" t="s">
        <v>59</v>
      </c>
      <c r="E261" s="128"/>
      <c r="F261" s="128" t="s">
        <v>59</v>
      </c>
      <c r="G261" s="75"/>
      <c r="H261" s="128"/>
      <c r="I261" s="128"/>
      <c r="J261" s="128"/>
      <c r="K261" s="128"/>
      <c r="L261" s="78" t="n">
        <f aca="false">SUM(S261:BB261)</f>
        <v>0</v>
      </c>
      <c r="M261" s="128"/>
      <c r="N261" s="130" t="str">
        <f aca="false">IF(ISERROR(VLOOKUP(P261,Member_Tab,2,FALSE())),"",VLOOKUP(P261,Member_Tab,2,FALSE()))</f>
        <v/>
      </c>
      <c r="O261" s="130" t="str">
        <f aca="false">IF(ISERROR(VLOOKUP(P261,Member_Tab,3,FALSE())),"",VLOOKUP(P261,Member_Tab,3,FALSE()))</f>
        <v/>
      </c>
      <c r="P261" s="148" t="str">
        <f aca="false">Site!I17</f>
        <v>Lastname8, Firstname8</v>
      </c>
      <c r="Q261" s="128"/>
      <c r="R261" s="131"/>
      <c r="S261" s="150" t="n">
        <f aca="false">(1-ProdFac)*S398</f>
        <v>0</v>
      </c>
      <c r="T261" s="150" t="n">
        <f aca="false">(1-ProdFac)*T398</f>
        <v>0</v>
      </c>
      <c r="U261" s="150" t="n">
        <f aca="false">(1-ProdFac)*U398</f>
        <v>0</v>
      </c>
      <c r="V261" s="150" t="n">
        <f aca="false">(1-ProdFac)*V398</f>
        <v>0</v>
      </c>
      <c r="W261" s="150" t="n">
        <f aca="false">(1-ProdFac)*W398</f>
        <v>0</v>
      </c>
      <c r="X261" s="150" t="n">
        <f aca="false">(1-ProdFac)*X398</f>
        <v>0</v>
      </c>
      <c r="Y261" s="150" t="n">
        <f aca="false">(1-ProdFac)*Y398</f>
        <v>0</v>
      </c>
      <c r="Z261" s="150" t="n">
        <f aca="false">(1-ProdFac)*Z398</f>
        <v>0</v>
      </c>
      <c r="AA261" s="150" t="n">
        <f aca="false">(1-ProdFac)*AA398</f>
        <v>0</v>
      </c>
      <c r="AB261" s="150" t="n">
        <f aca="false">(1-ProdFac)*AB398</f>
        <v>0</v>
      </c>
      <c r="AC261" s="150" t="n">
        <f aca="false">(1-ProdFac)*AC398</f>
        <v>0</v>
      </c>
      <c r="AD261" s="150" t="n">
        <f aca="false">(1-ProdFac)*AD398</f>
        <v>0</v>
      </c>
      <c r="AE261" s="150" t="n">
        <f aca="false">(1-ProdFac)*AE398</f>
        <v>0</v>
      </c>
      <c r="AF261" s="150" t="n">
        <f aca="false">(1-ProdFac)*AF398</f>
        <v>0</v>
      </c>
      <c r="AG261" s="150" t="n">
        <f aca="false">(1-ProdFac)*AG398</f>
        <v>0</v>
      </c>
      <c r="AH261" s="150" t="n">
        <f aca="false">(1-ProdFac)*AH398</f>
        <v>0</v>
      </c>
      <c r="AI261" s="150" t="n">
        <f aca="false">(1-ProdFac)*AI398</f>
        <v>0</v>
      </c>
      <c r="AJ261" s="150" t="n">
        <f aca="false">(1-ProdFac)*AJ398</f>
        <v>0</v>
      </c>
      <c r="AK261" s="150" t="n">
        <f aca="false">(1-ProdFac)*AK398</f>
        <v>0</v>
      </c>
      <c r="AL261" s="150" t="n">
        <f aca="false">(1-ProdFac)*AL398</f>
        <v>0</v>
      </c>
      <c r="AM261" s="150" t="n">
        <f aca="false">(1-ProdFac)*AM398</f>
        <v>0</v>
      </c>
      <c r="AN261" s="150" t="n">
        <f aca="false">(1-ProdFac)*AN398</f>
        <v>0</v>
      </c>
      <c r="AO261" s="150" t="n">
        <f aca="false">(1-ProdFac)*AO398</f>
        <v>0</v>
      </c>
      <c r="AP261" s="150" t="n">
        <f aca="false">(1-ProdFac)*AP398</f>
        <v>0</v>
      </c>
      <c r="AQ261" s="150" t="n">
        <f aca="false">(1-ProdFac)*AQ398</f>
        <v>0</v>
      </c>
      <c r="AR261" s="150" t="n">
        <f aca="false">(1-ProdFac)*AR398</f>
        <v>0</v>
      </c>
      <c r="AS261" s="150" t="n">
        <f aca="false">(1-ProdFac)*AS398</f>
        <v>0</v>
      </c>
      <c r="AT261" s="150" t="n">
        <f aca="false">(1-ProdFac)*AT398</f>
        <v>0</v>
      </c>
      <c r="AU261" s="150" t="n">
        <f aca="false">(1-ProdFac)*AU398</f>
        <v>0</v>
      </c>
      <c r="AV261" s="150" t="n">
        <f aca="false">(1-ProdFac)*AV398</f>
        <v>0</v>
      </c>
      <c r="AW261" s="150" t="n">
        <f aca="false">(1-ProdFac)*AW398</f>
        <v>0</v>
      </c>
      <c r="AX261" s="150" t="n">
        <f aca="false">(1-ProdFac)*AX398</f>
        <v>0</v>
      </c>
      <c r="AY261" s="150" t="n">
        <f aca="false">(1-ProdFac)*AY398</f>
        <v>0</v>
      </c>
      <c r="AZ261" s="150" t="n">
        <f aca="false">(1-ProdFac)*AZ398</f>
        <v>0</v>
      </c>
      <c r="BA261" s="150" t="n">
        <f aca="false">(1-ProdFac)*BA398</f>
        <v>0</v>
      </c>
      <c r="BB261" s="150" t="n">
        <f aca="false">(1-ProdFac)*BB398</f>
        <v>0</v>
      </c>
    </row>
    <row r="262" customFormat="false" ht="15" hidden="true" customHeight="false" outlineLevel="1" collapsed="false">
      <c r="B262" s="82" t="s">
        <v>212</v>
      </c>
      <c r="C262" s="128" t="s">
        <v>213</v>
      </c>
      <c r="D262" s="128" t="s">
        <v>59</v>
      </c>
      <c r="E262" s="128"/>
      <c r="F262" s="128" t="s">
        <v>59</v>
      </c>
      <c r="G262" s="75"/>
      <c r="H262" s="128"/>
      <c r="I262" s="128"/>
      <c r="J262" s="128"/>
      <c r="K262" s="128"/>
      <c r="L262" s="78" t="n">
        <f aca="false">SUM(S262:BB262)</f>
        <v>0</v>
      </c>
      <c r="M262" s="128"/>
      <c r="N262" s="130" t="str">
        <f aca="false">IF(ISERROR(VLOOKUP(P262,Member_Tab,2,FALSE())),"",VLOOKUP(P262,Member_Tab,2,FALSE()))</f>
        <v/>
      </c>
      <c r="O262" s="130" t="str">
        <f aca="false">IF(ISERROR(VLOOKUP(P262,Member_Tab,3,FALSE())),"",VLOOKUP(P262,Member_Tab,3,FALSE()))</f>
        <v/>
      </c>
      <c r="P262" s="148" t="str">
        <f aca="false">Site!I18</f>
        <v>Lastname9, Firstname9</v>
      </c>
      <c r="Q262" s="128"/>
      <c r="R262" s="131"/>
      <c r="S262" s="150" t="n">
        <f aca="false">(1-ProdFac)*S399</f>
        <v>0</v>
      </c>
      <c r="T262" s="150" t="n">
        <f aca="false">(1-ProdFac)*T399</f>
        <v>0</v>
      </c>
      <c r="U262" s="150" t="n">
        <f aca="false">(1-ProdFac)*U399</f>
        <v>0</v>
      </c>
      <c r="V262" s="150" t="n">
        <f aca="false">(1-ProdFac)*V399</f>
        <v>0</v>
      </c>
      <c r="W262" s="150" t="n">
        <f aca="false">(1-ProdFac)*W399</f>
        <v>0</v>
      </c>
      <c r="X262" s="150" t="n">
        <f aca="false">(1-ProdFac)*X399</f>
        <v>0</v>
      </c>
      <c r="Y262" s="150" t="n">
        <f aca="false">(1-ProdFac)*Y399</f>
        <v>0</v>
      </c>
      <c r="Z262" s="150" t="n">
        <f aca="false">(1-ProdFac)*Z399</f>
        <v>0</v>
      </c>
      <c r="AA262" s="150" t="n">
        <f aca="false">(1-ProdFac)*AA399</f>
        <v>0</v>
      </c>
      <c r="AB262" s="150" t="n">
        <f aca="false">(1-ProdFac)*AB399</f>
        <v>0</v>
      </c>
      <c r="AC262" s="150" t="n">
        <f aca="false">(1-ProdFac)*AC399</f>
        <v>0</v>
      </c>
      <c r="AD262" s="150" t="n">
        <f aca="false">(1-ProdFac)*AD399</f>
        <v>0</v>
      </c>
      <c r="AE262" s="150" t="n">
        <f aca="false">(1-ProdFac)*AE399</f>
        <v>0</v>
      </c>
      <c r="AF262" s="150" t="n">
        <f aca="false">(1-ProdFac)*AF399</f>
        <v>0</v>
      </c>
      <c r="AG262" s="150" t="n">
        <f aca="false">(1-ProdFac)*AG399</f>
        <v>0</v>
      </c>
      <c r="AH262" s="150" t="n">
        <f aca="false">(1-ProdFac)*AH399</f>
        <v>0</v>
      </c>
      <c r="AI262" s="150" t="n">
        <f aca="false">(1-ProdFac)*AI399</f>
        <v>0</v>
      </c>
      <c r="AJ262" s="150" t="n">
        <f aca="false">(1-ProdFac)*AJ399</f>
        <v>0</v>
      </c>
      <c r="AK262" s="150" t="n">
        <f aca="false">(1-ProdFac)*AK399</f>
        <v>0</v>
      </c>
      <c r="AL262" s="150" t="n">
        <f aca="false">(1-ProdFac)*AL399</f>
        <v>0</v>
      </c>
      <c r="AM262" s="150" t="n">
        <f aca="false">(1-ProdFac)*AM399</f>
        <v>0</v>
      </c>
      <c r="AN262" s="150" t="n">
        <f aca="false">(1-ProdFac)*AN399</f>
        <v>0</v>
      </c>
      <c r="AO262" s="150" t="n">
        <f aca="false">(1-ProdFac)*AO399</f>
        <v>0</v>
      </c>
      <c r="AP262" s="150" t="n">
        <f aca="false">(1-ProdFac)*AP399</f>
        <v>0</v>
      </c>
      <c r="AQ262" s="150" t="n">
        <f aca="false">(1-ProdFac)*AQ399</f>
        <v>0</v>
      </c>
      <c r="AR262" s="150" t="n">
        <f aca="false">(1-ProdFac)*AR399</f>
        <v>0</v>
      </c>
      <c r="AS262" s="150" t="n">
        <f aca="false">(1-ProdFac)*AS399</f>
        <v>0</v>
      </c>
      <c r="AT262" s="150" t="n">
        <f aca="false">(1-ProdFac)*AT399</f>
        <v>0</v>
      </c>
      <c r="AU262" s="150" t="n">
        <f aca="false">(1-ProdFac)*AU399</f>
        <v>0</v>
      </c>
      <c r="AV262" s="150" t="n">
        <f aca="false">(1-ProdFac)*AV399</f>
        <v>0</v>
      </c>
      <c r="AW262" s="150" t="n">
        <f aca="false">(1-ProdFac)*AW399</f>
        <v>0</v>
      </c>
      <c r="AX262" s="150" t="n">
        <f aca="false">(1-ProdFac)*AX399</f>
        <v>0</v>
      </c>
      <c r="AY262" s="150" t="n">
        <f aca="false">(1-ProdFac)*AY399</f>
        <v>0</v>
      </c>
      <c r="AZ262" s="150" t="n">
        <f aca="false">(1-ProdFac)*AZ399</f>
        <v>0</v>
      </c>
      <c r="BA262" s="150" t="n">
        <f aca="false">(1-ProdFac)*BA399</f>
        <v>0</v>
      </c>
      <c r="BB262" s="150" t="n">
        <f aca="false">(1-ProdFac)*BB399</f>
        <v>0</v>
      </c>
    </row>
    <row r="263" customFormat="false" ht="15" hidden="true" customHeight="false" outlineLevel="1" collapsed="false">
      <c r="B263" s="82" t="s">
        <v>212</v>
      </c>
      <c r="C263" s="128" t="s">
        <v>213</v>
      </c>
      <c r="D263" s="128" t="s">
        <v>59</v>
      </c>
      <c r="E263" s="128"/>
      <c r="F263" s="128" t="s">
        <v>59</v>
      </c>
      <c r="G263" s="75"/>
      <c r="H263" s="128"/>
      <c r="I263" s="128"/>
      <c r="J263" s="128"/>
      <c r="K263" s="128"/>
      <c r="L263" s="78" t="n">
        <f aca="false">SUM(S263:BB263)</f>
        <v>0</v>
      </c>
      <c r="M263" s="128"/>
      <c r="N263" s="130" t="str">
        <f aca="false">IF(ISERROR(VLOOKUP(P263,Member_Tab,2,FALSE())),"",VLOOKUP(P263,Member_Tab,2,FALSE()))</f>
        <v/>
      </c>
      <c r="O263" s="130" t="str">
        <f aca="false">IF(ISERROR(VLOOKUP(P263,Member_Tab,3,FALSE())),"",VLOOKUP(P263,Member_Tab,3,FALSE()))</f>
        <v/>
      </c>
      <c r="P263" s="148" t="str">
        <f aca="false">Site!I19</f>
        <v>Lastname10, Firstname10</v>
      </c>
      <c r="Q263" s="128"/>
      <c r="R263" s="131"/>
      <c r="S263" s="150" t="n">
        <f aca="false">(1-ProdFac)*S400</f>
        <v>0</v>
      </c>
      <c r="T263" s="150" t="n">
        <f aca="false">(1-ProdFac)*T400</f>
        <v>0</v>
      </c>
      <c r="U263" s="150" t="n">
        <f aca="false">(1-ProdFac)*U400</f>
        <v>0</v>
      </c>
      <c r="V263" s="150" t="n">
        <f aca="false">(1-ProdFac)*V400</f>
        <v>0</v>
      </c>
      <c r="W263" s="150" t="n">
        <f aca="false">(1-ProdFac)*W400</f>
        <v>0</v>
      </c>
      <c r="X263" s="150" t="n">
        <f aca="false">(1-ProdFac)*X400</f>
        <v>0</v>
      </c>
      <c r="Y263" s="150" t="n">
        <f aca="false">(1-ProdFac)*Y400</f>
        <v>0</v>
      </c>
      <c r="Z263" s="150" t="n">
        <f aca="false">(1-ProdFac)*Z400</f>
        <v>0</v>
      </c>
      <c r="AA263" s="150" t="n">
        <f aca="false">(1-ProdFac)*AA400</f>
        <v>0</v>
      </c>
      <c r="AB263" s="150" t="n">
        <f aca="false">(1-ProdFac)*AB400</f>
        <v>0</v>
      </c>
      <c r="AC263" s="150" t="n">
        <f aca="false">(1-ProdFac)*AC400</f>
        <v>0</v>
      </c>
      <c r="AD263" s="150" t="n">
        <f aca="false">(1-ProdFac)*AD400</f>
        <v>0</v>
      </c>
      <c r="AE263" s="150" t="n">
        <f aca="false">(1-ProdFac)*AE400</f>
        <v>0</v>
      </c>
      <c r="AF263" s="150" t="n">
        <f aca="false">(1-ProdFac)*AF400</f>
        <v>0</v>
      </c>
      <c r="AG263" s="150" t="n">
        <f aca="false">(1-ProdFac)*AG400</f>
        <v>0</v>
      </c>
      <c r="AH263" s="150" t="n">
        <f aca="false">(1-ProdFac)*AH400</f>
        <v>0</v>
      </c>
      <c r="AI263" s="150" t="n">
        <f aca="false">(1-ProdFac)*AI400</f>
        <v>0</v>
      </c>
      <c r="AJ263" s="150" t="n">
        <f aca="false">(1-ProdFac)*AJ400</f>
        <v>0</v>
      </c>
      <c r="AK263" s="150" t="n">
        <f aca="false">(1-ProdFac)*AK400</f>
        <v>0</v>
      </c>
      <c r="AL263" s="150" t="n">
        <f aca="false">(1-ProdFac)*AL400</f>
        <v>0</v>
      </c>
      <c r="AM263" s="150" t="n">
        <f aca="false">(1-ProdFac)*AM400</f>
        <v>0</v>
      </c>
      <c r="AN263" s="150" t="n">
        <f aca="false">(1-ProdFac)*AN400</f>
        <v>0</v>
      </c>
      <c r="AO263" s="150" t="n">
        <f aca="false">(1-ProdFac)*AO400</f>
        <v>0</v>
      </c>
      <c r="AP263" s="150" t="n">
        <f aca="false">(1-ProdFac)*AP400</f>
        <v>0</v>
      </c>
      <c r="AQ263" s="150" t="n">
        <f aca="false">(1-ProdFac)*AQ400</f>
        <v>0</v>
      </c>
      <c r="AR263" s="150" t="n">
        <f aca="false">(1-ProdFac)*AR400</f>
        <v>0</v>
      </c>
      <c r="AS263" s="150" t="n">
        <f aca="false">(1-ProdFac)*AS400</f>
        <v>0</v>
      </c>
      <c r="AT263" s="150" t="n">
        <f aca="false">(1-ProdFac)*AT400</f>
        <v>0</v>
      </c>
      <c r="AU263" s="150" t="n">
        <f aca="false">(1-ProdFac)*AU400</f>
        <v>0</v>
      </c>
      <c r="AV263" s="150" t="n">
        <f aca="false">(1-ProdFac)*AV400</f>
        <v>0</v>
      </c>
      <c r="AW263" s="150" t="n">
        <f aca="false">(1-ProdFac)*AW400</f>
        <v>0</v>
      </c>
      <c r="AX263" s="150" t="n">
        <f aca="false">(1-ProdFac)*AX400</f>
        <v>0</v>
      </c>
      <c r="AY263" s="150" t="n">
        <f aca="false">(1-ProdFac)*AY400</f>
        <v>0</v>
      </c>
      <c r="AZ263" s="150" t="n">
        <f aca="false">(1-ProdFac)*AZ400</f>
        <v>0</v>
      </c>
      <c r="BA263" s="150" t="n">
        <f aca="false">(1-ProdFac)*BA400</f>
        <v>0</v>
      </c>
      <c r="BB263" s="150" t="n">
        <f aca="false">(1-ProdFac)*BB400</f>
        <v>0</v>
      </c>
    </row>
    <row r="264" customFormat="false" ht="15" hidden="true" customHeight="false" outlineLevel="1" collapsed="false">
      <c r="B264" s="82" t="s">
        <v>212</v>
      </c>
      <c r="C264" s="128" t="s">
        <v>213</v>
      </c>
      <c r="D264" s="128" t="s">
        <v>59</v>
      </c>
      <c r="E264" s="128"/>
      <c r="F264" s="128" t="s">
        <v>59</v>
      </c>
      <c r="G264" s="75"/>
      <c r="H264" s="128"/>
      <c r="I264" s="128"/>
      <c r="J264" s="128"/>
      <c r="K264" s="128"/>
      <c r="L264" s="78" t="n">
        <f aca="false">SUM(S264:BB264)</f>
        <v>0</v>
      </c>
      <c r="M264" s="128"/>
      <c r="N264" s="130" t="str">
        <f aca="false">IF(ISERROR(VLOOKUP(P264,Member_Tab,2,FALSE())),"",VLOOKUP(P264,Member_Tab,2,FALSE()))</f>
        <v/>
      </c>
      <c r="O264" s="130" t="str">
        <f aca="false">IF(ISERROR(VLOOKUP(P264,Member_Tab,3,FALSE())),"",VLOOKUP(P264,Member_Tab,3,FALSE()))</f>
        <v/>
      </c>
      <c r="P264" s="148" t="str">
        <f aca="false">Site!I20</f>
        <v>Lastname11, Firstname11</v>
      </c>
      <c r="Q264" s="128"/>
      <c r="R264" s="131"/>
      <c r="S264" s="150" t="n">
        <f aca="false">(1-ProdFac)*S401</f>
        <v>0</v>
      </c>
      <c r="T264" s="150" t="n">
        <f aca="false">(1-ProdFac)*T401</f>
        <v>0</v>
      </c>
      <c r="U264" s="150" t="n">
        <f aca="false">(1-ProdFac)*U401</f>
        <v>0</v>
      </c>
      <c r="V264" s="150" t="n">
        <f aca="false">(1-ProdFac)*V401</f>
        <v>0</v>
      </c>
      <c r="W264" s="150" t="n">
        <f aca="false">(1-ProdFac)*W401</f>
        <v>0</v>
      </c>
      <c r="X264" s="150" t="n">
        <f aca="false">(1-ProdFac)*X401</f>
        <v>0</v>
      </c>
      <c r="Y264" s="150" t="n">
        <f aca="false">(1-ProdFac)*Y401</f>
        <v>0</v>
      </c>
      <c r="Z264" s="150" t="n">
        <f aca="false">(1-ProdFac)*Z401</f>
        <v>0</v>
      </c>
      <c r="AA264" s="150" t="n">
        <f aca="false">(1-ProdFac)*AA401</f>
        <v>0</v>
      </c>
      <c r="AB264" s="150" t="n">
        <f aca="false">(1-ProdFac)*AB401</f>
        <v>0</v>
      </c>
      <c r="AC264" s="150" t="n">
        <f aca="false">(1-ProdFac)*AC401</f>
        <v>0</v>
      </c>
      <c r="AD264" s="150" t="n">
        <f aca="false">(1-ProdFac)*AD401</f>
        <v>0</v>
      </c>
      <c r="AE264" s="150" t="n">
        <f aca="false">(1-ProdFac)*AE401</f>
        <v>0</v>
      </c>
      <c r="AF264" s="150" t="n">
        <f aca="false">(1-ProdFac)*AF401</f>
        <v>0</v>
      </c>
      <c r="AG264" s="150" t="n">
        <f aca="false">(1-ProdFac)*AG401</f>
        <v>0</v>
      </c>
      <c r="AH264" s="150" t="n">
        <f aca="false">(1-ProdFac)*AH401</f>
        <v>0</v>
      </c>
      <c r="AI264" s="150" t="n">
        <f aca="false">(1-ProdFac)*AI401</f>
        <v>0</v>
      </c>
      <c r="AJ264" s="150" t="n">
        <f aca="false">(1-ProdFac)*AJ401</f>
        <v>0</v>
      </c>
      <c r="AK264" s="150" t="n">
        <f aca="false">(1-ProdFac)*AK401</f>
        <v>0</v>
      </c>
      <c r="AL264" s="150" t="n">
        <f aca="false">(1-ProdFac)*AL401</f>
        <v>0</v>
      </c>
      <c r="AM264" s="150" t="n">
        <f aca="false">(1-ProdFac)*AM401</f>
        <v>0</v>
      </c>
      <c r="AN264" s="150" t="n">
        <f aca="false">(1-ProdFac)*AN401</f>
        <v>0</v>
      </c>
      <c r="AO264" s="150" t="n">
        <f aca="false">(1-ProdFac)*AO401</f>
        <v>0</v>
      </c>
      <c r="AP264" s="150" t="n">
        <f aca="false">(1-ProdFac)*AP401</f>
        <v>0</v>
      </c>
      <c r="AQ264" s="150" t="n">
        <f aca="false">(1-ProdFac)*AQ401</f>
        <v>0</v>
      </c>
      <c r="AR264" s="150" t="n">
        <f aca="false">(1-ProdFac)*AR401</f>
        <v>0</v>
      </c>
      <c r="AS264" s="150" t="n">
        <f aca="false">(1-ProdFac)*AS401</f>
        <v>0</v>
      </c>
      <c r="AT264" s="150" t="n">
        <f aca="false">(1-ProdFac)*AT401</f>
        <v>0</v>
      </c>
      <c r="AU264" s="150" t="n">
        <f aca="false">(1-ProdFac)*AU401</f>
        <v>0</v>
      </c>
      <c r="AV264" s="150" t="n">
        <f aca="false">(1-ProdFac)*AV401</f>
        <v>0</v>
      </c>
      <c r="AW264" s="150" t="n">
        <f aca="false">(1-ProdFac)*AW401</f>
        <v>0</v>
      </c>
      <c r="AX264" s="150" t="n">
        <f aca="false">(1-ProdFac)*AX401</f>
        <v>0</v>
      </c>
      <c r="AY264" s="150" t="n">
        <f aca="false">(1-ProdFac)*AY401</f>
        <v>0</v>
      </c>
      <c r="AZ264" s="150" t="n">
        <f aca="false">(1-ProdFac)*AZ401</f>
        <v>0</v>
      </c>
      <c r="BA264" s="150" t="n">
        <f aca="false">(1-ProdFac)*BA401</f>
        <v>0</v>
      </c>
      <c r="BB264" s="150" t="n">
        <f aca="false">(1-ProdFac)*BB401</f>
        <v>0</v>
      </c>
    </row>
    <row r="265" customFormat="false" ht="15" hidden="true" customHeight="false" outlineLevel="1" collapsed="false">
      <c r="B265" s="82" t="s">
        <v>212</v>
      </c>
      <c r="C265" s="128" t="s">
        <v>213</v>
      </c>
      <c r="D265" s="128" t="s">
        <v>59</v>
      </c>
      <c r="E265" s="128"/>
      <c r="F265" s="128" t="s">
        <v>59</v>
      </c>
      <c r="G265" s="75"/>
      <c r="H265" s="128"/>
      <c r="I265" s="128"/>
      <c r="J265" s="128"/>
      <c r="K265" s="128"/>
      <c r="L265" s="78" t="n">
        <f aca="false">SUM(S265:BB265)</f>
        <v>0</v>
      </c>
      <c r="M265" s="128"/>
      <c r="N265" s="130" t="str">
        <f aca="false">IF(ISERROR(VLOOKUP(P265,Member_Tab,2,FALSE())),"",VLOOKUP(P265,Member_Tab,2,FALSE()))</f>
        <v/>
      </c>
      <c r="O265" s="130" t="str">
        <f aca="false">IF(ISERROR(VLOOKUP(P265,Member_Tab,3,FALSE())),"",VLOOKUP(P265,Member_Tab,3,FALSE()))</f>
        <v/>
      </c>
      <c r="P265" s="148" t="str">
        <f aca="false">Site!I21</f>
        <v>Lastname12, Firstname12</v>
      </c>
      <c r="Q265" s="128"/>
      <c r="R265" s="131"/>
      <c r="S265" s="150" t="n">
        <f aca="false">(1-ProdFac)*S402</f>
        <v>0</v>
      </c>
      <c r="T265" s="150" t="n">
        <f aca="false">(1-ProdFac)*T402</f>
        <v>0</v>
      </c>
      <c r="U265" s="150" t="n">
        <f aca="false">(1-ProdFac)*U402</f>
        <v>0</v>
      </c>
      <c r="V265" s="150" t="n">
        <f aca="false">(1-ProdFac)*V402</f>
        <v>0</v>
      </c>
      <c r="W265" s="150" t="n">
        <f aca="false">(1-ProdFac)*W402</f>
        <v>0</v>
      </c>
      <c r="X265" s="150" t="n">
        <f aca="false">(1-ProdFac)*X402</f>
        <v>0</v>
      </c>
      <c r="Y265" s="150" t="n">
        <f aca="false">(1-ProdFac)*Y402</f>
        <v>0</v>
      </c>
      <c r="Z265" s="150" t="n">
        <f aca="false">(1-ProdFac)*Z402</f>
        <v>0</v>
      </c>
      <c r="AA265" s="150" t="n">
        <f aca="false">(1-ProdFac)*AA402</f>
        <v>0</v>
      </c>
      <c r="AB265" s="150" t="n">
        <f aca="false">(1-ProdFac)*AB402</f>
        <v>0</v>
      </c>
      <c r="AC265" s="150" t="n">
        <f aca="false">(1-ProdFac)*AC402</f>
        <v>0</v>
      </c>
      <c r="AD265" s="150" t="n">
        <f aca="false">(1-ProdFac)*AD402</f>
        <v>0</v>
      </c>
      <c r="AE265" s="150" t="n">
        <f aca="false">(1-ProdFac)*AE402</f>
        <v>0</v>
      </c>
      <c r="AF265" s="150" t="n">
        <f aca="false">(1-ProdFac)*AF402</f>
        <v>0</v>
      </c>
      <c r="AG265" s="150" t="n">
        <f aca="false">(1-ProdFac)*AG402</f>
        <v>0</v>
      </c>
      <c r="AH265" s="150" t="n">
        <f aca="false">(1-ProdFac)*AH402</f>
        <v>0</v>
      </c>
      <c r="AI265" s="150" t="n">
        <f aca="false">(1-ProdFac)*AI402</f>
        <v>0</v>
      </c>
      <c r="AJ265" s="150" t="n">
        <f aca="false">(1-ProdFac)*AJ402</f>
        <v>0</v>
      </c>
      <c r="AK265" s="150" t="n">
        <f aca="false">(1-ProdFac)*AK402</f>
        <v>0</v>
      </c>
      <c r="AL265" s="150" t="n">
        <f aca="false">(1-ProdFac)*AL402</f>
        <v>0</v>
      </c>
      <c r="AM265" s="150" t="n">
        <f aca="false">(1-ProdFac)*AM402</f>
        <v>0</v>
      </c>
      <c r="AN265" s="150" t="n">
        <f aca="false">(1-ProdFac)*AN402</f>
        <v>0</v>
      </c>
      <c r="AO265" s="150" t="n">
        <f aca="false">(1-ProdFac)*AO402</f>
        <v>0</v>
      </c>
      <c r="AP265" s="150" t="n">
        <f aca="false">(1-ProdFac)*AP402</f>
        <v>0</v>
      </c>
      <c r="AQ265" s="150" t="n">
        <f aca="false">(1-ProdFac)*AQ402</f>
        <v>0</v>
      </c>
      <c r="AR265" s="150" t="n">
        <f aca="false">(1-ProdFac)*AR402</f>
        <v>0</v>
      </c>
      <c r="AS265" s="150" t="n">
        <f aca="false">(1-ProdFac)*AS402</f>
        <v>0</v>
      </c>
      <c r="AT265" s="150" t="n">
        <f aca="false">(1-ProdFac)*AT402</f>
        <v>0</v>
      </c>
      <c r="AU265" s="150" t="n">
        <f aca="false">(1-ProdFac)*AU402</f>
        <v>0</v>
      </c>
      <c r="AV265" s="150" t="n">
        <f aca="false">(1-ProdFac)*AV402</f>
        <v>0</v>
      </c>
      <c r="AW265" s="150" t="n">
        <f aca="false">(1-ProdFac)*AW402</f>
        <v>0</v>
      </c>
      <c r="AX265" s="150" t="n">
        <f aca="false">(1-ProdFac)*AX402</f>
        <v>0</v>
      </c>
      <c r="AY265" s="150" t="n">
        <f aca="false">(1-ProdFac)*AY402</f>
        <v>0</v>
      </c>
      <c r="AZ265" s="150" t="n">
        <f aca="false">(1-ProdFac)*AZ402</f>
        <v>0</v>
      </c>
      <c r="BA265" s="150" t="n">
        <f aca="false">(1-ProdFac)*BA402</f>
        <v>0</v>
      </c>
      <c r="BB265" s="150" t="n">
        <f aca="false">(1-ProdFac)*BB402</f>
        <v>0</v>
      </c>
    </row>
    <row r="266" customFormat="false" ht="15" hidden="true" customHeight="false" outlineLevel="1" collapsed="false">
      <c r="B266" s="82" t="s">
        <v>212</v>
      </c>
      <c r="C266" s="128" t="s">
        <v>213</v>
      </c>
      <c r="D266" s="128" t="s">
        <v>59</v>
      </c>
      <c r="E266" s="128"/>
      <c r="F266" s="128" t="s">
        <v>59</v>
      </c>
      <c r="G266" s="75"/>
      <c r="H266" s="128"/>
      <c r="I266" s="128"/>
      <c r="J266" s="128"/>
      <c r="K266" s="128"/>
      <c r="L266" s="78" t="n">
        <f aca="false">SUM(S266:BB266)</f>
        <v>0</v>
      </c>
      <c r="M266" s="128"/>
      <c r="N266" s="130" t="str">
        <f aca="false">IF(ISERROR(VLOOKUP(P266,Member_Tab,2,FALSE())),"",VLOOKUP(P266,Member_Tab,2,FALSE()))</f>
        <v/>
      </c>
      <c r="O266" s="130" t="str">
        <f aca="false">IF(ISERROR(VLOOKUP(P266,Member_Tab,3,FALSE())),"",VLOOKUP(P266,Member_Tab,3,FALSE()))</f>
        <v/>
      </c>
      <c r="P266" s="148" t="str">
        <f aca="false">Site!I22</f>
        <v>Lastname13, Firstname13</v>
      </c>
      <c r="Q266" s="128"/>
      <c r="R266" s="131"/>
      <c r="S266" s="150" t="n">
        <f aca="false">(1-ProdFac)*S403</f>
        <v>0</v>
      </c>
      <c r="T266" s="150" t="n">
        <f aca="false">(1-ProdFac)*T403</f>
        <v>0</v>
      </c>
      <c r="U266" s="150" t="n">
        <f aca="false">(1-ProdFac)*U403</f>
        <v>0</v>
      </c>
      <c r="V266" s="150" t="n">
        <f aca="false">(1-ProdFac)*V403</f>
        <v>0</v>
      </c>
      <c r="W266" s="150" t="n">
        <f aca="false">(1-ProdFac)*W403</f>
        <v>0</v>
      </c>
      <c r="X266" s="150" t="n">
        <f aca="false">(1-ProdFac)*X403</f>
        <v>0</v>
      </c>
      <c r="Y266" s="150" t="n">
        <f aca="false">(1-ProdFac)*Y403</f>
        <v>0</v>
      </c>
      <c r="Z266" s="150" t="n">
        <f aca="false">(1-ProdFac)*Z403</f>
        <v>0</v>
      </c>
      <c r="AA266" s="150" t="n">
        <f aca="false">(1-ProdFac)*AA403</f>
        <v>0</v>
      </c>
      <c r="AB266" s="150" t="n">
        <f aca="false">(1-ProdFac)*AB403</f>
        <v>0</v>
      </c>
      <c r="AC266" s="150" t="n">
        <f aca="false">(1-ProdFac)*AC403</f>
        <v>0</v>
      </c>
      <c r="AD266" s="150" t="n">
        <f aca="false">(1-ProdFac)*AD403</f>
        <v>0</v>
      </c>
      <c r="AE266" s="150" t="n">
        <f aca="false">(1-ProdFac)*AE403</f>
        <v>0</v>
      </c>
      <c r="AF266" s="150" t="n">
        <f aca="false">(1-ProdFac)*AF403</f>
        <v>0</v>
      </c>
      <c r="AG266" s="150" t="n">
        <f aca="false">(1-ProdFac)*AG403</f>
        <v>0</v>
      </c>
      <c r="AH266" s="150" t="n">
        <f aca="false">(1-ProdFac)*AH403</f>
        <v>0</v>
      </c>
      <c r="AI266" s="150" t="n">
        <f aca="false">(1-ProdFac)*AI403</f>
        <v>0</v>
      </c>
      <c r="AJ266" s="150" t="n">
        <f aca="false">(1-ProdFac)*AJ403</f>
        <v>0</v>
      </c>
      <c r="AK266" s="150" t="n">
        <f aca="false">(1-ProdFac)*AK403</f>
        <v>0</v>
      </c>
      <c r="AL266" s="150" t="n">
        <f aca="false">(1-ProdFac)*AL403</f>
        <v>0</v>
      </c>
      <c r="AM266" s="150" t="n">
        <f aca="false">(1-ProdFac)*AM403</f>
        <v>0</v>
      </c>
      <c r="AN266" s="150" t="n">
        <f aca="false">(1-ProdFac)*AN403</f>
        <v>0</v>
      </c>
      <c r="AO266" s="150" t="n">
        <f aca="false">(1-ProdFac)*AO403</f>
        <v>0</v>
      </c>
      <c r="AP266" s="150" t="n">
        <f aca="false">(1-ProdFac)*AP403</f>
        <v>0</v>
      </c>
      <c r="AQ266" s="150" t="n">
        <f aca="false">(1-ProdFac)*AQ403</f>
        <v>0</v>
      </c>
      <c r="AR266" s="150" t="n">
        <f aca="false">(1-ProdFac)*AR403</f>
        <v>0</v>
      </c>
      <c r="AS266" s="150" t="n">
        <f aca="false">(1-ProdFac)*AS403</f>
        <v>0</v>
      </c>
      <c r="AT266" s="150" t="n">
        <f aca="false">(1-ProdFac)*AT403</f>
        <v>0</v>
      </c>
      <c r="AU266" s="150" t="n">
        <f aca="false">(1-ProdFac)*AU403</f>
        <v>0</v>
      </c>
      <c r="AV266" s="150" t="n">
        <f aca="false">(1-ProdFac)*AV403</f>
        <v>0</v>
      </c>
      <c r="AW266" s="150" t="n">
        <f aca="false">(1-ProdFac)*AW403</f>
        <v>0</v>
      </c>
      <c r="AX266" s="150" t="n">
        <f aca="false">(1-ProdFac)*AX403</f>
        <v>0</v>
      </c>
      <c r="AY266" s="150" t="n">
        <f aca="false">(1-ProdFac)*AY403</f>
        <v>0</v>
      </c>
      <c r="AZ266" s="150" t="n">
        <f aca="false">(1-ProdFac)*AZ403</f>
        <v>0</v>
      </c>
      <c r="BA266" s="150" t="n">
        <f aca="false">(1-ProdFac)*BA403</f>
        <v>0</v>
      </c>
      <c r="BB266" s="150" t="n">
        <f aca="false">(1-ProdFac)*BB403</f>
        <v>0</v>
      </c>
    </row>
    <row r="267" customFormat="false" ht="15" hidden="true" customHeight="false" outlineLevel="1" collapsed="false">
      <c r="B267" s="82" t="s">
        <v>212</v>
      </c>
      <c r="C267" s="128" t="s">
        <v>213</v>
      </c>
      <c r="D267" s="128" t="s">
        <v>59</v>
      </c>
      <c r="E267" s="128"/>
      <c r="F267" s="128" t="s">
        <v>59</v>
      </c>
      <c r="G267" s="75"/>
      <c r="H267" s="128"/>
      <c r="I267" s="128"/>
      <c r="J267" s="128"/>
      <c r="K267" s="128"/>
      <c r="L267" s="78" t="n">
        <f aca="false">SUM(S267:BB267)</f>
        <v>0</v>
      </c>
      <c r="M267" s="128"/>
      <c r="N267" s="130" t="str">
        <f aca="false">IF(ISERROR(VLOOKUP(P267,Member_Tab,2,FALSE())),"",VLOOKUP(P267,Member_Tab,2,FALSE()))</f>
        <v/>
      </c>
      <c r="O267" s="130" t="str">
        <f aca="false">IF(ISERROR(VLOOKUP(P267,Member_Tab,3,FALSE())),"",VLOOKUP(P267,Member_Tab,3,FALSE()))</f>
        <v/>
      </c>
      <c r="P267" s="148" t="str">
        <f aca="false">Site!I23</f>
        <v>Lastname14, Firstname14</v>
      </c>
      <c r="Q267" s="128"/>
      <c r="R267" s="131"/>
      <c r="S267" s="150" t="n">
        <f aca="false">(1-ProdFac)*S404</f>
        <v>0</v>
      </c>
      <c r="T267" s="150" t="n">
        <f aca="false">(1-ProdFac)*T404</f>
        <v>0</v>
      </c>
      <c r="U267" s="150" t="n">
        <f aca="false">(1-ProdFac)*U404</f>
        <v>0</v>
      </c>
      <c r="V267" s="150" t="n">
        <f aca="false">(1-ProdFac)*V404</f>
        <v>0</v>
      </c>
      <c r="W267" s="150" t="n">
        <f aca="false">(1-ProdFac)*W404</f>
        <v>0</v>
      </c>
      <c r="X267" s="150" t="n">
        <f aca="false">(1-ProdFac)*X404</f>
        <v>0</v>
      </c>
      <c r="Y267" s="150" t="n">
        <f aca="false">(1-ProdFac)*Y404</f>
        <v>0</v>
      </c>
      <c r="Z267" s="150" t="n">
        <f aca="false">(1-ProdFac)*Z404</f>
        <v>0</v>
      </c>
      <c r="AA267" s="150" t="n">
        <f aca="false">(1-ProdFac)*AA404</f>
        <v>0</v>
      </c>
      <c r="AB267" s="150" t="n">
        <f aca="false">(1-ProdFac)*AB404</f>
        <v>0</v>
      </c>
      <c r="AC267" s="150" t="n">
        <f aca="false">(1-ProdFac)*AC404</f>
        <v>0</v>
      </c>
      <c r="AD267" s="150" t="n">
        <f aca="false">(1-ProdFac)*AD404</f>
        <v>0</v>
      </c>
      <c r="AE267" s="150" t="n">
        <f aca="false">(1-ProdFac)*AE404</f>
        <v>0</v>
      </c>
      <c r="AF267" s="150" t="n">
        <f aca="false">(1-ProdFac)*AF404</f>
        <v>0</v>
      </c>
      <c r="AG267" s="150" t="n">
        <f aca="false">(1-ProdFac)*AG404</f>
        <v>0</v>
      </c>
      <c r="AH267" s="150" t="n">
        <f aca="false">(1-ProdFac)*AH404</f>
        <v>0</v>
      </c>
      <c r="AI267" s="150" t="n">
        <f aca="false">(1-ProdFac)*AI404</f>
        <v>0</v>
      </c>
      <c r="AJ267" s="150" t="n">
        <f aca="false">(1-ProdFac)*AJ404</f>
        <v>0</v>
      </c>
      <c r="AK267" s="150" t="n">
        <f aca="false">(1-ProdFac)*AK404</f>
        <v>0</v>
      </c>
      <c r="AL267" s="150" t="n">
        <f aca="false">(1-ProdFac)*AL404</f>
        <v>0</v>
      </c>
      <c r="AM267" s="150" t="n">
        <f aca="false">(1-ProdFac)*AM404</f>
        <v>0</v>
      </c>
      <c r="AN267" s="150" t="n">
        <f aca="false">(1-ProdFac)*AN404</f>
        <v>0</v>
      </c>
      <c r="AO267" s="150" t="n">
        <f aca="false">(1-ProdFac)*AO404</f>
        <v>0</v>
      </c>
      <c r="AP267" s="150" t="n">
        <f aca="false">(1-ProdFac)*AP404</f>
        <v>0</v>
      </c>
      <c r="AQ267" s="150" t="n">
        <f aca="false">(1-ProdFac)*AQ404</f>
        <v>0</v>
      </c>
      <c r="AR267" s="150" t="n">
        <f aca="false">(1-ProdFac)*AR404</f>
        <v>0</v>
      </c>
      <c r="AS267" s="150" t="n">
        <f aca="false">(1-ProdFac)*AS404</f>
        <v>0</v>
      </c>
      <c r="AT267" s="150" t="n">
        <f aca="false">(1-ProdFac)*AT404</f>
        <v>0</v>
      </c>
      <c r="AU267" s="150" t="n">
        <f aca="false">(1-ProdFac)*AU404</f>
        <v>0</v>
      </c>
      <c r="AV267" s="150" t="n">
        <f aca="false">(1-ProdFac)*AV404</f>
        <v>0</v>
      </c>
      <c r="AW267" s="150" t="n">
        <f aca="false">(1-ProdFac)*AW404</f>
        <v>0</v>
      </c>
      <c r="AX267" s="150" t="n">
        <f aca="false">(1-ProdFac)*AX404</f>
        <v>0</v>
      </c>
      <c r="AY267" s="150" t="n">
        <f aca="false">(1-ProdFac)*AY404</f>
        <v>0</v>
      </c>
      <c r="AZ267" s="150" t="n">
        <f aca="false">(1-ProdFac)*AZ404</f>
        <v>0</v>
      </c>
      <c r="BA267" s="150" t="n">
        <f aca="false">(1-ProdFac)*BA404</f>
        <v>0</v>
      </c>
      <c r="BB267" s="150" t="n">
        <f aca="false">(1-ProdFac)*BB404</f>
        <v>0</v>
      </c>
    </row>
    <row r="268" customFormat="false" ht="15" hidden="true" customHeight="false" outlineLevel="1" collapsed="false">
      <c r="B268" s="82" t="s">
        <v>212</v>
      </c>
      <c r="C268" s="128" t="s">
        <v>213</v>
      </c>
      <c r="D268" s="128" t="s">
        <v>59</v>
      </c>
      <c r="E268" s="128"/>
      <c r="F268" s="128" t="s">
        <v>59</v>
      </c>
      <c r="G268" s="75"/>
      <c r="H268" s="128"/>
      <c r="I268" s="128"/>
      <c r="J268" s="128"/>
      <c r="K268" s="128"/>
      <c r="L268" s="78" t="n">
        <f aca="false">SUM(S268:BB268)</f>
        <v>0</v>
      </c>
      <c r="M268" s="128"/>
      <c r="N268" s="130" t="str">
        <f aca="false">IF(ISERROR(VLOOKUP(P268,Member_Tab,2,FALSE())),"",VLOOKUP(P268,Member_Tab,2,FALSE()))</f>
        <v/>
      </c>
      <c r="O268" s="130" t="str">
        <f aca="false">IF(ISERROR(VLOOKUP(P268,Member_Tab,3,FALSE())),"",VLOOKUP(P268,Member_Tab,3,FALSE()))</f>
        <v/>
      </c>
      <c r="P268" s="148" t="str">
        <f aca="false">Site!I24</f>
        <v>Lastname15, Firstname15</v>
      </c>
      <c r="Q268" s="128"/>
      <c r="R268" s="131"/>
      <c r="S268" s="150" t="n">
        <f aca="false">(1-ProdFac)*S405</f>
        <v>0</v>
      </c>
      <c r="T268" s="150" t="n">
        <f aca="false">(1-ProdFac)*T405</f>
        <v>0</v>
      </c>
      <c r="U268" s="150" t="n">
        <f aca="false">(1-ProdFac)*U405</f>
        <v>0</v>
      </c>
      <c r="V268" s="150" t="n">
        <f aca="false">(1-ProdFac)*V405</f>
        <v>0</v>
      </c>
      <c r="W268" s="150" t="n">
        <f aca="false">(1-ProdFac)*W405</f>
        <v>0</v>
      </c>
      <c r="X268" s="150" t="n">
        <f aca="false">(1-ProdFac)*X405</f>
        <v>0</v>
      </c>
      <c r="Y268" s="150" t="n">
        <f aca="false">(1-ProdFac)*Y405</f>
        <v>0</v>
      </c>
      <c r="Z268" s="150" t="n">
        <f aca="false">(1-ProdFac)*Z405</f>
        <v>0</v>
      </c>
      <c r="AA268" s="150" t="n">
        <f aca="false">(1-ProdFac)*AA405</f>
        <v>0</v>
      </c>
      <c r="AB268" s="150" t="n">
        <f aca="false">(1-ProdFac)*AB405</f>
        <v>0</v>
      </c>
      <c r="AC268" s="150" t="n">
        <f aca="false">(1-ProdFac)*AC405</f>
        <v>0</v>
      </c>
      <c r="AD268" s="150" t="n">
        <f aca="false">(1-ProdFac)*AD405</f>
        <v>0</v>
      </c>
      <c r="AE268" s="150" t="n">
        <f aca="false">(1-ProdFac)*AE405</f>
        <v>0</v>
      </c>
      <c r="AF268" s="150" t="n">
        <f aca="false">(1-ProdFac)*AF405</f>
        <v>0</v>
      </c>
      <c r="AG268" s="150" t="n">
        <f aca="false">(1-ProdFac)*AG405</f>
        <v>0</v>
      </c>
      <c r="AH268" s="150" t="n">
        <f aca="false">(1-ProdFac)*AH405</f>
        <v>0</v>
      </c>
      <c r="AI268" s="150" t="n">
        <f aca="false">(1-ProdFac)*AI405</f>
        <v>0</v>
      </c>
      <c r="AJ268" s="150" t="n">
        <f aca="false">(1-ProdFac)*AJ405</f>
        <v>0</v>
      </c>
      <c r="AK268" s="150" t="n">
        <f aca="false">(1-ProdFac)*AK405</f>
        <v>0</v>
      </c>
      <c r="AL268" s="150" t="n">
        <f aca="false">(1-ProdFac)*AL405</f>
        <v>0</v>
      </c>
      <c r="AM268" s="150" t="n">
        <f aca="false">(1-ProdFac)*AM405</f>
        <v>0</v>
      </c>
      <c r="AN268" s="150" t="n">
        <f aca="false">(1-ProdFac)*AN405</f>
        <v>0</v>
      </c>
      <c r="AO268" s="150" t="n">
        <f aca="false">(1-ProdFac)*AO405</f>
        <v>0</v>
      </c>
      <c r="AP268" s="150" t="n">
        <f aca="false">(1-ProdFac)*AP405</f>
        <v>0</v>
      </c>
      <c r="AQ268" s="150" t="n">
        <f aca="false">(1-ProdFac)*AQ405</f>
        <v>0</v>
      </c>
      <c r="AR268" s="150" t="n">
        <f aca="false">(1-ProdFac)*AR405</f>
        <v>0</v>
      </c>
      <c r="AS268" s="150" t="n">
        <f aca="false">(1-ProdFac)*AS405</f>
        <v>0</v>
      </c>
      <c r="AT268" s="150" t="n">
        <f aca="false">(1-ProdFac)*AT405</f>
        <v>0</v>
      </c>
      <c r="AU268" s="150" t="n">
        <f aca="false">(1-ProdFac)*AU405</f>
        <v>0</v>
      </c>
      <c r="AV268" s="150" t="n">
        <f aca="false">(1-ProdFac)*AV405</f>
        <v>0</v>
      </c>
      <c r="AW268" s="150" t="n">
        <f aca="false">(1-ProdFac)*AW405</f>
        <v>0</v>
      </c>
      <c r="AX268" s="150" t="n">
        <f aca="false">(1-ProdFac)*AX405</f>
        <v>0</v>
      </c>
      <c r="AY268" s="150" t="n">
        <f aca="false">(1-ProdFac)*AY405</f>
        <v>0</v>
      </c>
      <c r="AZ268" s="150" t="n">
        <f aca="false">(1-ProdFac)*AZ405</f>
        <v>0</v>
      </c>
      <c r="BA268" s="150" t="n">
        <f aca="false">(1-ProdFac)*BA405</f>
        <v>0</v>
      </c>
      <c r="BB268" s="150" t="n">
        <f aca="false">(1-ProdFac)*BB405</f>
        <v>0</v>
      </c>
    </row>
    <row r="269" customFormat="false" ht="15" hidden="true" customHeight="false" outlineLevel="1" collapsed="false">
      <c r="B269" s="82" t="s">
        <v>212</v>
      </c>
      <c r="C269" s="128" t="s">
        <v>213</v>
      </c>
      <c r="D269" s="128" t="s">
        <v>59</v>
      </c>
      <c r="E269" s="128"/>
      <c r="F269" s="128" t="s">
        <v>59</v>
      </c>
      <c r="G269" s="75"/>
      <c r="H269" s="128"/>
      <c r="I269" s="128"/>
      <c r="J269" s="128"/>
      <c r="K269" s="128"/>
      <c r="L269" s="78" t="n">
        <f aca="false">SUM(S269:BB269)</f>
        <v>0</v>
      </c>
      <c r="M269" s="128"/>
      <c r="N269" s="130" t="str">
        <f aca="false">IF(ISERROR(VLOOKUP(P269,Member_Tab,2,FALSE())),"",VLOOKUP(P269,Member_Tab,2,FALSE()))</f>
        <v/>
      </c>
      <c r="O269" s="130" t="str">
        <f aca="false">IF(ISERROR(VLOOKUP(P269,Member_Tab,3,FALSE())),"",VLOOKUP(P269,Member_Tab,3,FALSE()))</f>
        <v/>
      </c>
      <c r="P269" s="148" t="str">
        <f aca="false">Site!I25</f>
        <v>Lastname16, Firstname16</v>
      </c>
      <c r="Q269" s="128"/>
      <c r="R269" s="131"/>
      <c r="S269" s="150" t="n">
        <f aca="false">(1-ProdFac)*S406</f>
        <v>0</v>
      </c>
      <c r="T269" s="150" t="n">
        <f aca="false">(1-ProdFac)*T406</f>
        <v>0</v>
      </c>
      <c r="U269" s="150" t="n">
        <f aca="false">(1-ProdFac)*U406</f>
        <v>0</v>
      </c>
      <c r="V269" s="150" t="n">
        <f aca="false">(1-ProdFac)*V406</f>
        <v>0</v>
      </c>
      <c r="W269" s="150" t="n">
        <f aca="false">(1-ProdFac)*W406</f>
        <v>0</v>
      </c>
      <c r="X269" s="150" t="n">
        <f aca="false">(1-ProdFac)*X406</f>
        <v>0</v>
      </c>
      <c r="Y269" s="150" t="n">
        <f aca="false">(1-ProdFac)*Y406</f>
        <v>0</v>
      </c>
      <c r="Z269" s="150" t="n">
        <f aca="false">(1-ProdFac)*Z406</f>
        <v>0</v>
      </c>
      <c r="AA269" s="150" t="n">
        <f aca="false">(1-ProdFac)*AA406</f>
        <v>0</v>
      </c>
      <c r="AB269" s="150" t="n">
        <f aca="false">(1-ProdFac)*AB406</f>
        <v>0</v>
      </c>
      <c r="AC269" s="150" t="n">
        <f aca="false">(1-ProdFac)*AC406</f>
        <v>0</v>
      </c>
      <c r="AD269" s="150" t="n">
        <f aca="false">(1-ProdFac)*AD406</f>
        <v>0</v>
      </c>
      <c r="AE269" s="150" t="n">
        <f aca="false">(1-ProdFac)*AE406</f>
        <v>0</v>
      </c>
      <c r="AF269" s="150" t="n">
        <f aca="false">(1-ProdFac)*AF406</f>
        <v>0</v>
      </c>
      <c r="AG269" s="150" t="n">
        <f aca="false">(1-ProdFac)*AG406</f>
        <v>0</v>
      </c>
      <c r="AH269" s="150" t="n">
        <f aca="false">(1-ProdFac)*AH406</f>
        <v>0</v>
      </c>
      <c r="AI269" s="150" t="n">
        <f aca="false">(1-ProdFac)*AI406</f>
        <v>0</v>
      </c>
      <c r="AJ269" s="150" t="n">
        <f aca="false">(1-ProdFac)*AJ406</f>
        <v>0</v>
      </c>
      <c r="AK269" s="150" t="n">
        <f aca="false">(1-ProdFac)*AK406</f>
        <v>0</v>
      </c>
      <c r="AL269" s="150" t="n">
        <f aca="false">(1-ProdFac)*AL406</f>
        <v>0</v>
      </c>
      <c r="AM269" s="150" t="n">
        <f aca="false">(1-ProdFac)*AM406</f>
        <v>0</v>
      </c>
      <c r="AN269" s="150" t="n">
        <f aca="false">(1-ProdFac)*AN406</f>
        <v>0</v>
      </c>
      <c r="AO269" s="150" t="n">
        <f aca="false">(1-ProdFac)*AO406</f>
        <v>0</v>
      </c>
      <c r="AP269" s="150" t="n">
        <f aca="false">(1-ProdFac)*AP406</f>
        <v>0</v>
      </c>
      <c r="AQ269" s="150" t="n">
        <f aca="false">(1-ProdFac)*AQ406</f>
        <v>0</v>
      </c>
      <c r="AR269" s="150" t="n">
        <f aca="false">(1-ProdFac)*AR406</f>
        <v>0</v>
      </c>
      <c r="AS269" s="150" t="n">
        <f aca="false">(1-ProdFac)*AS406</f>
        <v>0</v>
      </c>
      <c r="AT269" s="150" t="n">
        <f aca="false">(1-ProdFac)*AT406</f>
        <v>0</v>
      </c>
      <c r="AU269" s="150" t="n">
        <f aca="false">(1-ProdFac)*AU406</f>
        <v>0</v>
      </c>
      <c r="AV269" s="150" t="n">
        <f aca="false">(1-ProdFac)*AV406</f>
        <v>0</v>
      </c>
      <c r="AW269" s="150" t="n">
        <f aca="false">(1-ProdFac)*AW406</f>
        <v>0</v>
      </c>
      <c r="AX269" s="150" t="n">
        <f aca="false">(1-ProdFac)*AX406</f>
        <v>0</v>
      </c>
      <c r="AY269" s="150" t="n">
        <f aca="false">(1-ProdFac)*AY406</f>
        <v>0</v>
      </c>
      <c r="AZ269" s="150" t="n">
        <f aca="false">(1-ProdFac)*AZ406</f>
        <v>0</v>
      </c>
      <c r="BA269" s="150" t="n">
        <f aca="false">(1-ProdFac)*BA406</f>
        <v>0</v>
      </c>
      <c r="BB269" s="150" t="n">
        <f aca="false">(1-ProdFac)*BB406</f>
        <v>0</v>
      </c>
    </row>
    <row r="270" customFormat="false" ht="15" hidden="true" customHeight="false" outlineLevel="1" collapsed="false">
      <c r="B270" s="82" t="s">
        <v>212</v>
      </c>
      <c r="C270" s="128" t="s">
        <v>213</v>
      </c>
      <c r="D270" s="128" t="s">
        <v>59</v>
      </c>
      <c r="E270" s="128"/>
      <c r="F270" s="128" t="s">
        <v>59</v>
      </c>
      <c r="G270" s="75"/>
      <c r="H270" s="128"/>
      <c r="I270" s="128"/>
      <c r="J270" s="128"/>
      <c r="K270" s="128"/>
      <c r="L270" s="78" t="n">
        <f aca="false">SUM(S270:BB270)</f>
        <v>957.44</v>
      </c>
      <c r="M270" s="128"/>
      <c r="N270" s="130" t="str">
        <f aca="false">IF(ISERROR(VLOOKUP(P270,Member_Tab,2,FALSE())),"",VLOOKUP(P270,Member_Tab,2,FALSE()))</f>
        <v>AirOn360_Team01</v>
      </c>
      <c r="O270" s="130" t="str">
        <f aca="false">IF(ISERROR(VLOOKUP(P270,Member_Tab,3,FALSE())),"",VLOOKUP(P270,Member_Tab,3,FALSE()))</f>
        <v>R&amp;D Expert HW Technology</v>
      </c>
      <c r="P270" s="148" t="str">
        <f aca="false">Site!I26</f>
        <v>Johansson, Benim</v>
      </c>
      <c r="Q270" s="128"/>
      <c r="R270" s="131"/>
      <c r="S270" s="150" t="n">
        <f aca="false">(1-ProdFac)*S407</f>
        <v>26.88</v>
      </c>
      <c r="T270" s="150" t="n">
        <f aca="false">(1-ProdFac)*T407</f>
        <v>25.6</v>
      </c>
      <c r="U270" s="150" t="n">
        <f aca="false">(1-ProdFac)*U407</f>
        <v>29.44</v>
      </c>
      <c r="V270" s="150" t="n">
        <f aca="false">(1-ProdFac)*V407</f>
        <v>23.04</v>
      </c>
      <c r="W270" s="150" t="n">
        <f aca="false">(1-ProdFac)*W407</f>
        <v>26.88</v>
      </c>
      <c r="X270" s="150" t="n">
        <f aca="false">(1-ProdFac)*X407</f>
        <v>25.6</v>
      </c>
      <c r="Y270" s="150" t="n">
        <f aca="false">(1-ProdFac)*Y407</f>
        <v>26.88</v>
      </c>
      <c r="Z270" s="150" t="n">
        <f aca="false">(1-ProdFac)*Z407</f>
        <v>29.44</v>
      </c>
      <c r="AA270" s="150" t="n">
        <f aca="false">(1-ProdFac)*AA407</f>
        <v>26.88</v>
      </c>
      <c r="AB270" s="150" t="n">
        <f aca="false">(1-ProdFac)*AB407</f>
        <v>28.16</v>
      </c>
      <c r="AC270" s="150" t="n">
        <f aca="false">(1-ProdFac)*AC407</f>
        <v>28.16</v>
      </c>
      <c r="AD270" s="150" t="n">
        <f aca="false">(1-ProdFac)*AD407</f>
        <v>24.32</v>
      </c>
      <c r="AE270" s="150" t="n">
        <f aca="false">(1-ProdFac)*AE407</f>
        <v>28.16</v>
      </c>
      <c r="AF270" s="150" t="n">
        <f aca="false">(1-ProdFac)*AF407</f>
        <v>26.88</v>
      </c>
      <c r="AG270" s="150" t="n">
        <f aca="false">(1-ProdFac)*AG407</f>
        <v>25.6</v>
      </c>
      <c r="AH270" s="150" t="n">
        <f aca="false">(1-ProdFac)*AH407</f>
        <v>26.88</v>
      </c>
      <c r="AI270" s="150" t="n">
        <f aca="false">(1-ProdFac)*AI407</f>
        <v>24.32</v>
      </c>
      <c r="AJ270" s="150" t="n">
        <f aca="false">(1-ProdFac)*AJ407</f>
        <v>25.6</v>
      </c>
      <c r="AK270" s="150" t="n">
        <f aca="false">(1-ProdFac)*AK407</f>
        <v>29.44</v>
      </c>
      <c r="AL270" s="150" t="n">
        <f aca="false">(1-ProdFac)*AL407</f>
        <v>26.88</v>
      </c>
      <c r="AM270" s="150" t="n">
        <f aca="false">(1-ProdFac)*AM407</f>
        <v>26.88</v>
      </c>
      <c r="AN270" s="150" t="n">
        <f aca="false">(1-ProdFac)*AN407</f>
        <v>28.16</v>
      </c>
      <c r="AO270" s="150" t="n">
        <f aca="false">(1-ProdFac)*AO407</f>
        <v>25.6</v>
      </c>
      <c r="AP270" s="150" t="n">
        <f aca="false">(1-ProdFac)*AP407</f>
        <v>24.32</v>
      </c>
      <c r="AQ270" s="150" t="n">
        <f aca="false">(1-ProdFac)*AQ407</f>
        <v>26.88</v>
      </c>
      <c r="AR270" s="150" t="n">
        <f aca="false">(1-ProdFac)*AR407</f>
        <v>25.6</v>
      </c>
      <c r="AS270" s="150" t="n">
        <f aca="false">(1-ProdFac)*AS407</f>
        <v>26.88</v>
      </c>
      <c r="AT270" s="150" t="n">
        <f aca="false">(1-ProdFac)*AT407</f>
        <v>25.6</v>
      </c>
      <c r="AU270" s="150" t="n">
        <f aca="false">(1-ProdFac)*AU407</f>
        <v>25.6</v>
      </c>
      <c r="AV270" s="150" t="n">
        <f aca="false">(1-ProdFac)*AV407</f>
        <v>24.32</v>
      </c>
      <c r="AW270" s="150" t="n">
        <f aca="false">(1-ProdFac)*AW407</f>
        <v>29.44</v>
      </c>
      <c r="AX270" s="150" t="n">
        <f aca="false">(1-ProdFac)*AX407</f>
        <v>25.6</v>
      </c>
      <c r="AY270" s="150" t="n">
        <f aca="false">(1-ProdFac)*AY407</f>
        <v>28.16</v>
      </c>
      <c r="AZ270" s="150" t="n">
        <f aca="false">(1-ProdFac)*AZ407</f>
        <v>28.16</v>
      </c>
      <c r="BA270" s="150" t="n">
        <f aca="false">(1-ProdFac)*BA407</f>
        <v>25.6</v>
      </c>
      <c r="BB270" s="150" t="n">
        <f aca="false">(1-ProdFac)*BB407</f>
        <v>25.6</v>
      </c>
    </row>
    <row r="271" customFormat="false" ht="15" hidden="true" customHeight="false" outlineLevel="1" collapsed="false">
      <c r="B271" s="82" t="s">
        <v>212</v>
      </c>
      <c r="C271" s="128" t="s">
        <v>213</v>
      </c>
      <c r="D271" s="128" t="s">
        <v>59</v>
      </c>
      <c r="E271" s="128"/>
      <c r="F271" s="128" t="s">
        <v>59</v>
      </c>
      <c r="G271" s="75"/>
      <c r="H271" s="128"/>
      <c r="I271" s="128"/>
      <c r="J271" s="128"/>
      <c r="K271" s="128"/>
      <c r="L271" s="78" t="n">
        <f aca="false">SUM(S271:BB271)</f>
        <v>0</v>
      </c>
      <c r="M271" s="128"/>
      <c r="N271" s="130" t="str">
        <f aca="false">IF(ISERROR(VLOOKUP(P271,Member_Tab,2,FALSE())),"",VLOOKUP(P271,Member_Tab,2,FALSE()))</f>
        <v/>
      </c>
      <c r="O271" s="130" t="str">
        <f aca="false">IF(ISERROR(VLOOKUP(P271,Member_Tab,3,FALSE())),"",VLOOKUP(P271,Member_Tab,3,FALSE()))</f>
        <v/>
      </c>
      <c r="P271" s="148" t="n">
        <f aca="false">Site!I27</f>
        <v>0</v>
      </c>
      <c r="Q271" s="128"/>
      <c r="R271" s="131"/>
      <c r="S271" s="150" t="n">
        <f aca="false">(1-ProdFac)*S408</f>
        <v>0</v>
      </c>
      <c r="T271" s="150" t="n">
        <f aca="false">(1-ProdFac)*T408</f>
        <v>0</v>
      </c>
      <c r="U271" s="150" t="n">
        <f aca="false">(1-ProdFac)*U408</f>
        <v>0</v>
      </c>
      <c r="V271" s="150" t="n">
        <f aca="false">(1-ProdFac)*V408</f>
        <v>0</v>
      </c>
      <c r="W271" s="150" t="n">
        <f aca="false">(1-ProdFac)*W408</f>
        <v>0</v>
      </c>
      <c r="X271" s="150" t="n">
        <f aca="false">(1-ProdFac)*X408</f>
        <v>0</v>
      </c>
      <c r="Y271" s="150" t="n">
        <f aca="false">(1-ProdFac)*Y408</f>
        <v>0</v>
      </c>
      <c r="Z271" s="150" t="n">
        <f aca="false">(1-ProdFac)*Z408</f>
        <v>0</v>
      </c>
      <c r="AA271" s="150" t="n">
        <f aca="false">(1-ProdFac)*AA408</f>
        <v>0</v>
      </c>
      <c r="AB271" s="150" t="n">
        <f aca="false">(1-ProdFac)*AB408</f>
        <v>0</v>
      </c>
      <c r="AC271" s="150" t="n">
        <f aca="false">(1-ProdFac)*AC408</f>
        <v>0</v>
      </c>
      <c r="AD271" s="150" t="n">
        <f aca="false">(1-ProdFac)*AD408</f>
        <v>0</v>
      </c>
      <c r="AE271" s="150" t="n">
        <f aca="false">(1-ProdFac)*AE408</f>
        <v>0</v>
      </c>
      <c r="AF271" s="150" t="n">
        <f aca="false">(1-ProdFac)*AF408</f>
        <v>0</v>
      </c>
      <c r="AG271" s="150" t="n">
        <f aca="false">(1-ProdFac)*AG408</f>
        <v>0</v>
      </c>
      <c r="AH271" s="150" t="n">
        <f aca="false">(1-ProdFac)*AH408</f>
        <v>0</v>
      </c>
      <c r="AI271" s="150" t="n">
        <f aca="false">(1-ProdFac)*AI408</f>
        <v>0</v>
      </c>
      <c r="AJ271" s="150" t="n">
        <f aca="false">(1-ProdFac)*AJ408</f>
        <v>0</v>
      </c>
      <c r="AK271" s="150" t="n">
        <f aca="false">(1-ProdFac)*AK408</f>
        <v>0</v>
      </c>
      <c r="AL271" s="150" t="n">
        <f aca="false">(1-ProdFac)*AL408</f>
        <v>0</v>
      </c>
      <c r="AM271" s="150" t="n">
        <f aca="false">(1-ProdFac)*AM408</f>
        <v>0</v>
      </c>
      <c r="AN271" s="150" t="n">
        <f aca="false">(1-ProdFac)*AN408</f>
        <v>0</v>
      </c>
      <c r="AO271" s="150" t="n">
        <f aca="false">(1-ProdFac)*AO408</f>
        <v>0</v>
      </c>
      <c r="AP271" s="150" t="n">
        <f aca="false">(1-ProdFac)*AP408</f>
        <v>0</v>
      </c>
      <c r="AQ271" s="150" t="n">
        <f aca="false">(1-ProdFac)*AQ408</f>
        <v>0</v>
      </c>
      <c r="AR271" s="150" t="n">
        <f aca="false">(1-ProdFac)*AR408</f>
        <v>0</v>
      </c>
      <c r="AS271" s="150" t="n">
        <f aca="false">(1-ProdFac)*AS408</f>
        <v>0</v>
      </c>
      <c r="AT271" s="150" t="n">
        <f aca="false">(1-ProdFac)*AT408</f>
        <v>0</v>
      </c>
      <c r="AU271" s="150" t="n">
        <f aca="false">(1-ProdFac)*AU408</f>
        <v>0</v>
      </c>
      <c r="AV271" s="150" t="n">
        <f aca="false">(1-ProdFac)*AV408</f>
        <v>0</v>
      </c>
      <c r="AW271" s="150" t="n">
        <f aca="false">(1-ProdFac)*AW408</f>
        <v>0</v>
      </c>
      <c r="AX271" s="150" t="n">
        <f aca="false">(1-ProdFac)*AX408</f>
        <v>0</v>
      </c>
      <c r="AY271" s="150" t="n">
        <f aca="false">(1-ProdFac)*AY408</f>
        <v>0</v>
      </c>
      <c r="AZ271" s="150" t="n">
        <f aca="false">(1-ProdFac)*AZ408</f>
        <v>0</v>
      </c>
      <c r="BA271" s="150" t="n">
        <f aca="false">(1-ProdFac)*BA408</f>
        <v>0</v>
      </c>
      <c r="BB271" s="150" t="n">
        <f aca="false">(1-ProdFac)*BB408</f>
        <v>0</v>
      </c>
    </row>
    <row r="272" customFormat="false" ht="15" hidden="true" customHeight="false" outlineLevel="1" collapsed="false">
      <c r="B272" s="82" t="s">
        <v>212</v>
      </c>
      <c r="C272" s="128" t="s">
        <v>213</v>
      </c>
      <c r="D272" s="128" t="s">
        <v>59</v>
      </c>
      <c r="E272" s="128"/>
      <c r="F272" s="128" t="s">
        <v>59</v>
      </c>
      <c r="G272" s="75"/>
      <c r="H272" s="128"/>
      <c r="I272" s="128"/>
      <c r="J272" s="128"/>
      <c r="K272" s="128"/>
      <c r="L272" s="78" t="n">
        <f aca="false">SUM(S272:BB272)</f>
        <v>0</v>
      </c>
      <c r="M272" s="128"/>
      <c r="N272" s="130" t="str">
        <f aca="false">IF(ISERROR(VLOOKUP(P272,Member_Tab,2,FALSE())),"",VLOOKUP(P272,Member_Tab,2,FALSE()))</f>
        <v/>
      </c>
      <c r="O272" s="130" t="str">
        <f aca="false">IF(ISERROR(VLOOKUP(P272,Member_Tab,3,FALSE())),"",VLOOKUP(P272,Member_Tab,3,FALSE()))</f>
        <v/>
      </c>
      <c r="P272" s="148" t="n">
        <f aca="false">Site!I28</f>
        <v>0</v>
      </c>
      <c r="Q272" s="128"/>
      <c r="R272" s="131"/>
      <c r="S272" s="150" t="n">
        <f aca="false">(1-ProdFac)*S409</f>
        <v>0</v>
      </c>
      <c r="T272" s="150" t="n">
        <f aca="false">(1-ProdFac)*T409</f>
        <v>0</v>
      </c>
      <c r="U272" s="150" t="n">
        <f aca="false">(1-ProdFac)*U409</f>
        <v>0</v>
      </c>
      <c r="V272" s="150" t="n">
        <f aca="false">(1-ProdFac)*V409</f>
        <v>0</v>
      </c>
      <c r="W272" s="150" t="n">
        <f aca="false">(1-ProdFac)*W409</f>
        <v>0</v>
      </c>
      <c r="X272" s="150" t="n">
        <f aca="false">(1-ProdFac)*X409</f>
        <v>0</v>
      </c>
      <c r="Y272" s="150" t="n">
        <f aca="false">(1-ProdFac)*Y409</f>
        <v>0</v>
      </c>
      <c r="Z272" s="150" t="n">
        <f aca="false">(1-ProdFac)*Z409</f>
        <v>0</v>
      </c>
      <c r="AA272" s="150" t="n">
        <f aca="false">(1-ProdFac)*AA409</f>
        <v>0</v>
      </c>
      <c r="AB272" s="150" t="n">
        <f aca="false">(1-ProdFac)*AB409</f>
        <v>0</v>
      </c>
      <c r="AC272" s="150" t="n">
        <f aca="false">(1-ProdFac)*AC409</f>
        <v>0</v>
      </c>
      <c r="AD272" s="150" t="n">
        <f aca="false">(1-ProdFac)*AD409</f>
        <v>0</v>
      </c>
      <c r="AE272" s="150" t="n">
        <f aca="false">(1-ProdFac)*AE409</f>
        <v>0</v>
      </c>
      <c r="AF272" s="150" t="n">
        <f aca="false">(1-ProdFac)*AF409</f>
        <v>0</v>
      </c>
      <c r="AG272" s="150" t="n">
        <f aca="false">(1-ProdFac)*AG409</f>
        <v>0</v>
      </c>
      <c r="AH272" s="150" t="n">
        <f aca="false">(1-ProdFac)*AH409</f>
        <v>0</v>
      </c>
      <c r="AI272" s="150" t="n">
        <f aca="false">(1-ProdFac)*AI409</f>
        <v>0</v>
      </c>
      <c r="AJ272" s="150" t="n">
        <f aca="false">(1-ProdFac)*AJ409</f>
        <v>0</v>
      </c>
      <c r="AK272" s="150" t="n">
        <f aca="false">(1-ProdFac)*AK409</f>
        <v>0</v>
      </c>
      <c r="AL272" s="150" t="n">
        <f aca="false">(1-ProdFac)*AL409</f>
        <v>0</v>
      </c>
      <c r="AM272" s="150" t="n">
        <f aca="false">(1-ProdFac)*AM409</f>
        <v>0</v>
      </c>
      <c r="AN272" s="150" t="n">
        <f aca="false">(1-ProdFac)*AN409</f>
        <v>0</v>
      </c>
      <c r="AO272" s="150" t="n">
        <f aca="false">(1-ProdFac)*AO409</f>
        <v>0</v>
      </c>
      <c r="AP272" s="150" t="n">
        <f aca="false">(1-ProdFac)*AP409</f>
        <v>0</v>
      </c>
      <c r="AQ272" s="150" t="n">
        <f aca="false">(1-ProdFac)*AQ409</f>
        <v>0</v>
      </c>
      <c r="AR272" s="150" t="n">
        <f aca="false">(1-ProdFac)*AR409</f>
        <v>0</v>
      </c>
      <c r="AS272" s="150" t="n">
        <f aca="false">(1-ProdFac)*AS409</f>
        <v>0</v>
      </c>
      <c r="AT272" s="150" t="n">
        <f aca="false">(1-ProdFac)*AT409</f>
        <v>0</v>
      </c>
      <c r="AU272" s="150" t="n">
        <f aca="false">(1-ProdFac)*AU409</f>
        <v>0</v>
      </c>
      <c r="AV272" s="150" t="n">
        <f aca="false">(1-ProdFac)*AV409</f>
        <v>0</v>
      </c>
      <c r="AW272" s="150" t="n">
        <f aca="false">(1-ProdFac)*AW409</f>
        <v>0</v>
      </c>
      <c r="AX272" s="150" t="n">
        <f aca="false">(1-ProdFac)*AX409</f>
        <v>0</v>
      </c>
      <c r="AY272" s="150" t="n">
        <f aca="false">(1-ProdFac)*AY409</f>
        <v>0</v>
      </c>
      <c r="AZ272" s="150" t="n">
        <f aca="false">(1-ProdFac)*AZ409</f>
        <v>0</v>
      </c>
      <c r="BA272" s="150" t="n">
        <f aca="false">(1-ProdFac)*BA409</f>
        <v>0</v>
      </c>
      <c r="BB272" s="150" t="n">
        <f aca="false">(1-ProdFac)*BB409</f>
        <v>0</v>
      </c>
    </row>
    <row r="273" customFormat="false" ht="15" hidden="true" customHeight="false" outlineLevel="1" collapsed="false">
      <c r="B273" s="82" t="s">
        <v>212</v>
      </c>
      <c r="C273" s="128" t="s">
        <v>213</v>
      </c>
      <c r="D273" s="128" t="s">
        <v>59</v>
      </c>
      <c r="E273" s="128"/>
      <c r="F273" s="128" t="s">
        <v>59</v>
      </c>
      <c r="G273" s="75"/>
      <c r="H273" s="128"/>
      <c r="I273" s="128"/>
      <c r="J273" s="128"/>
      <c r="K273" s="128"/>
      <c r="L273" s="78" t="n">
        <f aca="false">SUM(S273:BB273)</f>
        <v>0</v>
      </c>
      <c r="M273" s="128"/>
      <c r="N273" s="130" t="str">
        <f aca="false">IF(ISERROR(VLOOKUP(P273,Member_Tab,2,FALSE())),"",VLOOKUP(P273,Member_Tab,2,FALSE()))</f>
        <v/>
      </c>
      <c r="O273" s="130" t="str">
        <f aca="false">IF(ISERROR(VLOOKUP(P273,Member_Tab,3,FALSE())),"",VLOOKUP(P273,Member_Tab,3,FALSE()))</f>
        <v/>
      </c>
      <c r="P273" s="148" t="n">
        <f aca="false">Site!I29</f>
        <v>0</v>
      </c>
      <c r="Q273" s="128"/>
      <c r="R273" s="131"/>
      <c r="S273" s="150" t="n">
        <f aca="false">(1-ProdFac)*S410</f>
        <v>0</v>
      </c>
      <c r="T273" s="150" t="n">
        <f aca="false">(1-ProdFac)*T410</f>
        <v>0</v>
      </c>
      <c r="U273" s="150" t="n">
        <f aca="false">(1-ProdFac)*U410</f>
        <v>0</v>
      </c>
      <c r="V273" s="150" t="n">
        <f aca="false">(1-ProdFac)*V410</f>
        <v>0</v>
      </c>
      <c r="W273" s="150" t="n">
        <f aca="false">(1-ProdFac)*W410</f>
        <v>0</v>
      </c>
      <c r="X273" s="150" t="n">
        <f aca="false">(1-ProdFac)*X410</f>
        <v>0</v>
      </c>
      <c r="Y273" s="150" t="n">
        <f aca="false">(1-ProdFac)*Y410</f>
        <v>0</v>
      </c>
      <c r="Z273" s="150" t="n">
        <f aca="false">(1-ProdFac)*Z410</f>
        <v>0</v>
      </c>
      <c r="AA273" s="150" t="n">
        <f aca="false">(1-ProdFac)*AA410</f>
        <v>0</v>
      </c>
      <c r="AB273" s="150" t="n">
        <f aca="false">(1-ProdFac)*AB410</f>
        <v>0</v>
      </c>
      <c r="AC273" s="150" t="n">
        <f aca="false">(1-ProdFac)*AC410</f>
        <v>0</v>
      </c>
      <c r="AD273" s="150" t="n">
        <f aca="false">(1-ProdFac)*AD410</f>
        <v>0</v>
      </c>
      <c r="AE273" s="150" t="n">
        <f aca="false">(1-ProdFac)*AE410</f>
        <v>0</v>
      </c>
      <c r="AF273" s="150" t="n">
        <f aca="false">(1-ProdFac)*AF410</f>
        <v>0</v>
      </c>
      <c r="AG273" s="150" t="n">
        <f aca="false">(1-ProdFac)*AG410</f>
        <v>0</v>
      </c>
      <c r="AH273" s="150" t="n">
        <f aca="false">(1-ProdFac)*AH410</f>
        <v>0</v>
      </c>
      <c r="AI273" s="150" t="n">
        <f aca="false">(1-ProdFac)*AI410</f>
        <v>0</v>
      </c>
      <c r="AJ273" s="150" t="n">
        <f aca="false">(1-ProdFac)*AJ410</f>
        <v>0</v>
      </c>
      <c r="AK273" s="150" t="n">
        <f aca="false">(1-ProdFac)*AK410</f>
        <v>0</v>
      </c>
      <c r="AL273" s="150" t="n">
        <f aca="false">(1-ProdFac)*AL410</f>
        <v>0</v>
      </c>
      <c r="AM273" s="150" t="n">
        <f aca="false">(1-ProdFac)*AM410</f>
        <v>0</v>
      </c>
      <c r="AN273" s="150" t="n">
        <f aca="false">(1-ProdFac)*AN410</f>
        <v>0</v>
      </c>
      <c r="AO273" s="150" t="n">
        <f aca="false">(1-ProdFac)*AO410</f>
        <v>0</v>
      </c>
      <c r="AP273" s="150" t="n">
        <f aca="false">(1-ProdFac)*AP410</f>
        <v>0</v>
      </c>
      <c r="AQ273" s="150" t="n">
        <f aca="false">(1-ProdFac)*AQ410</f>
        <v>0</v>
      </c>
      <c r="AR273" s="150" t="n">
        <f aca="false">(1-ProdFac)*AR410</f>
        <v>0</v>
      </c>
      <c r="AS273" s="150" t="n">
        <f aca="false">(1-ProdFac)*AS410</f>
        <v>0</v>
      </c>
      <c r="AT273" s="150" t="n">
        <f aca="false">(1-ProdFac)*AT410</f>
        <v>0</v>
      </c>
      <c r="AU273" s="150" t="n">
        <f aca="false">(1-ProdFac)*AU410</f>
        <v>0</v>
      </c>
      <c r="AV273" s="150" t="n">
        <f aca="false">(1-ProdFac)*AV410</f>
        <v>0</v>
      </c>
      <c r="AW273" s="150" t="n">
        <f aca="false">(1-ProdFac)*AW410</f>
        <v>0</v>
      </c>
      <c r="AX273" s="150" t="n">
        <f aca="false">(1-ProdFac)*AX410</f>
        <v>0</v>
      </c>
      <c r="AY273" s="150" t="n">
        <f aca="false">(1-ProdFac)*AY410</f>
        <v>0</v>
      </c>
      <c r="AZ273" s="150" t="n">
        <f aca="false">(1-ProdFac)*AZ410</f>
        <v>0</v>
      </c>
      <c r="BA273" s="150" t="n">
        <f aca="false">(1-ProdFac)*BA410</f>
        <v>0</v>
      </c>
      <c r="BB273" s="150" t="n">
        <f aca="false">(1-ProdFac)*BB410</f>
        <v>0</v>
      </c>
    </row>
    <row r="274" customFormat="false" ht="15" hidden="true" customHeight="false" outlineLevel="1" collapsed="false">
      <c r="B274" s="82" t="s">
        <v>212</v>
      </c>
      <c r="C274" s="128" t="s">
        <v>213</v>
      </c>
      <c r="D274" s="128" t="s">
        <v>59</v>
      </c>
      <c r="E274" s="128"/>
      <c r="F274" s="128" t="s">
        <v>59</v>
      </c>
      <c r="G274" s="75"/>
      <c r="H274" s="128"/>
      <c r="I274" s="128"/>
      <c r="J274" s="128"/>
      <c r="K274" s="128"/>
      <c r="L274" s="78" t="n">
        <f aca="false">SUM(S274:BB274)</f>
        <v>0</v>
      </c>
      <c r="M274" s="128"/>
      <c r="N274" s="130" t="str">
        <f aca="false">IF(ISERROR(VLOOKUP(P274,Member_Tab,2,FALSE())),"",VLOOKUP(P274,Member_Tab,2,FALSE()))</f>
        <v/>
      </c>
      <c r="O274" s="130" t="str">
        <f aca="false">IF(ISERROR(VLOOKUP(P274,Member_Tab,3,FALSE())),"",VLOOKUP(P274,Member_Tab,3,FALSE()))</f>
        <v/>
      </c>
      <c r="P274" s="148" t="n">
        <f aca="false">Site!I30</f>
        <v>0</v>
      </c>
      <c r="Q274" s="128"/>
      <c r="R274" s="131"/>
      <c r="S274" s="150" t="n">
        <f aca="false">(1-ProdFac)*S411</f>
        <v>0</v>
      </c>
      <c r="T274" s="150" t="n">
        <f aca="false">(1-ProdFac)*T411</f>
        <v>0</v>
      </c>
      <c r="U274" s="150" t="n">
        <f aca="false">(1-ProdFac)*U411</f>
        <v>0</v>
      </c>
      <c r="V274" s="150" t="n">
        <f aca="false">(1-ProdFac)*V411</f>
        <v>0</v>
      </c>
      <c r="W274" s="150" t="n">
        <f aca="false">(1-ProdFac)*W411</f>
        <v>0</v>
      </c>
      <c r="X274" s="150" t="n">
        <f aca="false">(1-ProdFac)*X411</f>
        <v>0</v>
      </c>
      <c r="Y274" s="150" t="n">
        <f aca="false">(1-ProdFac)*Y411</f>
        <v>0</v>
      </c>
      <c r="Z274" s="150" t="n">
        <f aca="false">(1-ProdFac)*Z411</f>
        <v>0</v>
      </c>
      <c r="AA274" s="150" t="n">
        <f aca="false">(1-ProdFac)*AA411</f>
        <v>0</v>
      </c>
      <c r="AB274" s="150" t="n">
        <f aca="false">(1-ProdFac)*AB411</f>
        <v>0</v>
      </c>
      <c r="AC274" s="150" t="n">
        <f aca="false">(1-ProdFac)*AC411</f>
        <v>0</v>
      </c>
      <c r="AD274" s="150" t="n">
        <f aca="false">(1-ProdFac)*AD411</f>
        <v>0</v>
      </c>
      <c r="AE274" s="150" t="n">
        <f aca="false">(1-ProdFac)*AE411</f>
        <v>0</v>
      </c>
      <c r="AF274" s="150" t="n">
        <f aca="false">(1-ProdFac)*AF411</f>
        <v>0</v>
      </c>
      <c r="AG274" s="150" t="n">
        <f aca="false">(1-ProdFac)*AG411</f>
        <v>0</v>
      </c>
      <c r="AH274" s="150" t="n">
        <f aca="false">(1-ProdFac)*AH411</f>
        <v>0</v>
      </c>
      <c r="AI274" s="150" t="n">
        <f aca="false">(1-ProdFac)*AI411</f>
        <v>0</v>
      </c>
      <c r="AJ274" s="150" t="n">
        <f aca="false">(1-ProdFac)*AJ411</f>
        <v>0</v>
      </c>
      <c r="AK274" s="150" t="n">
        <f aca="false">(1-ProdFac)*AK411</f>
        <v>0</v>
      </c>
      <c r="AL274" s="150" t="n">
        <f aca="false">(1-ProdFac)*AL411</f>
        <v>0</v>
      </c>
      <c r="AM274" s="150" t="n">
        <f aca="false">(1-ProdFac)*AM411</f>
        <v>0</v>
      </c>
      <c r="AN274" s="150" t="n">
        <f aca="false">(1-ProdFac)*AN411</f>
        <v>0</v>
      </c>
      <c r="AO274" s="150" t="n">
        <f aca="false">(1-ProdFac)*AO411</f>
        <v>0</v>
      </c>
      <c r="AP274" s="150" t="n">
        <f aca="false">(1-ProdFac)*AP411</f>
        <v>0</v>
      </c>
      <c r="AQ274" s="150" t="n">
        <f aca="false">(1-ProdFac)*AQ411</f>
        <v>0</v>
      </c>
      <c r="AR274" s="150" t="n">
        <f aca="false">(1-ProdFac)*AR411</f>
        <v>0</v>
      </c>
      <c r="AS274" s="150" t="n">
        <f aca="false">(1-ProdFac)*AS411</f>
        <v>0</v>
      </c>
      <c r="AT274" s="150" t="n">
        <f aca="false">(1-ProdFac)*AT411</f>
        <v>0</v>
      </c>
      <c r="AU274" s="150" t="n">
        <f aca="false">(1-ProdFac)*AU411</f>
        <v>0</v>
      </c>
      <c r="AV274" s="150" t="n">
        <f aca="false">(1-ProdFac)*AV411</f>
        <v>0</v>
      </c>
      <c r="AW274" s="150" t="n">
        <f aca="false">(1-ProdFac)*AW411</f>
        <v>0</v>
      </c>
      <c r="AX274" s="150" t="n">
        <f aca="false">(1-ProdFac)*AX411</f>
        <v>0</v>
      </c>
      <c r="AY274" s="150" t="n">
        <f aca="false">(1-ProdFac)*AY411</f>
        <v>0</v>
      </c>
      <c r="AZ274" s="150" t="n">
        <f aca="false">(1-ProdFac)*AZ411</f>
        <v>0</v>
      </c>
      <c r="BA274" s="150" t="n">
        <f aca="false">(1-ProdFac)*BA411</f>
        <v>0</v>
      </c>
      <c r="BB274" s="150" t="n">
        <f aca="false">(1-ProdFac)*BB411</f>
        <v>0</v>
      </c>
    </row>
    <row r="275" customFormat="false" ht="15" hidden="true" customHeight="false" outlineLevel="1" collapsed="false">
      <c r="B275" s="82" t="s">
        <v>212</v>
      </c>
      <c r="C275" s="128" t="s">
        <v>213</v>
      </c>
      <c r="D275" s="128" t="s">
        <v>59</v>
      </c>
      <c r="E275" s="128"/>
      <c r="F275" s="128" t="s">
        <v>59</v>
      </c>
      <c r="G275" s="75"/>
      <c r="H275" s="128"/>
      <c r="I275" s="128"/>
      <c r="J275" s="128"/>
      <c r="K275" s="128"/>
      <c r="L275" s="78" t="n">
        <f aca="false">SUM(S275:BB275)</f>
        <v>0</v>
      </c>
      <c r="M275" s="128"/>
      <c r="N275" s="130" t="str">
        <f aca="false">IF(ISERROR(VLOOKUP(P275,Member_Tab,2,FALSE())),"",VLOOKUP(P275,Member_Tab,2,FALSE()))</f>
        <v/>
      </c>
      <c r="O275" s="130" t="str">
        <f aca="false">IF(ISERROR(VLOOKUP(P275,Member_Tab,3,FALSE())),"",VLOOKUP(P275,Member_Tab,3,FALSE()))</f>
        <v/>
      </c>
      <c r="P275" s="148" t="n">
        <f aca="false">Site!I31</f>
        <v>0</v>
      </c>
      <c r="Q275" s="128"/>
      <c r="R275" s="131"/>
      <c r="S275" s="150" t="n">
        <f aca="false">(1-ProdFac)*S412</f>
        <v>0</v>
      </c>
      <c r="T275" s="150" t="n">
        <f aca="false">(1-ProdFac)*T412</f>
        <v>0</v>
      </c>
      <c r="U275" s="150" t="n">
        <f aca="false">(1-ProdFac)*U412</f>
        <v>0</v>
      </c>
      <c r="V275" s="150" t="n">
        <f aca="false">(1-ProdFac)*V412</f>
        <v>0</v>
      </c>
      <c r="W275" s="150" t="n">
        <f aca="false">(1-ProdFac)*W412</f>
        <v>0</v>
      </c>
      <c r="X275" s="150" t="n">
        <f aca="false">(1-ProdFac)*X412</f>
        <v>0</v>
      </c>
      <c r="Y275" s="150" t="n">
        <f aca="false">(1-ProdFac)*Y412</f>
        <v>0</v>
      </c>
      <c r="Z275" s="150" t="n">
        <f aca="false">(1-ProdFac)*Z412</f>
        <v>0</v>
      </c>
      <c r="AA275" s="150" t="n">
        <f aca="false">(1-ProdFac)*AA412</f>
        <v>0</v>
      </c>
      <c r="AB275" s="150" t="n">
        <f aca="false">(1-ProdFac)*AB412</f>
        <v>0</v>
      </c>
      <c r="AC275" s="150" t="n">
        <f aca="false">(1-ProdFac)*AC412</f>
        <v>0</v>
      </c>
      <c r="AD275" s="150" t="n">
        <f aca="false">(1-ProdFac)*AD412</f>
        <v>0</v>
      </c>
      <c r="AE275" s="150" t="n">
        <f aca="false">(1-ProdFac)*AE412</f>
        <v>0</v>
      </c>
      <c r="AF275" s="150" t="n">
        <f aca="false">(1-ProdFac)*AF412</f>
        <v>0</v>
      </c>
      <c r="AG275" s="150" t="n">
        <f aca="false">(1-ProdFac)*AG412</f>
        <v>0</v>
      </c>
      <c r="AH275" s="150" t="n">
        <f aca="false">(1-ProdFac)*AH412</f>
        <v>0</v>
      </c>
      <c r="AI275" s="150" t="n">
        <f aca="false">(1-ProdFac)*AI412</f>
        <v>0</v>
      </c>
      <c r="AJ275" s="150" t="n">
        <f aca="false">(1-ProdFac)*AJ412</f>
        <v>0</v>
      </c>
      <c r="AK275" s="150" t="n">
        <f aca="false">(1-ProdFac)*AK412</f>
        <v>0</v>
      </c>
      <c r="AL275" s="150" t="n">
        <f aca="false">(1-ProdFac)*AL412</f>
        <v>0</v>
      </c>
      <c r="AM275" s="150" t="n">
        <f aca="false">(1-ProdFac)*AM412</f>
        <v>0</v>
      </c>
      <c r="AN275" s="150" t="n">
        <f aca="false">(1-ProdFac)*AN412</f>
        <v>0</v>
      </c>
      <c r="AO275" s="150" t="n">
        <f aca="false">(1-ProdFac)*AO412</f>
        <v>0</v>
      </c>
      <c r="AP275" s="150" t="n">
        <f aca="false">(1-ProdFac)*AP412</f>
        <v>0</v>
      </c>
      <c r="AQ275" s="150" t="n">
        <f aca="false">(1-ProdFac)*AQ412</f>
        <v>0</v>
      </c>
      <c r="AR275" s="150" t="n">
        <f aca="false">(1-ProdFac)*AR412</f>
        <v>0</v>
      </c>
      <c r="AS275" s="150" t="n">
        <f aca="false">(1-ProdFac)*AS412</f>
        <v>0</v>
      </c>
      <c r="AT275" s="150" t="n">
        <f aca="false">(1-ProdFac)*AT412</f>
        <v>0</v>
      </c>
      <c r="AU275" s="150" t="n">
        <f aca="false">(1-ProdFac)*AU412</f>
        <v>0</v>
      </c>
      <c r="AV275" s="150" t="n">
        <f aca="false">(1-ProdFac)*AV412</f>
        <v>0</v>
      </c>
      <c r="AW275" s="150" t="n">
        <f aca="false">(1-ProdFac)*AW412</f>
        <v>0</v>
      </c>
      <c r="AX275" s="150" t="n">
        <f aca="false">(1-ProdFac)*AX412</f>
        <v>0</v>
      </c>
      <c r="AY275" s="150" t="n">
        <f aca="false">(1-ProdFac)*AY412</f>
        <v>0</v>
      </c>
      <c r="AZ275" s="150" t="n">
        <f aca="false">(1-ProdFac)*AZ412</f>
        <v>0</v>
      </c>
      <c r="BA275" s="150" t="n">
        <f aca="false">(1-ProdFac)*BA412</f>
        <v>0</v>
      </c>
      <c r="BB275" s="150" t="n">
        <f aca="false">(1-ProdFac)*BB412</f>
        <v>0</v>
      </c>
    </row>
    <row r="276" customFormat="false" ht="15" hidden="true" customHeight="false" outlineLevel="1" collapsed="false">
      <c r="B276" s="82" t="s">
        <v>212</v>
      </c>
      <c r="C276" s="128" t="s">
        <v>213</v>
      </c>
      <c r="D276" s="128" t="s">
        <v>59</v>
      </c>
      <c r="E276" s="128"/>
      <c r="F276" s="128" t="s">
        <v>59</v>
      </c>
      <c r="G276" s="75"/>
      <c r="H276" s="128"/>
      <c r="I276" s="128"/>
      <c r="J276" s="128"/>
      <c r="K276" s="128"/>
      <c r="L276" s="78" t="n">
        <f aca="false">SUM(S276:BB276)</f>
        <v>0</v>
      </c>
      <c r="M276" s="128"/>
      <c r="N276" s="130" t="str">
        <f aca="false">IF(ISERROR(VLOOKUP(P276,Member_Tab,2,FALSE())),"",VLOOKUP(P276,Member_Tab,2,FALSE()))</f>
        <v/>
      </c>
      <c r="O276" s="130" t="str">
        <f aca="false">IF(ISERROR(VLOOKUP(P276,Member_Tab,3,FALSE())),"",VLOOKUP(P276,Member_Tab,3,FALSE()))</f>
        <v/>
      </c>
      <c r="P276" s="148" t="n">
        <f aca="false">Site!I32</f>
        <v>0</v>
      </c>
      <c r="Q276" s="128"/>
      <c r="R276" s="131"/>
      <c r="S276" s="150" t="n">
        <f aca="false">(1-ProdFac)*S413</f>
        <v>0</v>
      </c>
      <c r="T276" s="150" t="n">
        <f aca="false">(1-ProdFac)*T413</f>
        <v>0</v>
      </c>
      <c r="U276" s="150" t="n">
        <f aca="false">(1-ProdFac)*U413</f>
        <v>0</v>
      </c>
      <c r="V276" s="150" t="n">
        <f aca="false">(1-ProdFac)*V413</f>
        <v>0</v>
      </c>
      <c r="W276" s="150" t="n">
        <f aca="false">(1-ProdFac)*W413</f>
        <v>0</v>
      </c>
      <c r="X276" s="150" t="n">
        <f aca="false">(1-ProdFac)*X413</f>
        <v>0</v>
      </c>
      <c r="Y276" s="150" t="n">
        <f aca="false">(1-ProdFac)*Y413</f>
        <v>0</v>
      </c>
      <c r="Z276" s="150" t="n">
        <f aca="false">(1-ProdFac)*Z413</f>
        <v>0</v>
      </c>
      <c r="AA276" s="150" t="n">
        <f aca="false">(1-ProdFac)*AA413</f>
        <v>0</v>
      </c>
      <c r="AB276" s="150" t="n">
        <f aca="false">(1-ProdFac)*AB413</f>
        <v>0</v>
      </c>
      <c r="AC276" s="150" t="n">
        <f aca="false">(1-ProdFac)*AC413</f>
        <v>0</v>
      </c>
      <c r="AD276" s="150" t="n">
        <f aca="false">(1-ProdFac)*AD413</f>
        <v>0</v>
      </c>
      <c r="AE276" s="150" t="n">
        <f aca="false">(1-ProdFac)*AE413</f>
        <v>0</v>
      </c>
      <c r="AF276" s="150" t="n">
        <f aca="false">(1-ProdFac)*AF413</f>
        <v>0</v>
      </c>
      <c r="AG276" s="150" t="n">
        <f aca="false">(1-ProdFac)*AG413</f>
        <v>0</v>
      </c>
      <c r="AH276" s="150" t="n">
        <f aca="false">(1-ProdFac)*AH413</f>
        <v>0</v>
      </c>
      <c r="AI276" s="150" t="n">
        <f aca="false">(1-ProdFac)*AI413</f>
        <v>0</v>
      </c>
      <c r="AJ276" s="150" t="n">
        <f aca="false">(1-ProdFac)*AJ413</f>
        <v>0</v>
      </c>
      <c r="AK276" s="150" t="n">
        <f aca="false">(1-ProdFac)*AK413</f>
        <v>0</v>
      </c>
      <c r="AL276" s="150" t="n">
        <f aca="false">(1-ProdFac)*AL413</f>
        <v>0</v>
      </c>
      <c r="AM276" s="150" t="n">
        <f aca="false">(1-ProdFac)*AM413</f>
        <v>0</v>
      </c>
      <c r="AN276" s="150" t="n">
        <f aca="false">(1-ProdFac)*AN413</f>
        <v>0</v>
      </c>
      <c r="AO276" s="150" t="n">
        <f aca="false">(1-ProdFac)*AO413</f>
        <v>0</v>
      </c>
      <c r="AP276" s="150" t="n">
        <f aca="false">(1-ProdFac)*AP413</f>
        <v>0</v>
      </c>
      <c r="AQ276" s="150" t="n">
        <f aca="false">(1-ProdFac)*AQ413</f>
        <v>0</v>
      </c>
      <c r="AR276" s="150" t="n">
        <f aca="false">(1-ProdFac)*AR413</f>
        <v>0</v>
      </c>
      <c r="AS276" s="150" t="n">
        <f aca="false">(1-ProdFac)*AS413</f>
        <v>0</v>
      </c>
      <c r="AT276" s="150" t="n">
        <f aca="false">(1-ProdFac)*AT413</f>
        <v>0</v>
      </c>
      <c r="AU276" s="150" t="n">
        <f aca="false">(1-ProdFac)*AU413</f>
        <v>0</v>
      </c>
      <c r="AV276" s="150" t="n">
        <f aca="false">(1-ProdFac)*AV413</f>
        <v>0</v>
      </c>
      <c r="AW276" s="150" t="n">
        <f aca="false">(1-ProdFac)*AW413</f>
        <v>0</v>
      </c>
      <c r="AX276" s="150" t="n">
        <f aca="false">(1-ProdFac)*AX413</f>
        <v>0</v>
      </c>
      <c r="AY276" s="150" t="n">
        <f aca="false">(1-ProdFac)*AY413</f>
        <v>0</v>
      </c>
      <c r="AZ276" s="150" t="n">
        <f aca="false">(1-ProdFac)*AZ413</f>
        <v>0</v>
      </c>
      <c r="BA276" s="150" t="n">
        <f aca="false">(1-ProdFac)*BA413</f>
        <v>0</v>
      </c>
      <c r="BB276" s="150" t="n">
        <f aca="false">(1-ProdFac)*BB413</f>
        <v>0</v>
      </c>
    </row>
    <row r="277" customFormat="false" ht="15" hidden="true" customHeight="false" outlineLevel="1" collapsed="false">
      <c r="B277" s="82" t="s">
        <v>212</v>
      </c>
      <c r="C277" s="128" t="s">
        <v>213</v>
      </c>
      <c r="D277" s="128" t="s">
        <v>59</v>
      </c>
      <c r="E277" s="128"/>
      <c r="F277" s="128" t="s">
        <v>59</v>
      </c>
      <c r="G277" s="75"/>
      <c r="H277" s="128"/>
      <c r="I277" s="128"/>
      <c r="J277" s="128"/>
      <c r="K277" s="128"/>
      <c r="L277" s="78" t="n">
        <f aca="false">SUM(S277:BB277)</f>
        <v>0</v>
      </c>
      <c r="M277" s="128"/>
      <c r="N277" s="130" t="str">
        <f aca="false">IF(ISERROR(VLOOKUP(P277,Member_Tab,2,FALSE())),"",VLOOKUP(P277,Member_Tab,2,FALSE()))</f>
        <v/>
      </c>
      <c r="O277" s="130" t="str">
        <f aca="false">IF(ISERROR(VLOOKUP(P277,Member_Tab,3,FALSE())),"",VLOOKUP(P277,Member_Tab,3,FALSE()))</f>
        <v/>
      </c>
      <c r="P277" s="148" t="n">
        <f aca="false">Site!I33</f>
        <v>0</v>
      </c>
      <c r="Q277" s="128"/>
      <c r="R277" s="131"/>
      <c r="S277" s="150" t="n">
        <f aca="false">(1-ProdFac)*S414</f>
        <v>0</v>
      </c>
      <c r="T277" s="150" t="n">
        <f aca="false">(1-ProdFac)*T414</f>
        <v>0</v>
      </c>
      <c r="U277" s="150" t="n">
        <f aca="false">(1-ProdFac)*U414</f>
        <v>0</v>
      </c>
      <c r="V277" s="150" t="n">
        <f aca="false">(1-ProdFac)*V414</f>
        <v>0</v>
      </c>
      <c r="W277" s="150" t="n">
        <f aca="false">(1-ProdFac)*W414</f>
        <v>0</v>
      </c>
      <c r="X277" s="150" t="n">
        <f aca="false">(1-ProdFac)*X414</f>
        <v>0</v>
      </c>
      <c r="Y277" s="150" t="n">
        <f aca="false">(1-ProdFac)*Y414</f>
        <v>0</v>
      </c>
      <c r="Z277" s="150" t="n">
        <f aca="false">(1-ProdFac)*Z414</f>
        <v>0</v>
      </c>
      <c r="AA277" s="150" t="n">
        <f aca="false">(1-ProdFac)*AA414</f>
        <v>0</v>
      </c>
      <c r="AB277" s="150" t="n">
        <f aca="false">(1-ProdFac)*AB414</f>
        <v>0</v>
      </c>
      <c r="AC277" s="150" t="n">
        <f aca="false">(1-ProdFac)*AC414</f>
        <v>0</v>
      </c>
      <c r="AD277" s="150" t="n">
        <f aca="false">(1-ProdFac)*AD414</f>
        <v>0</v>
      </c>
      <c r="AE277" s="150" t="n">
        <f aca="false">(1-ProdFac)*AE414</f>
        <v>0</v>
      </c>
      <c r="AF277" s="150" t="n">
        <f aca="false">(1-ProdFac)*AF414</f>
        <v>0</v>
      </c>
      <c r="AG277" s="150" t="n">
        <f aca="false">(1-ProdFac)*AG414</f>
        <v>0</v>
      </c>
      <c r="AH277" s="150" t="n">
        <f aca="false">(1-ProdFac)*AH414</f>
        <v>0</v>
      </c>
      <c r="AI277" s="150" t="n">
        <f aca="false">(1-ProdFac)*AI414</f>
        <v>0</v>
      </c>
      <c r="AJ277" s="150" t="n">
        <f aca="false">(1-ProdFac)*AJ414</f>
        <v>0</v>
      </c>
      <c r="AK277" s="150" t="n">
        <f aca="false">(1-ProdFac)*AK414</f>
        <v>0</v>
      </c>
      <c r="AL277" s="150" t="n">
        <f aca="false">(1-ProdFac)*AL414</f>
        <v>0</v>
      </c>
      <c r="AM277" s="150" t="n">
        <f aca="false">(1-ProdFac)*AM414</f>
        <v>0</v>
      </c>
      <c r="AN277" s="150" t="n">
        <f aca="false">(1-ProdFac)*AN414</f>
        <v>0</v>
      </c>
      <c r="AO277" s="150" t="n">
        <f aca="false">(1-ProdFac)*AO414</f>
        <v>0</v>
      </c>
      <c r="AP277" s="150" t="n">
        <f aca="false">(1-ProdFac)*AP414</f>
        <v>0</v>
      </c>
      <c r="AQ277" s="150" t="n">
        <f aca="false">(1-ProdFac)*AQ414</f>
        <v>0</v>
      </c>
      <c r="AR277" s="150" t="n">
        <f aca="false">(1-ProdFac)*AR414</f>
        <v>0</v>
      </c>
      <c r="AS277" s="150" t="n">
        <f aca="false">(1-ProdFac)*AS414</f>
        <v>0</v>
      </c>
      <c r="AT277" s="150" t="n">
        <f aca="false">(1-ProdFac)*AT414</f>
        <v>0</v>
      </c>
      <c r="AU277" s="150" t="n">
        <f aca="false">(1-ProdFac)*AU414</f>
        <v>0</v>
      </c>
      <c r="AV277" s="150" t="n">
        <f aca="false">(1-ProdFac)*AV414</f>
        <v>0</v>
      </c>
      <c r="AW277" s="150" t="n">
        <f aca="false">(1-ProdFac)*AW414</f>
        <v>0</v>
      </c>
      <c r="AX277" s="150" t="n">
        <f aca="false">(1-ProdFac)*AX414</f>
        <v>0</v>
      </c>
      <c r="AY277" s="150" t="n">
        <f aca="false">(1-ProdFac)*AY414</f>
        <v>0</v>
      </c>
      <c r="AZ277" s="150" t="n">
        <f aca="false">(1-ProdFac)*AZ414</f>
        <v>0</v>
      </c>
      <c r="BA277" s="150" t="n">
        <f aca="false">(1-ProdFac)*BA414</f>
        <v>0</v>
      </c>
      <c r="BB277" s="150" t="n">
        <f aca="false">(1-ProdFac)*BB414</f>
        <v>0</v>
      </c>
    </row>
    <row r="278" customFormat="false" ht="15" hidden="true" customHeight="false" outlineLevel="1" collapsed="false">
      <c r="B278" s="82" t="s">
        <v>212</v>
      </c>
      <c r="C278" s="128" t="s">
        <v>213</v>
      </c>
      <c r="D278" s="128" t="s">
        <v>59</v>
      </c>
      <c r="E278" s="128"/>
      <c r="F278" s="128" t="s">
        <v>59</v>
      </c>
      <c r="G278" s="75"/>
      <c r="H278" s="128"/>
      <c r="I278" s="128"/>
      <c r="J278" s="128"/>
      <c r="K278" s="128"/>
      <c r="L278" s="78" t="n">
        <f aca="false">SUM(S278:BB278)</f>
        <v>0</v>
      </c>
      <c r="M278" s="128"/>
      <c r="N278" s="130" t="str">
        <f aca="false">IF(ISERROR(VLOOKUP(P278,Member_Tab,2,FALSE())),"",VLOOKUP(P278,Member_Tab,2,FALSE()))</f>
        <v/>
      </c>
      <c r="O278" s="130" t="str">
        <f aca="false">IF(ISERROR(VLOOKUP(P278,Member_Tab,3,FALSE())),"",VLOOKUP(P278,Member_Tab,3,FALSE()))</f>
        <v/>
      </c>
      <c r="P278" s="148" t="n">
        <f aca="false">Site!I34</f>
        <v>0</v>
      </c>
      <c r="Q278" s="128"/>
      <c r="R278" s="131"/>
      <c r="S278" s="150" t="n">
        <f aca="false">(1-ProdFac)*S415</f>
        <v>0</v>
      </c>
      <c r="T278" s="150" t="n">
        <f aca="false">(1-ProdFac)*T415</f>
        <v>0</v>
      </c>
      <c r="U278" s="150" t="n">
        <f aca="false">(1-ProdFac)*U415</f>
        <v>0</v>
      </c>
      <c r="V278" s="150" t="n">
        <f aca="false">(1-ProdFac)*V415</f>
        <v>0</v>
      </c>
      <c r="W278" s="150" t="n">
        <f aca="false">(1-ProdFac)*W415</f>
        <v>0</v>
      </c>
      <c r="X278" s="150" t="n">
        <f aca="false">(1-ProdFac)*X415</f>
        <v>0</v>
      </c>
      <c r="Y278" s="150" t="n">
        <f aca="false">(1-ProdFac)*Y415</f>
        <v>0</v>
      </c>
      <c r="Z278" s="150" t="n">
        <f aca="false">(1-ProdFac)*Z415</f>
        <v>0</v>
      </c>
      <c r="AA278" s="150" t="n">
        <f aca="false">(1-ProdFac)*AA415</f>
        <v>0</v>
      </c>
      <c r="AB278" s="150" t="n">
        <f aca="false">(1-ProdFac)*AB415</f>
        <v>0</v>
      </c>
      <c r="AC278" s="150" t="n">
        <f aca="false">(1-ProdFac)*AC415</f>
        <v>0</v>
      </c>
      <c r="AD278" s="150" t="n">
        <f aca="false">(1-ProdFac)*AD415</f>
        <v>0</v>
      </c>
      <c r="AE278" s="150" t="n">
        <f aca="false">(1-ProdFac)*AE415</f>
        <v>0</v>
      </c>
      <c r="AF278" s="150" t="n">
        <f aca="false">(1-ProdFac)*AF415</f>
        <v>0</v>
      </c>
      <c r="AG278" s="150" t="n">
        <f aca="false">(1-ProdFac)*AG415</f>
        <v>0</v>
      </c>
      <c r="AH278" s="150" t="n">
        <f aca="false">(1-ProdFac)*AH415</f>
        <v>0</v>
      </c>
      <c r="AI278" s="150" t="n">
        <f aca="false">(1-ProdFac)*AI415</f>
        <v>0</v>
      </c>
      <c r="AJ278" s="150" t="n">
        <f aca="false">(1-ProdFac)*AJ415</f>
        <v>0</v>
      </c>
      <c r="AK278" s="150" t="n">
        <f aca="false">(1-ProdFac)*AK415</f>
        <v>0</v>
      </c>
      <c r="AL278" s="150" t="n">
        <f aca="false">(1-ProdFac)*AL415</f>
        <v>0</v>
      </c>
      <c r="AM278" s="150" t="n">
        <f aca="false">(1-ProdFac)*AM415</f>
        <v>0</v>
      </c>
      <c r="AN278" s="150" t="n">
        <f aca="false">(1-ProdFac)*AN415</f>
        <v>0</v>
      </c>
      <c r="AO278" s="150" t="n">
        <f aca="false">(1-ProdFac)*AO415</f>
        <v>0</v>
      </c>
      <c r="AP278" s="150" t="n">
        <f aca="false">(1-ProdFac)*AP415</f>
        <v>0</v>
      </c>
      <c r="AQ278" s="150" t="n">
        <f aca="false">(1-ProdFac)*AQ415</f>
        <v>0</v>
      </c>
      <c r="AR278" s="150" t="n">
        <f aca="false">(1-ProdFac)*AR415</f>
        <v>0</v>
      </c>
      <c r="AS278" s="150" t="n">
        <f aca="false">(1-ProdFac)*AS415</f>
        <v>0</v>
      </c>
      <c r="AT278" s="150" t="n">
        <f aca="false">(1-ProdFac)*AT415</f>
        <v>0</v>
      </c>
      <c r="AU278" s="150" t="n">
        <f aca="false">(1-ProdFac)*AU415</f>
        <v>0</v>
      </c>
      <c r="AV278" s="150" t="n">
        <f aca="false">(1-ProdFac)*AV415</f>
        <v>0</v>
      </c>
      <c r="AW278" s="150" t="n">
        <f aca="false">(1-ProdFac)*AW415</f>
        <v>0</v>
      </c>
      <c r="AX278" s="150" t="n">
        <f aca="false">(1-ProdFac)*AX415</f>
        <v>0</v>
      </c>
      <c r="AY278" s="150" t="n">
        <f aca="false">(1-ProdFac)*AY415</f>
        <v>0</v>
      </c>
      <c r="AZ278" s="150" t="n">
        <f aca="false">(1-ProdFac)*AZ415</f>
        <v>0</v>
      </c>
      <c r="BA278" s="150" t="n">
        <f aca="false">(1-ProdFac)*BA415</f>
        <v>0</v>
      </c>
      <c r="BB278" s="150" t="n">
        <f aca="false">(1-ProdFac)*BB415</f>
        <v>0</v>
      </c>
    </row>
    <row r="279" customFormat="false" ht="15" hidden="true" customHeight="false" outlineLevel="1" collapsed="false">
      <c r="B279" s="82" t="s">
        <v>212</v>
      </c>
      <c r="C279" s="128" t="s">
        <v>213</v>
      </c>
      <c r="D279" s="128" t="s">
        <v>59</v>
      </c>
      <c r="E279" s="128"/>
      <c r="F279" s="128" t="s">
        <v>59</v>
      </c>
      <c r="G279" s="75"/>
      <c r="H279" s="128"/>
      <c r="I279" s="128"/>
      <c r="J279" s="128"/>
      <c r="K279" s="128"/>
      <c r="L279" s="78" t="n">
        <f aca="false">SUM(S279:BB279)</f>
        <v>0</v>
      </c>
      <c r="M279" s="128"/>
      <c r="N279" s="130" t="str">
        <f aca="false">IF(ISERROR(VLOOKUP(P279,Member_Tab,2,FALSE())),"",VLOOKUP(P279,Member_Tab,2,FALSE()))</f>
        <v/>
      </c>
      <c r="O279" s="130" t="str">
        <f aca="false">IF(ISERROR(VLOOKUP(P279,Member_Tab,3,FALSE())),"",VLOOKUP(P279,Member_Tab,3,FALSE()))</f>
        <v/>
      </c>
      <c r="P279" s="148" t="n">
        <f aca="false">Site!I35</f>
        <v>0</v>
      </c>
      <c r="Q279" s="128"/>
      <c r="R279" s="131"/>
      <c r="S279" s="150" t="n">
        <f aca="false">(1-ProdFac)*S416</f>
        <v>0</v>
      </c>
      <c r="T279" s="150" t="n">
        <f aca="false">(1-ProdFac)*T416</f>
        <v>0</v>
      </c>
      <c r="U279" s="150" t="n">
        <f aca="false">(1-ProdFac)*U416</f>
        <v>0</v>
      </c>
      <c r="V279" s="150" t="n">
        <f aca="false">(1-ProdFac)*V416</f>
        <v>0</v>
      </c>
      <c r="W279" s="150" t="n">
        <f aca="false">(1-ProdFac)*W416</f>
        <v>0</v>
      </c>
      <c r="X279" s="150" t="n">
        <f aca="false">(1-ProdFac)*X416</f>
        <v>0</v>
      </c>
      <c r="Y279" s="150" t="n">
        <f aca="false">(1-ProdFac)*Y416</f>
        <v>0</v>
      </c>
      <c r="Z279" s="150" t="n">
        <f aca="false">(1-ProdFac)*Z416</f>
        <v>0</v>
      </c>
      <c r="AA279" s="150" t="n">
        <f aca="false">(1-ProdFac)*AA416</f>
        <v>0</v>
      </c>
      <c r="AB279" s="150" t="n">
        <f aca="false">(1-ProdFac)*AB416</f>
        <v>0</v>
      </c>
      <c r="AC279" s="150" t="n">
        <f aca="false">(1-ProdFac)*AC416</f>
        <v>0</v>
      </c>
      <c r="AD279" s="150" t="n">
        <f aca="false">(1-ProdFac)*AD416</f>
        <v>0</v>
      </c>
      <c r="AE279" s="150" t="n">
        <f aca="false">(1-ProdFac)*AE416</f>
        <v>0</v>
      </c>
      <c r="AF279" s="150" t="n">
        <f aca="false">(1-ProdFac)*AF416</f>
        <v>0</v>
      </c>
      <c r="AG279" s="150" t="n">
        <f aca="false">(1-ProdFac)*AG416</f>
        <v>0</v>
      </c>
      <c r="AH279" s="150" t="n">
        <f aca="false">(1-ProdFac)*AH416</f>
        <v>0</v>
      </c>
      <c r="AI279" s="150" t="n">
        <f aca="false">(1-ProdFac)*AI416</f>
        <v>0</v>
      </c>
      <c r="AJ279" s="150" t="n">
        <f aca="false">(1-ProdFac)*AJ416</f>
        <v>0</v>
      </c>
      <c r="AK279" s="150" t="n">
        <f aca="false">(1-ProdFac)*AK416</f>
        <v>0</v>
      </c>
      <c r="AL279" s="150" t="n">
        <f aca="false">(1-ProdFac)*AL416</f>
        <v>0</v>
      </c>
      <c r="AM279" s="150" t="n">
        <f aca="false">(1-ProdFac)*AM416</f>
        <v>0</v>
      </c>
      <c r="AN279" s="150" t="n">
        <f aca="false">(1-ProdFac)*AN416</f>
        <v>0</v>
      </c>
      <c r="AO279" s="150" t="n">
        <f aca="false">(1-ProdFac)*AO416</f>
        <v>0</v>
      </c>
      <c r="AP279" s="150" t="n">
        <f aca="false">(1-ProdFac)*AP416</f>
        <v>0</v>
      </c>
      <c r="AQ279" s="150" t="n">
        <f aca="false">(1-ProdFac)*AQ416</f>
        <v>0</v>
      </c>
      <c r="AR279" s="150" t="n">
        <f aca="false">(1-ProdFac)*AR416</f>
        <v>0</v>
      </c>
      <c r="AS279" s="150" t="n">
        <f aca="false">(1-ProdFac)*AS416</f>
        <v>0</v>
      </c>
      <c r="AT279" s="150" t="n">
        <f aca="false">(1-ProdFac)*AT416</f>
        <v>0</v>
      </c>
      <c r="AU279" s="150" t="n">
        <f aca="false">(1-ProdFac)*AU416</f>
        <v>0</v>
      </c>
      <c r="AV279" s="150" t="n">
        <f aca="false">(1-ProdFac)*AV416</f>
        <v>0</v>
      </c>
      <c r="AW279" s="150" t="n">
        <f aca="false">(1-ProdFac)*AW416</f>
        <v>0</v>
      </c>
      <c r="AX279" s="150" t="n">
        <f aca="false">(1-ProdFac)*AX416</f>
        <v>0</v>
      </c>
      <c r="AY279" s="150" t="n">
        <f aca="false">(1-ProdFac)*AY416</f>
        <v>0</v>
      </c>
      <c r="AZ279" s="150" t="n">
        <f aca="false">(1-ProdFac)*AZ416</f>
        <v>0</v>
      </c>
      <c r="BA279" s="150" t="n">
        <f aca="false">(1-ProdFac)*BA416</f>
        <v>0</v>
      </c>
      <c r="BB279" s="150" t="n">
        <f aca="false">(1-ProdFac)*BB416</f>
        <v>0</v>
      </c>
    </row>
    <row r="280" customFormat="false" ht="15" hidden="true" customHeight="false" outlineLevel="1" collapsed="false">
      <c r="B280" s="82" t="s">
        <v>212</v>
      </c>
      <c r="C280" s="128" t="s">
        <v>213</v>
      </c>
      <c r="D280" s="128" t="s">
        <v>59</v>
      </c>
      <c r="E280" s="128"/>
      <c r="F280" s="128" t="s">
        <v>59</v>
      </c>
      <c r="G280" s="75"/>
      <c r="H280" s="128"/>
      <c r="I280" s="128"/>
      <c r="J280" s="128"/>
      <c r="K280" s="128"/>
      <c r="L280" s="78" t="n">
        <f aca="false">SUM(S280:BB280)</f>
        <v>0</v>
      </c>
      <c r="M280" s="128"/>
      <c r="N280" s="130" t="str">
        <f aca="false">IF(ISERROR(VLOOKUP(P280,Member_Tab,2,FALSE())),"",VLOOKUP(P280,Member_Tab,2,FALSE()))</f>
        <v/>
      </c>
      <c r="O280" s="130" t="str">
        <f aca="false">IF(ISERROR(VLOOKUP(P280,Member_Tab,3,FALSE())),"",VLOOKUP(P280,Member_Tab,3,FALSE()))</f>
        <v/>
      </c>
      <c r="P280" s="148" t="n">
        <f aca="false">Site!I36</f>
        <v>0</v>
      </c>
      <c r="Q280" s="128"/>
      <c r="R280" s="131"/>
      <c r="S280" s="150" t="n">
        <f aca="false">(1-ProdFac)*S417</f>
        <v>0</v>
      </c>
      <c r="T280" s="150" t="n">
        <f aca="false">(1-ProdFac)*T417</f>
        <v>0</v>
      </c>
      <c r="U280" s="150" t="n">
        <f aca="false">(1-ProdFac)*U417</f>
        <v>0</v>
      </c>
      <c r="V280" s="150" t="n">
        <f aca="false">(1-ProdFac)*V417</f>
        <v>0</v>
      </c>
      <c r="W280" s="150" t="n">
        <f aca="false">(1-ProdFac)*W417</f>
        <v>0</v>
      </c>
      <c r="X280" s="150" t="n">
        <f aca="false">(1-ProdFac)*X417</f>
        <v>0</v>
      </c>
      <c r="Y280" s="150" t="n">
        <f aca="false">(1-ProdFac)*Y417</f>
        <v>0</v>
      </c>
      <c r="Z280" s="150" t="n">
        <f aca="false">(1-ProdFac)*Z417</f>
        <v>0</v>
      </c>
      <c r="AA280" s="150" t="n">
        <f aca="false">(1-ProdFac)*AA417</f>
        <v>0</v>
      </c>
      <c r="AB280" s="150" t="n">
        <f aca="false">(1-ProdFac)*AB417</f>
        <v>0</v>
      </c>
      <c r="AC280" s="150" t="n">
        <f aca="false">(1-ProdFac)*AC417</f>
        <v>0</v>
      </c>
      <c r="AD280" s="150" t="n">
        <f aca="false">(1-ProdFac)*AD417</f>
        <v>0</v>
      </c>
      <c r="AE280" s="150" t="n">
        <f aca="false">(1-ProdFac)*AE417</f>
        <v>0</v>
      </c>
      <c r="AF280" s="150" t="n">
        <f aca="false">(1-ProdFac)*AF417</f>
        <v>0</v>
      </c>
      <c r="AG280" s="150" t="n">
        <f aca="false">(1-ProdFac)*AG417</f>
        <v>0</v>
      </c>
      <c r="AH280" s="150" t="n">
        <f aca="false">(1-ProdFac)*AH417</f>
        <v>0</v>
      </c>
      <c r="AI280" s="150" t="n">
        <f aca="false">(1-ProdFac)*AI417</f>
        <v>0</v>
      </c>
      <c r="AJ280" s="150" t="n">
        <f aca="false">(1-ProdFac)*AJ417</f>
        <v>0</v>
      </c>
      <c r="AK280" s="150" t="n">
        <f aca="false">(1-ProdFac)*AK417</f>
        <v>0</v>
      </c>
      <c r="AL280" s="150" t="n">
        <f aca="false">(1-ProdFac)*AL417</f>
        <v>0</v>
      </c>
      <c r="AM280" s="150" t="n">
        <f aca="false">(1-ProdFac)*AM417</f>
        <v>0</v>
      </c>
      <c r="AN280" s="150" t="n">
        <f aca="false">(1-ProdFac)*AN417</f>
        <v>0</v>
      </c>
      <c r="AO280" s="150" t="n">
        <f aca="false">(1-ProdFac)*AO417</f>
        <v>0</v>
      </c>
      <c r="AP280" s="150" t="n">
        <f aca="false">(1-ProdFac)*AP417</f>
        <v>0</v>
      </c>
      <c r="AQ280" s="150" t="n">
        <f aca="false">(1-ProdFac)*AQ417</f>
        <v>0</v>
      </c>
      <c r="AR280" s="150" t="n">
        <f aca="false">(1-ProdFac)*AR417</f>
        <v>0</v>
      </c>
      <c r="AS280" s="150" t="n">
        <f aca="false">(1-ProdFac)*AS417</f>
        <v>0</v>
      </c>
      <c r="AT280" s="150" t="n">
        <f aca="false">(1-ProdFac)*AT417</f>
        <v>0</v>
      </c>
      <c r="AU280" s="150" t="n">
        <f aca="false">(1-ProdFac)*AU417</f>
        <v>0</v>
      </c>
      <c r="AV280" s="150" t="n">
        <f aca="false">(1-ProdFac)*AV417</f>
        <v>0</v>
      </c>
      <c r="AW280" s="150" t="n">
        <f aca="false">(1-ProdFac)*AW417</f>
        <v>0</v>
      </c>
      <c r="AX280" s="150" t="n">
        <f aca="false">(1-ProdFac)*AX417</f>
        <v>0</v>
      </c>
      <c r="AY280" s="150" t="n">
        <f aca="false">(1-ProdFac)*AY417</f>
        <v>0</v>
      </c>
      <c r="AZ280" s="150" t="n">
        <f aca="false">(1-ProdFac)*AZ417</f>
        <v>0</v>
      </c>
      <c r="BA280" s="150" t="n">
        <f aca="false">(1-ProdFac)*BA417</f>
        <v>0</v>
      </c>
      <c r="BB280" s="150" t="n">
        <f aca="false">(1-ProdFac)*BB417</f>
        <v>0</v>
      </c>
    </row>
    <row r="281" customFormat="false" ht="15" hidden="true" customHeight="false" outlineLevel="1" collapsed="false">
      <c r="B281" s="82" t="s">
        <v>212</v>
      </c>
      <c r="C281" s="128" t="s">
        <v>213</v>
      </c>
      <c r="D281" s="128" t="s">
        <v>59</v>
      </c>
      <c r="E281" s="128"/>
      <c r="F281" s="128" t="s">
        <v>59</v>
      </c>
      <c r="G281" s="75"/>
      <c r="H281" s="128"/>
      <c r="I281" s="128"/>
      <c r="J281" s="128"/>
      <c r="K281" s="128"/>
      <c r="L281" s="78" t="n">
        <f aca="false">SUM(S281:BB281)</f>
        <v>0</v>
      </c>
      <c r="M281" s="128"/>
      <c r="N281" s="130" t="str">
        <f aca="false">IF(ISERROR(VLOOKUP(P281,Member_Tab,2,FALSE())),"",VLOOKUP(P281,Member_Tab,2,FALSE()))</f>
        <v/>
      </c>
      <c r="O281" s="130" t="str">
        <f aca="false">IF(ISERROR(VLOOKUP(P281,Member_Tab,3,FALSE())),"",VLOOKUP(P281,Member_Tab,3,FALSE()))</f>
        <v/>
      </c>
      <c r="P281" s="148" t="n">
        <f aca="false">Site!I37</f>
        <v>0</v>
      </c>
      <c r="Q281" s="128"/>
      <c r="R281" s="131"/>
      <c r="S281" s="150" t="n">
        <f aca="false">(1-ProdFac)*S418</f>
        <v>0</v>
      </c>
      <c r="T281" s="150" t="n">
        <f aca="false">(1-ProdFac)*T418</f>
        <v>0</v>
      </c>
      <c r="U281" s="150" t="n">
        <f aca="false">(1-ProdFac)*U418</f>
        <v>0</v>
      </c>
      <c r="V281" s="150" t="n">
        <f aca="false">(1-ProdFac)*V418</f>
        <v>0</v>
      </c>
      <c r="W281" s="150" t="n">
        <f aca="false">(1-ProdFac)*W418</f>
        <v>0</v>
      </c>
      <c r="X281" s="150" t="n">
        <f aca="false">(1-ProdFac)*X418</f>
        <v>0</v>
      </c>
      <c r="Y281" s="150" t="n">
        <f aca="false">(1-ProdFac)*Y418</f>
        <v>0</v>
      </c>
      <c r="Z281" s="150" t="n">
        <f aca="false">(1-ProdFac)*Z418</f>
        <v>0</v>
      </c>
      <c r="AA281" s="150" t="n">
        <f aca="false">(1-ProdFac)*AA418</f>
        <v>0</v>
      </c>
      <c r="AB281" s="150" t="n">
        <f aca="false">(1-ProdFac)*AB418</f>
        <v>0</v>
      </c>
      <c r="AC281" s="150" t="n">
        <f aca="false">(1-ProdFac)*AC418</f>
        <v>0</v>
      </c>
      <c r="AD281" s="150" t="n">
        <f aca="false">(1-ProdFac)*AD418</f>
        <v>0</v>
      </c>
      <c r="AE281" s="150" t="n">
        <f aca="false">(1-ProdFac)*AE418</f>
        <v>0</v>
      </c>
      <c r="AF281" s="150" t="n">
        <f aca="false">(1-ProdFac)*AF418</f>
        <v>0</v>
      </c>
      <c r="AG281" s="150" t="n">
        <f aca="false">(1-ProdFac)*AG418</f>
        <v>0</v>
      </c>
      <c r="AH281" s="150" t="n">
        <f aca="false">(1-ProdFac)*AH418</f>
        <v>0</v>
      </c>
      <c r="AI281" s="150" t="n">
        <f aca="false">(1-ProdFac)*AI418</f>
        <v>0</v>
      </c>
      <c r="AJ281" s="150" t="n">
        <f aca="false">(1-ProdFac)*AJ418</f>
        <v>0</v>
      </c>
      <c r="AK281" s="150" t="n">
        <f aca="false">(1-ProdFac)*AK418</f>
        <v>0</v>
      </c>
      <c r="AL281" s="150" t="n">
        <f aca="false">(1-ProdFac)*AL418</f>
        <v>0</v>
      </c>
      <c r="AM281" s="150" t="n">
        <f aca="false">(1-ProdFac)*AM418</f>
        <v>0</v>
      </c>
      <c r="AN281" s="150" t="n">
        <f aca="false">(1-ProdFac)*AN418</f>
        <v>0</v>
      </c>
      <c r="AO281" s="150" t="n">
        <f aca="false">(1-ProdFac)*AO418</f>
        <v>0</v>
      </c>
      <c r="AP281" s="150" t="n">
        <f aca="false">(1-ProdFac)*AP418</f>
        <v>0</v>
      </c>
      <c r="AQ281" s="150" t="n">
        <f aca="false">(1-ProdFac)*AQ418</f>
        <v>0</v>
      </c>
      <c r="AR281" s="150" t="n">
        <f aca="false">(1-ProdFac)*AR418</f>
        <v>0</v>
      </c>
      <c r="AS281" s="150" t="n">
        <f aca="false">(1-ProdFac)*AS418</f>
        <v>0</v>
      </c>
      <c r="AT281" s="150" t="n">
        <f aca="false">(1-ProdFac)*AT418</f>
        <v>0</v>
      </c>
      <c r="AU281" s="150" t="n">
        <f aca="false">(1-ProdFac)*AU418</f>
        <v>0</v>
      </c>
      <c r="AV281" s="150" t="n">
        <f aca="false">(1-ProdFac)*AV418</f>
        <v>0</v>
      </c>
      <c r="AW281" s="150" t="n">
        <f aca="false">(1-ProdFac)*AW418</f>
        <v>0</v>
      </c>
      <c r="AX281" s="150" t="n">
        <f aca="false">(1-ProdFac)*AX418</f>
        <v>0</v>
      </c>
      <c r="AY281" s="150" t="n">
        <f aca="false">(1-ProdFac)*AY418</f>
        <v>0</v>
      </c>
      <c r="AZ281" s="150" t="n">
        <f aca="false">(1-ProdFac)*AZ418</f>
        <v>0</v>
      </c>
      <c r="BA281" s="150" t="n">
        <f aca="false">(1-ProdFac)*BA418</f>
        <v>0</v>
      </c>
      <c r="BB281" s="150" t="n">
        <f aca="false">(1-ProdFac)*BB418</f>
        <v>0</v>
      </c>
    </row>
    <row r="282" customFormat="false" ht="15" hidden="true" customHeight="false" outlineLevel="1" collapsed="false">
      <c r="B282" s="82" t="s">
        <v>212</v>
      </c>
      <c r="C282" s="128" t="s">
        <v>213</v>
      </c>
      <c r="D282" s="128" t="s">
        <v>59</v>
      </c>
      <c r="E282" s="128"/>
      <c r="F282" s="128" t="s">
        <v>59</v>
      </c>
      <c r="G282" s="75"/>
      <c r="H282" s="128"/>
      <c r="I282" s="128"/>
      <c r="J282" s="128"/>
      <c r="K282" s="128"/>
      <c r="L282" s="78" t="n">
        <f aca="false">SUM(S282:BB282)</f>
        <v>0</v>
      </c>
      <c r="M282" s="128"/>
      <c r="N282" s="130" t="str">
        <f aca="false">IF(ISERROR(VLOOKUP(P282,Member_Tab,2,FALSE())),"",VLOOKUP(P282,Member_Tab,2,FALSE()))</f>
        <v/>
      </c>
      <c r="O282" s="130" t="str">
        <f aca="false">IF(ISERROR(VLOOKUP(P282,Member_Tab,3,FALSE())),"",VLOOKUP(P282,Member_Tab,3,FALSE()))</f>
        <v/>
      </c>
      <c r="P282" s="148" t="n">
        <f aca="false">Site!I38</f>
        <v>0</v>
      </c>
      <c r="Q282" s="128"/>
      <c r="R282" s="131"/>
      <c r="S282" s="150" t="n">
        <f aca="false">(1-ProdFac)*S419</f>
        <v>0</v>
      </c>
      <c r="T282" s="150" t="n">
        <f aca="false">(1-ProdFac)*T419</f>
        <v>0</v>
      </c>
      <c r="U282" s="150" t="n">
        <f aca="false">(1-ProdFac)*U419</f>
        <v>0</v>
      </c>
      <c r="V282" s="150" t="n">
        <f aca="false">(1-ProdFac)*V419</f>
        <v>0</v>
      </c>
      <c r="W282" s="150" t="n">
        <f aca="false">(1-ProdFac)*W419</f>
        <v>0</v>
      </c>
      <c r="X282" s="150" t="n">
        <f aca="false">(1-ProdFac)*X419</f>
        <v>0</v>
      </c>
      <c r="Y282" s="150" t="n">
        <f aca="false">(1-ProdFac)*Y419</f>
        <v>0</v>
      </c>
      <c r="Z282" s="150" t="n">
        <f aca="false">(1-ProdFac)*Z419</f>
        <v>0</v>
      </c>
      <c r="AA282" s="150" t="n">
        <f aca="false">(1-ProdFac)*AA419</f>
        <v>0</v>
      </c>
      <c r="AB282" s="150" t="n">
        <f aca="false">(1-ProdFac)*AB419</f>
        <v>0</v>
      </c>
      <c r="AC282" s="150" t="n">
        <f aca="false">(1-ProdFac)*AC419</f>
        <v>0</v>
      </c>
      <c r="AD282" s="150" t="n">
        <f aca="false">(1-ProdFac)*AD419</f>
        <v>0</v>
      </c>
      <c r="AE282" s="150" t="n">
        <f aca="false">(1-ProdFac)*AE419</f>
        <v>0</v>
      </c>
      <c r="AF282" s="150" t="n">
        <f aca="false">(1-ProdFac)*AF419</f>
        <v>0</v>
      </c>
      <c r="AG282" s="150" t="n">
        <f aca="false">(1-ProdFac)*AG419</f>
        <v>0</v>
      </c>
      <c r="AH282" s="150" t="n">
        <f aca="false">(1-ProdFac)*AH419</f>
        <v>0</v>
      </c>
      <c r="AI282" s="150" t="n">
        <f aca="false">(1-ProdFac)*AI419</f>
        <v>0</v>
      </c>
      <c r="AJ282" s="150" t="n">
        <f aca="false">(1-ProdFac)*AJ419</f>
        <v>0</v>
      </c>
      <c r="AK282" s="150" t="n">
        <f aca="false">(1-ProdFac)*AK419</f>
        <v>0</v>
      </c>
      <c r="AL282" s="150" t="n">
        <f aca="false">(1-ProdFac)*AL419</f>
        <v>0</v>
      </c>
      <c r="AM282" s="150" t="n">
        <f aca="false">(1-ProdFac)*AM419</f>
        <v>0</v>
      </c>
      <c r="AN282" s="150" t="n">
        <f aca="false">(1-ProdFac)*AN419</f>
        <v>0</v>
      </c>
      <c r="AO282" s="150" t="n">
        <f aca="false">(1-ProdFac)*AO419</f>
        <v>0</v>
      </c>
      <c r="AP282" s="150" t="n">
        <f aca="false">(1-ProdFac)*AP419</f>
        <v>0</v>
      </c>
      <c r="AQ282" s="150" t="n">
        <f aca="false">(1-ProdFac)*AQ419</f>
        <v>0</v>
      </c>
      <c r="AR282" s="150" t="n">
        <f aca="false">(1-ProdFac)*AR419</f>
        <v>0</v>
      </c>
      <c r="AS282" s="150" t="n">
        <f aca="false">(1-ProdFac)*AS419</f>
        <v>0</v>
      </c>
      <c r="AT282" s="150" t="n">
        <f aca="false">(1-ProdFac)*AT419</f>
        <v>0</v>
      </c>
      <c r="AU282" s="150" t="n">
        <f aca="false">(1-ProdFac)*AU419</f>
        <v>0</v>
      </c>
      <c r="AV282" s="150" t="n">
        <f aca="false">(1-ProdFac)*AV419</f>
        <v>0</v>
      </c>
      <c r="AW282" s="150" t="n">
        <f aca="false">(1-ProdFac)*AW419</f>
        <v>0</v>
      </c>
      <c r="AX282" s="150" t="n">
        <f aca="false">(1-ProdFac)*AX419</f>
        <v>0</v>
      </c>
      <c r="AY282" s="150" t="n">
        <f aca="false">(1-ProdFac)*AY419</f>
        <v>0</v>
      </c>
      <c r="AZ282" s="150" t="n">
        <f aca="false">(1-ProdFac)*AZ419</f>
        <v>0</v>
      </c>
      <c r="BA282" s="150" t="n">
        <f aca="false">(1-ProdFac)*BA419</f>
        <v>0</v>
      </c>
      <c r="BB282" s="150" t="n">
        <f aca="false">(1-ProdFac)*BB419</f>
        <v>0</v>
      </c>
    </row>
    <row r="283" customFormat="false" ht="15" hidden="true" customHeight="false" outlineLevel="1" collapsed="false">
      <c r="B283" s="82" t="s">
        <v>212</v>
      </c>
      <c r="C283" s="128" t="s">
        <v>213</v>
      </c>
      <c r="D283" s="128" t="s">
        <v>59</v>
      </c>
      <c r="E283" s="128"/>
      <c r="F283" s="128" t="s">
        <v>59</v>
      </c>
      <c r="G283" s="75"/>
      <c r="H283" s="128"/>
      <c r="I283" s="128"/>
      <c r="J283" s="128"/>
      <c r="K283" s="128"/>
      <c r="L283" s="78" t="n">
        <f aca="false">SUM(S283:BB283)</f>
        <v>0</v>
      </c>
      <c r="M283" s="128"/>
      <c r="N283" s="130" t="str">
        <f aca="false">IF(ISERROR(VLOOKUP(P283,Member_Tab,2,FALSE())),"",VLOOKUP(P283,Member_Tab,2,FALSE()))</f>
        <v/>
      </c>
      <c r="O283" s="130" t="str">
        <f aca="false">IF(ISERROR(VLOOKUP(P283,Member_Tab,3,FALSE())),"",VLOOKUP(P283,Member_Tab,3,FALSE()))</f>
        <v/>
      </c>
      <c r="P283" s="148" t="n">
        <f aca="false">Site!I39</f>
        <v>0</v>
      </c>
      <c r="Q283" s="128"/>
      <c r="R283" s="131"/>
      <c r="S283" s="150" t="n">
        <f aca="false">(1-ProdFac)*S420</f>
        <v>0</v>
      </c>
      <c r="T283" s="150" t="n">
        <f aca="false">(1-ProdFac)*T420</f>
        <v>0</v>
      </c>
      <c r="U283" s="150" t="n">
        <f aca="false">(1-ProdFac)*U420</f>
        <v>0</v>
      </c>
      <c r="V283" s="150" t="n">
        <f aca="false">(1-ProdFac)*V420</f>
        <v>0</v>
      </c>
      <c r="W283" s="150" t="n">
        <f aca="false">(1-ProdFac)*W420</f>
        <v>0</v>
      </c>
      <c r="X283" s="150" t="n">
        <f aca="false">(1-ProdFac)*X420</f>
        <v>0</v>
      </c>
      <c r="Y283" s="150" t="n">
        <f aca="false">(1-ProdFac)*Y420</f>
        <v>0</v>
      </c>
      <c r="Z283" s="150" t="n">
        <f aca="false">(1-ProdFac)*Z420</f>
        <v>0</v>
      </c>
      <c r="AA283" s="150" t="n">
        <f aca="false">(1-ProdFac)*AA420</f>
        <v>0</v>
      </c>
      <c r="AB283" s="150" t="n">
        <f aca="false">(1-ProdFac)*AB420</f>
        <v>0</v>
      </c>
      <c r="AC283" s="150" t="n">
        <f aca="false">(1-ProdFac)*AC420</f>
        <v>0</v>
      </c>
      <c r="AD283" s="150" t="n">
        <f aca="false">(1-ProdFac)*AD420</f>
        <v>0</v>
      </c>
      <c r="AE283" s="150" t="n">
        <f aca="false">(1-ProdFac)*AE420</f>
        <v>0</v>
      </c>
      <c r="AF283" s="150" t="n">
        <f aca="false">(1-ProdFac)*AF420</f>
        <v>0</v>
      </c>
      <c r="AG283" s="150" t="n">
        <f aca="false">(1-ProdFac)*AG420</f>
        <v>0</v>
      </c>
      <c r="AH283" s="150" t="n">
        <f aca="false">(1-ProdFac)*AH420</f>
        <v>0</v>
      </c>
      <c r="AI283" s="150" t="n">
        <f aca="false">(1-ProdFac)*AI420</f>
        <v>0</v>
      </c>
      <c r="AJ283" s="150" t="n">
        <f aca="false">(1-ProdFac)*AJ420</f>
        <v>0</v>
      </c>
      <c r="AK283" s="150" t="n">
        <f aca="false">(1-ProdFac)*AK420</f>
        <v>0</v>
      </c>
      <c r="AL283" s="150" t="n">
        <f aca="false">(1-ProdFac)*AL420</f>
        <v>0</v>
      </c>
      <c r="AM283" s="150" t="n">
        <f aca="false">(1-ProdFac)*AM420</f>
        <v>0</v>
      </c>
      <c r="AN283" s="150" t="n">
        <f aca="false">(1-ProdFac)*AN420</f>
        <v>0</v>
      </c>
      <c r="AO283" s="150" t="n">
        <f aca="false">(1-ProdFac)*AO420</f>
        <v>0</v>
      </c>
      <c r="AP283" s="150" t="n">
        <f aca="false">(1-ProdFac)*AP420</f>
        <v>0</v>
      </c>
      <c r="AQ283" s="150" t="n">
        <f aca="false">(1-ProdFac)*AQ420</f>
        <v>0</v>
      </c>
      <c r="AR283" s="150" t="n">
        <f aca="false">(1-ProdFac)*AR420</f>
        <v>0</v>
      </c>
      <c r="AS283" s="150" t="n">
        <f aca="false">(1-ProdFac)*AS420</f>
        <v>0</v>
      </c>
      <c r="AT283" s="150" t="n">
        <f aca="false">(1-ProdFac)*AT420</f>
        <v>0</v>
      </c>
      <c r="AU283" s="150" t="n">
        <f aca="false">(1-ProdFac)*AU420</f>
        <v>0</v>
      </c>
      <c r="AV283" s="150" t="n">
        <f aca="false">(1-ProdFac)*AV420</f>
        <v>0</v>
      </c>
      <c r="AW283" s="150" t="n">
        <f aca="false">(1-ProdFac)*AW420</f>
        <v>0</v>
      </c>
      <c r="AX283" s="150" t="n">
        <f aca="false">(1-ProdFac)*AX420</f>
        <v>0</v>
      </c>
      <c r="AY283" s="150" t="n">
        <f aca="false">(1-ProdFac)*AY420</f>
        <v>0</v>
      </c>
      <c r="AZ283" s="150" t="n">
        <f aca="false">(1-ProdFac)*AZ420</f>
        <v>0</v>
      </c>
      <c r="BA283" s="150" t="n">
        <f aca="false">(1-ProdFac)*BA420</f>
        <v>0</v>
      </c>
      <c r="BB283" s="150" t="n">
        <f aca="false">(1-ProdFac)*BB420</f>
        <v>0</v>
      </c>
    </row>
    <row r="284" customFormat="false" ht="15" hidden="true" customHeight="false" outlineLevel="1" collapsed="false">
      <c r="B284" s="82" t="s">
        <v>212</v>
      </c>
      <c r="C284" s="128" t="s">
        <v>213</v>
      </c>
      <c r="D284" s="128" t="s">
        <v>59</v>
      </c>
      <c r="E284" s="128"/>
      <c r="F284" s="128" t="s">
        <v>59</v>
      </c>
      <c r="G284" s="75"/>
      <c r="H284" s="128"/>
      <c r="I284" s="128"/>
      <c r="J284" s="128"/>
      <c r="K284" s="128"/>
      <c r="L284" s="78" t="n">
        <f aca="false">SUM(S284:BB284)</f>
        <v>0</v>
      </c>
      <c r="M284" s="128"/>
      <c r="N284" s="130" t="str">
        <f aca="false">IF(ISERROR(VLOOKUP(P284,Member_Tab,2,FALSE())),"",VLOOKUP(P284,Member_Tab,2,FALSE()))</f>
        <v/>
      </c>
      <c r="O284" s="130" t="str">
        <f aca="false">IF(ISERROR(VLOOKUP(P284,Member_Tab,3,FALSE())),"",VLOOKUP(P284,Member_Tab,3,FALSE()))</f>
        <v/>
      </c>
      <c r="P284" s="148" t="n">
        <f aca="false">Site!I40</f>
        <v>0</v>
      </c>
      <c r="Q284" s="128"/>
      <c r="R284" s="131"/>
      <c r="S284" s="150" t="n">
        <f aca="false">(1-ProdFac)*S421</f>
        <v>0</v>
      </c>
      <c r="T284" s="150" t="n">
        <f aca="false">(1-ProdFac)*T421</f>
        <v>0</v>
      </c>
      <c r="U284" s="150" t="n">
        <f aca="false">(1-ProdFac)*U421</f>
        <v>0</v>
      </c>
      <c r="V284" s="150" t="n">
        <f aca="false">(1-ProdFac)*V421</f>
        <v>0</v>
      </c>
      <c r="W284" s="150" t="n">
        <f aca="false">(1-ProdFac)*W421</f>
        <v>0</v>
      </c>
      <c r="X284" s="150" t="n">
        <f aca="false">(1-ProdFac)*X421</f>
        <v>0</v>
      </c>
      <c r="Y284" s="150" t="n">
        <f aca="false">(1-ProdFac)*Y421</f>
        <v>0</v>
      </c>
      <c r="Z284" s="150" t="n">
        <f aca="false">(1-ProdFac)*Z421</f>
        <v>0</v>
      </c>
      <c r="AA284" s="150" t="n">
        <f aca="false">(1-ProdFac)*AA421</f>
        <v>0</v>
      </c>
      <c r="AB284" s="150" t="n">
        <f aca="false">(1-ProdFac)*AB421</f>
        <v>0</v>
      </c>
      <c r="AC284" s="150" t="n">
        <f aca="false">(1-ProdFac)*AC421</f>
        <v>0</v>
      </c>
      <c r="AD284" s="150" t="n">
        <f aca="false">(1-ProdFac)*AD421</f>
        <v>0</v>
      </c>
      <c r="AE284" s="150" t="n">
        <f aca="false">(1-ProdFac)*AE421</f>
        <v>0</v>
      </c>
      <c r="AF284" s="150" t="n">
        <f aca="false">(1-ProdFac)*AF421</f>
        <v>0</v>
      </c>
      <c r="AG284" s="150" t="n">
        <f aca="false">(1-ProdFac)*AG421</f>
        <v>0</v>
      </c>
      <c r="AH284" s="150" t="n">
        <f aca="false">(1-ProdFac)*AH421</f>
        <v>0</v>
      </c>
      <c r="AI284" s="150" t="n">
        <f aca="false">(1-ProdFac)*AI421</f>
        <v>0</v>
      </c>
      <c r="AJ284" s="150" t="n">
        <f aca="false">(1-ProdFac)*AJ421</f>
        <v>0</v>
      </c>
      <c r="AK284" s="150" t="n">
        <f aca="false">(1-ProdFac)*AK421</f>
        <v>0</v>
      </c>
      <c r="AL284" s="150" t="n">
        <f aca="false">(1-ProdFac)*AL421</f>
        <v>0</v>
      </c>
      <c r="AM284" s="150" t="n">
        <f aca="false">(1-ProdFac)*AM421</f>
        <v>0</v>
      </c>
      <c r="AN284" s="150" t="n">
        <f aca="false">(1-ProdFac)*AN421</f>
        <v>0</v>
      </c>
      <c r="AO284" s="150" t="n">
        <f aca="false">(1-ProdFac)*AO421</f>
        <v>0</v>
      </c>
      <c r="AP284" s="150" t="n">
        <f aca="false">(1-ProdFac)*AP421</f>
        <v>0</v>
      </c>
      <c r="AQ284" s="150" t="n">
        <f aca="false">(1-ProdFac)*AQ421</f>
        <v>0</v>
      </c>
      <c r="AR284" s="150" t="n">
        <f aca="false">(1-ProdFac)*AR421</f>
        <v>0</v>
      </c>
      <c r="AS284" s="150" t="n">
        <f aca="false">(1-ProdFac)*AS421</f>
        <v>0</v>
      </c>
      <c r="AT284" s="150" t="n">
        <f aca="false">(1-ProdFac)*AT421</f>
        <v>0</v>
      </c>
      <c r="AU284" s="150" t="n">
        <f aca="false">(1-ProdFac)*AU421</f>
        <v>0</v>
      </c>
      <c r="AV284" s="150" t="n">
        <f aca="false">(1-ProdFac)*AV421</f>
        <v>0</v>
      </c>
      <c r="AW284" s="150" t="n">
        <f aca="false">(1-ProdFac)*AW421</f>
        <v>0</v>
      </c>
      <c r="AX284" s="150" t="n">
        <f aca="false">(1-ProdFac)*AX421</f>
        <v>0</v>
      </c>
      <c r="AY284" s="150" t="n">
        <f aca="false">(1-ProdFac)*AY421</f>
        <v>0</v>
      </c>
      <c r="AZ284" s="150" t="n">
        <f aca="false">(1-ProdFac)*AZ421</f>
        <v>0</v>
      </c>
      <c r="BA284" s="150" t="n">
        <f aca="false">(1-ProdFac)*BA421</f>
        <v>0</v>
      </c>
      <c r="BB284" s="150" t="n">
        <f aca="false">(1-ProdFac)*BB421</f>
        <v>0</v>
      </c>
    </row>
    <row r="285" customFormat="false" ht="15" hidden="true" customHeight="false" outlineLevel="1" collapsed="false">
      <c r="B285" s="82" t="s">
        <v>212</v>
      </c>
      <c r="C285" s="128" t="s">
        <v>213</v>
      </c>
      <c r="D285" s="128" t="s">
        <v>59</v>
      </c>
      <c r="E285" s="128"/>
      <c r="F285" s="128" t="s">
        <v>59</v>
      </c>
      <c r="G285" s="75"/>
      <c r="H285" s="128"/>
      <c r="I285" s="128"/>
      <c r="J285" s="128"/>
      <c r="K285" s="128"/>
      <c r="L285" s="78" t="n">
        <f aca="false">SUM(S285:BB285)</f>
        <v>0</v>
      </c>
      <c r="M285" s="128"/>
      <c r="N285" s="130" t="str">
        <f aca="false">IF(ISERROR(VLOOKUP(P285,Member_Tab,2,FALSE())),"",VLOOKUP(P285,Member_Tab,2,FALSE()))</f>
        <v/>
      </c>
      <c r="O285" s="130" t="str">
        <f aca="false">IF(ISERROR(VLOOKUP(P285,Member_Tab,3,FALSE())),"",VLOOKUP(P285,Member_Tab,3,FALSE()))</f>
        <v/>
      </c>
      <c r="P285" s="148" t="n">
        <f aca="false">Site!I41</f>
        <v>0</v>
      </c>
      <c r="Q285" s="128"/>
      <c r="R285" s="131"/>
      <c r="S285" s="150" t="n">
        <f aca="false">(1-ProdFac)*S422</f>
        <v>0</v>
      </c>
      <c r="T285" s="150" t="n">
        <f aca="false">(1-ProdFac)*T422</f>
        <v>0</v>
      </c>
      <c r="U285" s="150" t="n">
        <f aca="false">(1-ProdFac)*U422</f>
        <v>0</v>
      </c>
      <c r="V285" s="150" t="n">
        <f aca="false">(1-ProdFac)*V422</f>
        <v>0</v>
      </c>
      <c r="W285" s="150" t="n">
        <f aca="false">(1-ProdFac)*W422</f>
        <v>0</v>
      </c>
      <c r="X285" s="150" t="n">
        <f aca="false">(1-ProdFac)*X422</f>
        <v>0</v>
      </c>
      <c r="Y285" s="150" t="n">
        <f aca="false">(1-ProdFac)*Y422</f>
        <v>0</v>
      </c>
      <c r="Z285" s="150" t="n">
        <f aca="false">(1-ProdFac)*Z422</f>
        <v>0</v>
      </c>
      <c r="AA285" s="150" t="n">
        <f aca="false">(1-ProdFac)*AA422</f>
        <v>0</v>
      </c>
      <c r="AB285" s="150" t="n">
        <f aca="false">(1-ProdFac)*AB422</f>
        <v>0</v>
      </c>
      <c r="AC285" s="150" t="n">
        <f aca="false">(1-ProdFac)*AC422</f>
        <v>0</v>
      </c>
      <c r="AD285" s="150" t="n">
        <f aca="false">(1-ProdFac)*AD422</f>
        <v>0</v>
      </c>
      <c r="AE285" s="150" t="n">
        <f aca="false">(1-ProdFac)*AE422</f>
        <v>0</v>
      </c>
      <c r="AF285" s="150" t="n">
        <f aca="false">(1-ProdFac)*AF422</f>
        <v>0</v>
      </c>
      <c r="AG285" s="150" t="n">
        <f aca="false">(1-ProdFac)*AG422</f>
        <v>0</v>
      </c>
      <c r="AH285" s="150" t="n">
        <f aca="false">(1-ProdFac)*AH422</f>
        <v>0</v>
      </c>
      <c r="AI285" s="150" t="n">
        <f aca="false">(1-ProdFac)*AI422</f>
        <v>0</v>
      </c>
      <c r="AJ285" s="150" t="n">
        <f aca="false">(1-ProdFac)*AJ422</f>
        <v>0</v>
      </c>
      <c r="AK285" s="150" t="n">
        <f aca="false">(1-ProdFac)*AK422</f>
        <v>0</v>
      </c>
      <c r="AL285" s="150" t="n">
        <f aca="false">(1-ProdFac)*AL422</f>
        <v>0</v>
      </c>
      <c r="AM285" s="150" t="n">
        <f aca="false">(1-ProdFac)*AM422</f>
        <v>0</v>
      </c>
      <c r="AN285" s="150" t="n">
        <f aca="false">(1-ProdFac)*AN422</f>
        <v>0</v>
      </c>
      <c r="AO285" s="150" t="n">
        <f aca="false">(1-ProdFac)*AO422</f>
        <v>0</v>
      </c>
      <c r="AP285" s="150" t="n">
        <f aca="false">(1-ProdFac)*AP422</f>
        <v>0</v>
      </c>
      <c r="AQ285" s="150" t="n">
        <f aca="false">(1-ProdFac)*AQ422</f>
        <v>0</v>
      </c>
      <c r="AR285" s="150" t="n">
        <f aca="false">(1-ProdFac)*AR422</f>
        <v>0</v>
      </c>
      <c r="AS285" s="150" t="n">
        <f aca="false">(1-ProdFac)*AS422</f>
        <v>0</v>
      </c>
      <c r="AT285" s="150" t="n">
        <f aca="false">(1-ProdFac)*AT422</f>
        <v>0</v>
      </c>
      <c r="AU285" s="150" t="n">
        <f aca="false">(1-ProdFac)*AU422</f>
        <v>0</v>
      </c>
      <c r="AV285" s="150" t="n">
        <f aca="false">(1-ProdFac)*AV422</f>
        <v>0</v>
      </c>
      <c r="AW285" s="150" t="n">
        <f aca="false">(1-ProdFac)*AW422</f>
        <v>0</v>
      </c>
      <c r="AX285" s="150" t="n">
        <f aca="false">(1-ProdFac)*AX422</f>
        <v>0</v>
      </c>
      <c r="AY285" s="150" t="n">
        <f aca="false">(1-ProdFac)*AY422</f>
        <v>0</v>
      </c>
      <c r="AZ285" s="150" t="n">
        <f aca="false">(1-ProdFac)*AZ422</f>
        <v>0</v>
      </c>
      <c r="BA285" s="150" t="n">
        <f aca="false">(1-ProdFac)*BA422</f>
        <v>0</v>
      </c>
      <c r="BB285" s="150" t="n">
        <f aca="false">(1-ProdFac)*BB422</f>
        <v>0</v>
      </c>
    </row>
    <row r="286" customFormat="false" ht="15" hidden="true" customHeight="false" outlineLevel="1" collapsed="false">
      <c r="B286" s="82" t="s">
        <v>212</v>
      </c>
      <c r="C286" s="128" t="s">
        <v>213</v>
      </c>
      <c r="D286" s="128" t="s">
        <v>59</v>
      </c>
      <c r="E286" s="128"/>
      <c r="F286" s="128" t="s">
        <v>59</v>
      </c>
      <c r="G286" s="75"/>
      <c r="H286" s="128"/>
      <c r="I286" s="128"/>
      <c r="J286" s="128"/>
      <c r="K286" s="128"/>
      <c r="L286" s="78" t="n">
        <f aca="false">SUM(S286:BB286)</f>
        <v>0</v>
      </c>
      <c r="M286" s="128"/>
      <c r="N286" s="130" t="str">
        <f aca="false">IF(ISERROR(VLOOKUP(P286,Member_Tab,2,FALSE())),"",VLOOKUP(P286,Member_Tab,2,FALSE()))</f>
        <v/>
      </c>
      <c r="O286" s="130" t="str">
        <f aca="false">IF(ISERROR(VLOOKUP(P286,Member_Tab,3,FALSE())),"",VLOOKUP(P286,Member_Tab,3,FALSE()))</f>
        <v/>
      </c>
      <c r="P286" s="148" t="n">
        <f aca="false">Site!I42</f>
        <v>0</v>
      </c>
      <c r="Q286" s="128"/>
      <c r="R286" s="131"/>
      <c r="S286" s="150" t="n">
        <f aca="false">(1-ProdFac)*S423</f>
        <v>0</v>
      </c>
      <c r="T286" s="150" t="n">
        <f aca="false">(1-ProdFac)*T423</f>
        <v>0</v>
      </c>
      <c r="U286" s="150" t="n">
        <f aca="false">(1-ProdFac)*U423</f>
        <v>0</v>
      </c>
      <c r="V286" s="150" t="n">
        <f aca="false">(1-ProdFac)*V423</f>
        <v>0</v>
      </c>
      <c r="W286" s="150" t="n">
        <f aca="false">(1-ProdFac)*W423</f>
        <v>0</v>
      </c>
      <c r="X286" s="150" t="n">
        <f aca="false">(1-ProdFac)*X423</f>
        <v>0</v>
      </c>
      <c r="Y286" s="150" t="n">
        <f aca="false">(1-ProdFac)*Y423</f>
        <v>0</v>
      </c>
      <c r="Z286" s="150" t="n">
        <f aca="false">(1-ProdFac)*Z423</f>
        <v>0</v>
      </c>
      <c r="AA286" s="150" t="n">
        <f aca="false">(1-ProdFac)*AA423</f>
        <v>0</v>
      </c>
      <c r="AB286" s="150" t="n">
        <f aca="false">(1-ProdFac)*AB423</f>
        <v>0</v>
      </c>
      <c r="AC286" s="150" t="n">
        <f aca="false">(1-ProdFac)*AC423</f>
        <v>0</v>
      </c>
      <c r="AD286" s="150" t="n">
        <f aca="false">(1-ProdFac)*AD423</f>
        <v>0</v>
      </c>
      <c r="AE286" s="150" t="n">
        <f aca="false">(1-ProdFac)*AE423</f>
        <v>0</v>
      </c>
      <c r="AF286" s="150" t="n">
        <f aca="false">(1-ProdFac)*AF423</f>
        <v>0</v>
      </c>
      <c r="AG286" s="150" t="n">
        <f aca="false">(1-ProdFac)*AG423</f>
        <v>0</v>
      </c>
      <c r="AH286" s="150" t="n">
        <f aca="false">(1-ProdFac)*AH423</f>
        <v>0</v>
      </c>
      <c r="AI286" s="150" t="n">
        <f aca="false">(1-ProdFac)*AI423</f>
        <v>0</v>
      </c>
      <c r="AJ286" s="150" t="n">
        <f aca="false">(1-ProdFac)*AJ423</f>
        <v>0</v>
      </c>
      <c r="AK286" s="150" t="n">
        <f aca="false">(1-ProdFac)*AK423</f>
        <v>0</v>
      </c>
      <c r="AL286" s="150" t="n">
        <f aca="false">(1-ProdFac)*AL423</f>
        <v>0</v>
      </c>
      <c r="AM286" s="150" t="n">
        <f aca="false">(1-ProdFac)*AM423</f>
        <v>0</v>
      </c>
      <c r="AN286" s="150" t="n">
        <f aca="false">(1-ProdFac)*AN423</f>
        <v>0</v>
      </c>
      <c r="AO286" s="150" t="n">
        <f aca="false">(1-ProdFac)*AO423</f>
        <v>0</v>
      </c>
      <c r="AP286" s="150" t="n">
        <f aca="false">(1-ProdFac)*AP423</f>
        <v>0</v>
      </c>
      <c r="AQ286" s="150" t="n">
        <f aca="false">(1-ProdFac)*AQ423</f>
        <v>0</v>
      </c>
      <c r="AR286" s="150" t="n">
        <f aca="false">(1-ProdFac)*AR423</f>
        <v>0</v>
      </c>
      <c r="AS286" s="150" t="n">
        <f aca="false">(1-ProdFac)*AS423</f>
        <v>0</v>
      </c>
      <c r="AT286" s="150" t="n">
        <f aca="false">(1-ProdFac)*AT423</f>
        <v>0</v>
      </c>
      <c r="AU286" s="150" t="n">
        <f aca="false">(1-ProdFac)*AU423</f>
        <v>0</v>
      </c>
      <c r="AV286" s="150" t="n">
        <f aca="false">(1-ProdFac)*AV423</f>
        <v>0</v>
      </c>
      <c r="AW286" s="150" t="n">
        <f aca="false">(1-ProdFac)*AW423</f>
        <v>0</v>
      </c>
      <c r="AX286" s="150" t="n">
        <f aca="false">(1-ProdFac)*AX423</f>
        <v>0</v>
      </c>
      <c r="AY286" s="150" t="n">
        <f aca="false">(1-ProdFac)*AY423</f>
        <v>0</v>
      </c>
      <c r="AZ286" s="150" t="n">
        <f aca="false">(1-ProdFac)*AZ423</f>
        <v>0</v>
      </c>
      <c r="BA286" s="150" t="n">
        <f aca="false">(1-ProdFac)*BA423</f>
        <v>0</v>
      </c>
      <c r="BB286" s="150" t="n">
        <f aca="false">(1-ProdFac)*BB423</f>
        <v>0</v>
      </c>
    </row>
    <row r="287" customFormat="false" ht="15" hidden="true" customHeight="false" outlineLevel="1" collapsed="false">
      <c r="B287" s="82" t="s">
        <v>212</v>
      </c>
      <c r="C287" s="128" t="s">
        <v>213</v>
      </c>
      <c r="D287" s="128" t="s">
        <v>59</v>
      </c>
      <c r="E287" s="128"/>
      <c r="F287" s="128" t="s">
        <v>59</v>
      </c>
      <c r="G287" s="75"/>
      <c r="H287" s="128"/>
      <c r="I287" s="128"/>
      <c r="J287" s="128"/>
      <c r="K287" s="128"/>
      <c r="L287" s="78" t="n">
        <f aca="false">SUM(S287:BB287)</f>
        <v>0</v>
      </c>
      <c r="M287" s="128"/>
      <c r="N287" s="130" t="str">
        <f aca="false">IF(ISERROR(VLOOKUP(P287,Member_Tab,2,FALSE())),"",VLOOKUP(P287,Member_Tab,2,FALSE()))</f>
        <v/>
      </c>
      <c r="O287" s="130" t="str">
        <f aca="false">IF(ISERROR(VLOOKUP(P287,Member_Tab,3,FALSE())),"",VLOOKUP(P287,Member_Tab,3,FALSE()))</f>
        <v/>
      </c>
      <c r="P287" s="148" t="n">
        <f aca="false">Site!I43</f>
        <v>0</v>
      </c>
      <c r="Q287" s="128"/>
      <c r="R287" s="131"/>
      <c r="S287" s="150" t="n">
        <f aca="false">(1-ProdFac)*S424</f>
        <v>0</v>
      </c>
      <c r="T287" s="150" t="n">
        <f aca="false">(1-ProdFac)*T424</f>
        <v>0</v>
      </c>
      <c r="U287" s="150" t="n">
        <f aca="false">(1-ProdFac)*U424</f>
        <v>0</v>
      </c>
      <c r="V287" s="150" t="n">
        <f aca="false">(1-ProdFac)*V424</f>
        <v>0</v>
      </c>
      <c r="W287" s="150" t="n">
        <f aca="false">(1-ProdFac)*W424</f>
        <v>0</v>
      </c>
      <c r="X287" s="150" t="n">
        <f aca="false">(1-ProdFac)*X424</f>
        <v>0</v>
      </c>
      <c r="Y287" s="150" t="n">
        <f aca="false">(1-ProdFac)*Y424</f>
        <v>0</v>
      </c>
      <c r="Z287" s="150" t="n">
        <f aca="false">(1-ProdFac)*Z424</f>
        <v>0</v>
      </c>
      <c r="AA287" s="150" t="n">
        <f aca="false">(1-ProdFac)*AA424</f>
        <v>0</v>
      </c>
      <c r="AB287" s="150" t="n">
        <f aca="false">(1-ProdFac)*AB424</f>
        <v>0</v>
      </c>
      <c r="AC287" s="150" t="n">
        <f aca="false">(1-ProdFac)*AC424</f>
        <v>0</v>
      </c>
      <c r="AD287" s="150" t="n">
        <f aca="false">(1-ProdFac)*AD424</f>
        <v>0</v>
      </c>
      <c r="AE287" s="150" t="n">
        <f aca="false">(1-ProdFac)*AE424</f>
        <v>0</v>
      </c>
      <c r="AF287" s="150" t="n">
        <f aca="false">(1-ProdFac)*AF424</f>
        <v>0</v>
      </c>
      <c r="AG287" s="150" t="n">
        <f aca="false">(1-ProdFac)*AG424</f>
        <v>0</v>
      </c>
      <c r="AH287" s="150" t="n">
        <f aca="false">(1-ProdFac)*AH424</f>
        <v>0</v>
      </c>
      <c r="AI287" s="150" t="n">
        <f aca="false">(1-ProdFac)*AI424</f>
        <v>0</v>
      </c>
      <c r="AJ287" s="150" t="n">
        <f aca="false">(1-ProdFac)*AJ424</f>
        <v>0</v>
      </c>
      <c r="AK287" s="150" t="n">
        <f aca="false">(1-ProdFac)*AK424</f>
        <v>0</v>
      </c>
      <c r="AL287" s="150" t="n">
        <f aca="false">(1-ProdFac)*AL424</f>
        <v>0</v>
      </c>
      <c r="AM287" s="150" t="n">
        <f aca="false">(1-ProdFac)*AM424</f>
        <v>0</v>
      </c>
      <c r="AN287" s="150" t="n">
        <f aca="false">(1-ProdFac)*AN424</f>
        <v>0</v>
      </c>
      <c r="AO287" s="150" t="n">
        <f aca="false">(1-ProdFac)*AO424</f>
        <v>0</v>
      </c>
      <c r="AP287" s="150" t="n">
        <f aca="false">(1-ProdFac)*AP424</f>
        <v>0</v>
      </c>
      <c r="AQ287" s="150" t="n">
        <f aca="false">(1-ProdFac)*AQ424</f>
        <v>0</v>
      </c>
      <c r="AR287" s="150" t="n">
        <f aca="false">(1-ProdFac)*AR424</f>
        <v>0</v>
      </c>
      <c r="AS287" s="150" t="n">
        <f aca="false">(1-ProdFac)*AS424</f>
        <v>0</v>
      </c>
      <c r="AT287" s="150" t="n">
        <f aca="false">(1-ProdFac)*AT424</f>
        <v>0</v>
      </c>
      <c r="AU287" s="150" t="n">
        <f aca="false">(1-ProdFac)*AU424</f>
        <v>0</v>
      </c>
      <c r="AV287" s="150" t="n">
        <f aca="false">(1-ProdFac)*AV424</f>
        <v>0</v>
      </c>
      <c r="AW287" s="150" t="n">
        <f aca="false">(1-ProdFac)*AW424</f>
        <v>0</v>
      </c>
      <c r="AX287" s="150" t="n">
        <f aca="false">(1-ProdFac)*AX424</f>
        <v>0</v>
      </c>
      <c r="AY287" s="150" t="n">
        <f aca="false">(1-ProdFac)*AY424</f>
        <v>0</v>
      </c>
      <c r="AZ287" s="150" t="n">
        <f aca="false">(1-ProdFac)*AZ424</f>
        <v>0</v>
      </c>
      <c r="BA287" s="150" t="n">
        <f aca="false">(1-ProdFac)*BA424</f>
        <v>0</v>
      </c>
      <c r="BB287" s="150" t="n">
        <f aca="false">(1-ProdFac)*BB424</f>
        <v>0</v>
      </c>
    </row>
    <row r="288" customFormat="false" ht="15" hidden="true" customHeight="false" outlineLevel="1" collapsed="false">
      <c r="B288" s="82" t="s">
        <v>212</v>
      </c>
      <c r="C288" s="128" t="s">
        <v>213</v>
      </c>
      <c r="D288" s="128" t="s">
        <v>59</v>
      </c>
      <c r="E288" s="128"/>
      <c r="F288" s="128" t="s">
        <v>59</v>
      </c>
      <c r="G288" s="75"/>
      <c r="H288" s="128"/>
      <c r="I288" s="128"/>
      <c r="J288" s="128"/>
      <c r="K288" s="128"/>
      <c r="L288" s="78" t="n">
        <f aca="false">SUM(S288:BB288)</f>
        <v>0</v>
      </c>
      <c r="M288" s="128"/>
      <c r="N288" s="130" t="str">
        <f aca="false">IF(ISERROR(VLOOKUP(P288,Member_Tab,2,FALSE())),"",VLOOKUP(P288,Member_Tab,2,FALSE()))</f>
        <v/>
      </c>
      <c r="O288" s="130" t="str">
        <f aca="false">IF(ISERROR(VLOOKUP(P288,Member_Tab,3,FALSE())),"",VLOOKUP(P288,Member_Tab,3,FALSE()))</f>
        <v/>
      </c>
      <c r="P288" s="148" t="n">
        <f aca="false">Site!I44</f>
        <v>0</v>
      </c>
      <c r="Q288" s="128"/>
      <c r="R288" s="131"/>
      <c r="S288" s="150" t="n">
        <f aca="false">(1-ProdFac)*S425</f>
        <v>0</v>
      </c>
      <c r="T288" s="150" t="n">
        <f aca="false">(1-ProdFac)*T425</f>
        <v>0</v>
      </c>
      <c r="U288" s="150" t="n">
        <f aca="false">(1-ProdFac)*U425</f>
        <v>0</v>
      </c>
      <c r="V288" s="150" t="n">
        <f aca="false">(1-ProdFac)*V425</f>
        <v>0</v>
      </c>
      <c r="W288" s="150" t="n">
        <f aca="false">(1-ProdFac)*W425</f>
        <v>0</v>
      </c>
      <c r="X288" s="150" t="n">
        <f aca="false">(1-ProdFac)*X425</f>
        <v>0</v>
      </c>
      <c r="Y288" s="150" t="n">
        <f aca="false">(1-ProdFac)*Y425</f>
        <v>0</v>
      </c>
      <c r="Z288" s="150" t="n">
        <f aca="false">(1-ProdFac)*Z425</f>
        <v>0</v>
      </c>
      <c r="AA288" s="150" t="n">
        <f aca="false">(1-ProdFac)*AA425</f>
        <v>0</v>
      </c>
      <c r="AB288" s="150" t="n">
        <f aca="false">(1-ProdFac)*AB425</f>
        <v>0</v>
      </c>
      <c r="AC288" s="150" t="n">
        <f aca="false">(1-ProdFac)*AC425</f>
        <v>0</v>
      </c>
      <c r="AD288" s="150" t="n">
        <f aca="false">(1-ProdFac)*AD425</f>
        <v>0</v>
      </c>
      <c r="AE288" s="150" t="n">
        <f aca="false">(1-ProdFac)*AE425</f>
        <v>0</v>
      </c>
      <c r="AF288" s="150" t="n">
        <f aca="false">(1-ProdFac)*AF425</f>
        <v>0</v>
      </c>
      <c r="AG288" s="150" t="n">
        <f aca="false">(1-ProdFac)*AG425</f>
        <v>0</v>
      </c>
      <c r="AH288" s="150" t="n">
        <f aca="false">(1-ProdFac)*AH425</f>
        <v>0</v>
      </c>
      <c r="AI288" s="150" t="n">
        <f aca="false">(1-ProdFac)*AI425</f>
        <v>0</v>
      </c>
      <c r="AJ288" s="150" t="n">
        <f aca="false">(1-ProdFac)*AJ425</f>
        <v>0</v>
      </c>
      <c r="AK288" s="150" t="n">
        <f aca="false">(1-ProdFac)*AK425</f>
        <v>0</v>
      </c>
      <c r="AL288" s="150" t="n">
        <f aca="false">(1-ProdFac)*AL425</f>
        <v>0</v>
      </c>
      <c r="AM288" s="150" t="n">
        <f aca="false">(1-ProdFac)*AM425</f>
        <v>0</v>
      </c>
      <c r="AN288" s="150" t="n">
        <f aca="false">(1-ProdFac)*AN425</f>
        <v>0</v>
      </c>
      <c r="AO288" s="150" t="n">
        <f aca="false">(1-ProdFac)*AO425</f>
        <v>0</v>
      </c>
      <c r="AP288" s="150" t="n">
        <f aca="false">(1-ProdFac)*AP425</f>
        <v>0</v>
      </c>
      <c r="AQ288" s="150" t="n">
        <f aca="false">(1-ProdFac)*AQ425</f>
        <v>0</v>
      </c>
      <c r="AR288" s="150" t="n">
        <f aca="false">(1-ProdFac)*AR425</f>
        <v>0</v>
      </c>
      <c r="AS288" s="150" t="n">
        <f aca="false">(1-ProdFac)*AS425</f>
        <v>0</v>
      </c>
      <c r="AT288" s="150" t="n">
        <f aca="false">(1-ProdFac)*AT425</f>
        <v>0</v>
      </c>
      <c r="AU288" s="150" t="n">
        <f aca="false">(1-ProdFac)*AU425</f>
        <v>0</v>
      </c>
      <c r="AV288" s="150" t="n">
        <f aca="false">(1-ProdFac)*AV425</f>
        <v>0</v>
      </c>
      <c r="AW288" s="150" t="n">
        <f aca="false">(1-ProdFac)*AW425</f>
        <v>0</v>
      </c>
      <c r="AX288" s="150" t="n">
        <f aca="false">(1-ProdFac)*AX425</f>
        <v>0</v>
      </c>
      <c r="AY288" s="150" t="n">
        <f aca="false">(1-ProdFac)*AY425</f>
        <v>0</v>
      </c>
      <c r="AZ288" s="150" t="n">
        <f aca="false">(1-ProdFac)*AZ425</f>
        <v>0</v>
      </c>
      <c r="BA288" s="150" t="n">
        <f aca="false">(1-ProdFac)*BA425</f>
        <v>0</v>
      </c>
      <c r="BB288" s="150" t="n">
        <f aca="false">(1-ProdFac)*BB425</f>
        <v>0</v>
      </c>
    </row>
    <row r="289" customFormat="false" ht="15" hidden="true" customHeight="false" outlineLevel="1" collapsed="false">
      <c r="B289" s="82" t="s">
        <v>212</v>
      </c>
      <c r="C289" s="128" t="s">
        <v>213</v>
      </c>
      <c r="D289" s="128" t="s">
        <v>59</v>
      </c>
      <c r="E289" s="128"/>
      <c r="F289" s="128" t="s">
        <v>59</v>
      </c>
      <c r="G289" s="75"/>
      <c r="H289" s="128"/>
      <c r="I289" s="128"/>
      <c r="J289" s="128"/>
      <c r="K289" s="128"/>
      <c r="L289" s="78" t="n">
        <f aca="false">SUM(S289:BB289)</f>
        <v>0</v>
      </c>
      <c r="M289" s="128"/>
      <c r="N289" s="130" t="str">
        <f aca="false">IF(ISERROR(VLOOKUP(P289,Member_Tab,2,FALSE())),"",VLOOKUP(P289,Member_Tab,2,FALSE()))</f>
        <v/>
      </c>
      <c r="O289" s="130" t="str">
        <f aca="false">IF(ISERROR(VLOOKUP(P289,Member_Tab,3,FALSE())),"",VLOOKUP(P289,Member_Tab,3,FALSE()))</f>
        <v/>
      </c>
      <c r="P289" s="148" t="n">
        <f aca="false">Site!I45</f>
        <v>0</v>
      </c>
      <c r="Q289" s="128"/>
      <c r="R289" s="131"/>
      <c r="S289" s="150" t="n">
        <f aca="false">(1-ProdFac)*S426</f>
        <v>0</v>
      </c>
      <c r="T289" s="150" t="n">
        <f aca="false">(1-ProdFac)*T426</f>
        <v>0</v>
      </c>
      <c r="U289" s="150" t="n">
        <f aca="false">(1-ProdFac)*U426</f>
        <v>0</v>
      </c>
      <c r="V289" s="150" t="n">
        <f aca="false">(1-ProdFac)*V426</f>
        <v>0</v>
      </c>
      <c r="W289" s="150" t="n">
        <f aca="false">(1-ProdFac)*W426</f>
        <v>0</v>
      </c>
      <c r="X289" s="150" t="n">
        <f aca="false">(1-ProdFac)*X426</f>
        <v>0</v>
      </c>
      <c r="Y289" s="150" t="n">
        <f aca="false">(1-ProdFac)*Y426</f>
        <v>0</v>
      </c>
      <c r="Z289" s="150" t="n">
        <f aca="false">(1-ProdFac)*Z426</f>
        <v>0</v>
      </c>
      <c r="AA289" s="150" t="n">
        <f aca="false">(1-ProdFac)*AA426</f>
        <v>0</v>
      </c>
      <c r="AB289" s="150" t="n">
        <f aca="false">(1-ProdFac)*AB426</f>
        <v>0</v>
      </c>
      <c r="AC289" s="150" t="n">
        <f aca="false">(1-ProdFac)*AC426</f>
        <v>0</v>
      </c>
      <c r="AD289" s="150" t="n">
        <f aca="false">(1-ProdFac)*AD426</f>
        <v>0</v>
      </c>
      <c r="AE289" s="150" t="n">
        <f aca="false">(1-ProdFac)*AE426</f>
        <v>0</v>
      </c>
      <c r="AF289" s="150" t="n">
        <f aca="false">(1-ProdFac)*AF426</f>
        <v>0</v>
      </c>
      <c r="AG289" s="150" t="n">
        <f aca="false">(1-ProdFac)*AG426</f>
        <v>0</v>
      </c>
      <c r="AH289" s="150" t="n">
        <f aca="false">(1-ProdFac)*AH426</f>
        <v>0</v>
      </c>
      <c r="AI289" s="150" t="n">
        <f aca="false">(1-ProdFac)*AI426</f>
        <v>0</v>
      </c>
      <c r="AJ289" s="150" t="n">
        <f aca="false">(1-ProdFac)*AJ426</f>
        <v>0</v>
      </c>
      <c r="AK289" s="150" t="n">
        <f aca="false">(1-ProdFac)*AK426</f>
        <v>0</v>
      </c>
      <c r="AL289" s="150" t="n">
        <f aca="false">(1-ProdFac)*AL426</f>
        <v>0</v>
      </c>
      <c r="AM289" s="150" t="n">
        <f aca="false">(1-ProdFac)*AM426</f>
        <v>0</v>
      </c>
      <c r="AN289" s="150" t="n">
        <f aca="false">(1-ProdFac)*AN426</f>
        <v>0</v>
      </c>
      <c r="AO289" s="150" t="n">
        <f aca="false">(1-ProdFac)*AO426</f>
        <v>0</v>
      </c>
      <c r="AP289" s="150" t="n">
        <f aca="false">(1-ProdFac)*AP426</f>
        <v>0</v>
      </c>
      <c r="AQ289" s="150" t="n">
        <f aca="false">(1-ProdFac)*AQ426</f>
        <v>0</v>
      </c>
      <c r="AR289" s="150" t="n">
        <f aca="false">(1-ProdFac)*AR426</f>
        <v>0</v>
      </c>
      <c r="AS289" s="150" t="n">
        <f aca="false">(1-ProdFac)*AS426</f>
        <v>0</v>
      </c>
      <c r="AT289" s="150" t="n">
        <f aca="false">(1-ProdFac)*AT426</f>
        <v>0</v>
      </c>
      <c r="AU289" s="150" t="n">
        <f aca="false">(1-ProdFac)*AU426</f>
        <v>0</v>
      </c>
      <c r="AV289" s="150" t="n">
        <f aca="false">(1-ProdFac)*AV426</f>
        <v>0</v>
      </c>
      <c r="AW289" s="150" t="n">
        <f aca="false">(1-ProdFac)*AW426</f>
        <v>0</v>
      </c>
      <c r="AX289" s="150" t="n">
        <f aca="false">(1-ProdFac)*AX426</f>
        <v>0</v>
      </c>
      <c r="AY289" s="150" t="n">
        <f aca="false">(1-ProdFac)*AY426</f>
        <v>0</v>
      </c>
      <c r="AZ289" s="150" t="n">
        <f aca="false">(1-ProdFac)*AZ426</f>
        <v>0</v>
      </c>
      <c r="BA289" s="150" t="n">
        <f aca="false">(1-ProdFac)*BA426</f>
        <v>0</v>
      </c>
      <c r="BB289" s="150" t="n">
        <f aca="false">(1-ProdFac)*BB426</f>
        <v>0</v>
      </c>
    </row>
    <row r="290" customFormat="false" ht="15" hidden="true" customHeight="false" outlineLevel="1" collapsed="false">
      <c r="B290" s="82" t="s">
        <v>212</v>
      </c>
      <c r="C290" s="128" t="s">
        <v>213</v>
      </c>
      <c r="D290" s="128" t="s">
        <v>59</v>
      </c>
      <c r="E290" s="128"/>
      <c r="F290" s="128" t="s">
        <v>59</v>
      </c>
      <c r="G290" s="75"/>
      <c r="H290" s="128"/>
      <c r="I290" s="128"/>
      <c r="J290" s="128"/>
      <c r="K290" s="128"/>
      <c r="L290" s="78" t="n">
        <f aca="false">SUM(S290:BB290)</f>
        <v>0</v>
      </c>
      <c r="M290" s="128"/>
      <c r="N290" s="130" t="str">
        <f aca="false">IF(ISERROR(VLOOKUP(P290,Member_Tab,2,FALSE())),"",VLOOKUP(P290,Member_Tab,2,FALSE()))</f>
        <v/>
      </c>
      <c r="O290" s="130" t="str">
        <f aca="false">IF(ISERROR(VLOOKUP(P290,Member_Tab,3,FALSE())),"",VLOOKUP(P290,Member_Tab,3,FALSE()))</f>
        <v/>
      </c>
      <c r="P290" s="148" t="n">
        <f aca="false">Site!I46</f>
        <v>0</v>
      </c>
      <c r="Q290" s="128"/>
      <c r="R290" s="131"/>
      <c r="S290" s="150" t="n">
        <f aca="false">(1-ProdFac)*S427</f>
        <v>0</v>
      </c>
      <c r="T290" s="150" t="n">
        <f aca="false">(1-ProdFac)*T427</f>
        <v>0</v>
      </c>
      <c r="U290" s="150" t="n">
        <f aca="false">(1-ProdFac)*U427</f>
        <v>0</v>
      </c>
      <c r="V290" s="150" t="n">
        <f aca="false">(1-ProdFac)*V427</f>
        <v>0</v>
      </c>
      <c r="W290" s="150" t="n">
        <f aca="false">(1-ProdFac)*W427</f>
        <v>0</v>
      </c>
      <c r="X290" s="150" t="n">
        <f aca="false">(1-ProdFac)*X427</f>
        <v>0</v>
      </c>
      <c r="Y290" s="150" t="n">
        <f aca="false">(1-ProdFac)*Y427</f>
        <v>0</v>
      </c>
      <c r="Z290" s="150" t="n">
        <f aca="false">(1-ProdFac)*Z427</f>
        <v>0</v>
      </c>
      <c r="AA290" s="150" t="n">
        <f aca="false">(1-ProdFac)*AA427</f>
        <v>0</v>
      </c>
      <c r="AB290" s="150" t="n">
        <f aca="false">(1-ProdFac)*AB427</f>
        <v>0</v>
      </c>
      <c r="AC290" s="150" t="n">
        <f aca="false">(1-ProdFac)*AC427</f>
        <v>0</v>
      </c>
      <c r="AD290" s="150" t="n">
        <f aca="false">(1-ProdFac)*AD427</f>
        <v>0</v>
      </c>
      <c r="AE290" s="150" t="n">
        <f aca="false">(1-ProdFac)*AE427</f>
        <v>0</v>
      </c>
      <c r="AF290" s="150" t="n">
        <f aca="false">(1-ProdFac)*AF427</f>
        <v>0</v>
      </c>
      <c r="AG290" s="150" t="n">
        <f aca="false">(1-ProdFac)*AG427</f>
        <v>0</v>
      </c>
      <c r="AH290" s="150" t="n">
        <f aca="false">(1-ProdFac)*AH427</f>
        <v>0</v>
      </c>
      <c r="AI290" s="150" t="n">
        <f aca="false">(1-ProdFac)*AI427</f>
        <v>0</v>
      </c>
      <c r="AJ290" s="150" t="n">
        <f aca="false">(1-ProdFac)*AJ427</f>
        <v>0</v>
      </c>
      <c r="AK290" s="150" t="n">
        <f aca="false">(1-ProdFac)*AK427</f>
        <v>0</v>
      </c>
      <c r="AL290" s="150" t="n">
        <f aca="false">(1-ProdFac)*AL427</f>
        <v>0</v>
      </c>
      <c r="AM290" s="150" t="n">
        <f aca="false">(1-ProdFac)*AM427</f>
        <v>0</v>
      </c>
      <c r="AN290" s="150" t="n">
        <f aca="false">(1-ProdFac)*AN427</f>
        <v>0</v>
      </c>
      <c r="AO290" s="150" t="n">
        <f aca="false">(1-ProdFac)*AO427</f>
        <v>0</v>
      </c>
      <c r="AP290" s="150" t="n">
        <f aca="false">(1-ProdFac)*AP427</f>
        <v>0</v>
      </c>
      <c r="AQ290" s="150" t="n">
        <f aca="false">(1-ProdFac)*AQ427</f>
        <v>0</v>
      </c>
      <c r="AR290" s="150" t="n">
        <f aca="false">(1-ProdFac)*AR427</f>
        <v>0</v>
      </c>
      <c r="AS290" s="150" t="n">
        <f aca="false">(1-ProdFac)*AS427</f>
        <v>0</v>
      </c>
      <c r="AT290" s="150" t="n">
        <f aca="false">(1-ProdFac)*AT427</f>
        <v>0</v>
      </c>
      <c r="AU290" s="150" t="n">
        <f aca="false">(1-ProdFac)*AU427</f>
        <v>0</v>
      </c>
      <c r="AV290" s="150" t="n">
        <f aca="false">(1-ProdFac)*AV427</f>
        <v>0</v>
      </c>
      <c r="AW290" s="150" t="n">
        <f aca="false">(1-ProdFac)*AW427</f>
        <v>0</v>
      </c>
      <c r="AX290" s="150" t="n">
        <f aca="false">(1-ProdFac)*AX427</f>
        <v>0</v>
      </c>
      <c r="AY290" s="150" t="n">
        <f aca="false">(1-ProdFac)*AY427</f>
        <v>0</v>
      </c>
      <c r="AZ290" s="150" t="n">
        <f aca="false">(1-ProdFac)*AZ427</f>
        <v>0</v>
      </c>
      <c r="BA290" s="150" t="n">
        <f aca="false">(1-ProdFac)*BA427</f>
        <v>0</v>
      </c>
      <c r="BB290" s="150" t="n">
        <f aca="false">(1-ProdFac)*BB427</f>
        <v>0</v>
      </c>
    </row>
    <row r="291" customFormat="false" ht="15" hidden="true" customHeight="false" outlineLevel="1" collapsed="false">
      <c r="B291" s="82" t="s">
        <v>212</v>
      </c>
      <c r="C291" s="128" t="s">
        <v>213</v>
      </c>
      <c r="D291" s="128" t="s">
        <v>59</v>
      </c>
      <c r="E291" s="128"/>
      <c r="F291" s="128" t="s">
        <v>59</v>
      </c>
      <c r="G291" s="75"/>
      <c r="H291" s="128"/>
      <c r="I291" s="128"/>
      <c r="J291" s="128"/>
      <c r="K291" s="128"/>
      <c r="L291" s="78" t="n">
        <f aca="false">SUM(S291:BB291)</f>
        <v>0</v>
      </c>
      <c r="M291" s="128"/>
      <c r="N291" s="130" t="str">
        <f aca="false">IF(ISERROR(VLOOKUP(P291,Member_Tab,2,FALSE())),"",VLOOKUP(P291,Member_Tab,2,FALSE()))</f>
        <v/>
      </c>
      <c r="O291" s="130" t="str">
        <f aca="false">IF(ISERROR(VLOOKUP(P291,Member_Tab,3,FALSE())),"",VLOOKUP(P291,Member_Tab,3,FALSE()))</f>
        <v/>
      </c>
      <c r="P291" s="148" t="n">
        <f aca="false">Site!I47</f>
        <v>0</v>
      </c>
      <c r="Q291" s="128"/>
      <c r="R291" s="131"/>
      <c r="S291" s="150" t="n">
        <f aca="false">(1-ProdFac)*S428</f>
        <v>0</v>
      </c>
      <c r="T291" s="150" t="n">
        <f aca="false">(1-ProdFac)*T428</f>
        <v>0</v>
      </c>
      <c r="U291" s="150" t="n">
        <f aca="false">(1-ProdFac)*U428</f>
        <v>0</v>
      </c>
      <c r="V291" s="150" t="n">
        <f aca="false">(1-ProdFac)*V428</f>
        <v>0</v>
      </c>
      <c r="W291" s="150" t="n">
        <f aca="false">(1-ProdFac)*W428</f>
        <v>0</v>
      </c>
      <c r="X291" s="150" t="n">
        <f aca="false">(1-ProdFac)*X428</f>
        <v>0</v>
      </c>
      <c r="Y291" s="150" t="n">
        <f aca="false">(1-ProdFac)*Y428</f>
        <v>0</v>
      </c>
      <c r="Z291" s="150" t="n">
        <f aca="false">(1-ProdFac)*Z428</f>
        <v>0</v>
      </c>
      <c r="AA291" s="150" t="n">
        <f aca="false">(1-ProdFac)*AA428</f>
        <v>0</v>
      </c>
      <c r="AB291" s="150" t="n">
        <f aca="false">(1-ProdFac)*AB428</f>
        <v>0</v>
      </c>
      <c r="AC291" s="150" t="n">
        <f aca="false">(1-ProdFac)*AC428</f>
        <v>0</v>
      </c>
      <c r="AD291" s="150" t="n">
        <f aca="false">(1-ProdFac)*AD428</f>
        <v>0</v>
      </c>
      <c r="AE291" s="150" t="n">
        <f aca="false">(1-ProdFac)*AE428</f>
        <v>0</v>
      </c>
      <c r="AF291" s="150" t="n">
        <f aca="false">(1-ProdFac)*AF428</f>
        <v>0</v>
      </c>
      <c r="AG291" s="150" t="n">
        <f aca="false">(1-ProdFac)*AG428</f>
        <v>0</v>
      </c>
      <c r="AH291" s="150" t="n">
        <f aca="false">(1-ProdFac)*AH428</f>
        <v>0</v>
      </c>
      <c r="AI291" s="150" t="n">
        <f aca="false">(1-ProdFac)*AI428</f>
        <v>0</v>
      </c>
      <c r="AJ291" s="150" t="n">
        <f aca="false">(1-ProdFac)*AJ428</f>
        <v>0</v>
      </c>
      <c r="AK291" s="150" t="n">
        <f aca="false">(1-ProdFac)*AK428</f>
        <v>0</v>
      </c>
      <c r="AL291" s="150" t="n">
        <f aca="false">(1-ProdFac)*AL428</f>
        <v>0</v>
      </c>
      <c r="AM291" s="150" t="n">
        <f aca="false">(1-ProdFac)*AM428</f>
        <v>0</v>
      </c>
      <c r="AN291" s="150" t="n">
        <f aca="false">(1-ProdFac)*AN428</f>
        <v>0</v>
      </c>
      <c r="AO291" s="150" t="n">
        <f aca="false">(1-ProdFac)*AO428</f>
        <v>0</v>
      </c>
      <c r="AP291" s="150" t="n">
        <f aca="false">(1-ProdFac)*AP428</f>
        <v>0</v>
      </c>
      <c r="AQ291" s="150" t="n">
        <f aca="false">(1-ProdFac)*AQ428</f>
        <v>0</v>
      </c>
      <c r="AR291" s="150" t="n">
        <f aca="false">(1-ProdFac)*AR428</f>
        <v>0</v>
      </c>
      <c r="AS291" s="150" t="n">
        <f aca="false">(1-ProdFac)*AS428</f>
        <v>0</v>
      </c>
      <c r="AT291" s="150" t="n">
        <f aca="false">(1-ProdFac)*AT428</f>
        <v>0</v>
      </c>
      <c r="AU291" s="150" t="n">
        <f aca="false">(1-ProdFac)*AU428</f>
        <v>0</v>
      </c>
      <c r="AV291" s="150" t="n">
        <f aca="false">(1-ProdFac)*AV428</f>
        <v>0</v>
      </c>
      <c r="AW291" s="150" t="n">
        <f aca="false">(1-ProdFac)*AW428</f>
        <v>0</v>
      </c>
      <c r="AX291" s="150" t="n">
        <f aca="false">(1-ProdFac)*AX428</f>
        <v>0</v>
      </c>
      <c r="AY291" s="150" t="n">
        <f aca="false">(1-ProdFac)*AY428</f>
        <v>0</v>
      </c>
      <c r="AZ291" s="150" t="n">
        <f aca="false">(1-ProdFac)*AZ428</f>
        <v>0</v>
      </c>
      <c r="BA291" s="150" t="n">
        <f aca="false">(1-ProdFac)*BA428</f>
        <v>0</v>
      </c>
      <c r="BB291" s="150" t="n">
        <f aca="false">(1-ProdFac)*BB428</f>
        <v>0</v>
      </c>
    </row>
    <row r="292" customFormat="false" ht="15" hidden="true" customHeight="false" outlineLevel="1" collapsed="false">
      <c r="B292" s="82" t="s">
        <v>212</v>
      </c>
      <c r="C292" s="128" t="s">
        <v>213</v>
      </c>
      <c r="D292" s="128" t="s">
        <v>59</v>
      </c>
      <c r="E292" s="128"/>
      <c r="F292" s="128" t="s">
        <v>59</v>
      </c>
      <c r="G292" s="75"/>
      <c r="H292" s="128"/>
      <c r="I292" s="128"/>
      <c r="J292" s="128"/>
      <c r="K292" s="128"/>
      <c r="L292" s="78" t="n">
        <f aca="false">SUM(S292:BB292)</f>
        <v>0</v>
      </c>
      <c r="M292" s="128"/>
      <c r="N292" s="130" t="str">
        <f aca="false">IF(ISERROR(VLOOKUP(P292,Member_Tab,2,FALSE())),"",VLOOKUP(P292,Member_Tab,2,FALSE()))</f>
        <v/>
      </c>
      <c r="O292" s="130" t="str">
        <f aca="false">IF(ISERROR(VLOOKUP(P292,Member_Tab,3,FALSE())),"",VLOOKUP(P292,Member_Tab,3,FALSE()))</f>
        <v/>
      </c>
      <c r="P292" s="148" t="n">
        <f aca="false">Site!I48</f>
        <v>0</v>
      </c>
      <c r="Q292" s="128"/>
      <c r="R292" s="131"/>
      <c r="S292" s="150" t="n">
        <f aca="false">(1-ProdFac)*S429</f>
        <v>0</v>
      </c>
      <c r="T292" s="150" t="n">
        <f aca="false">(1-ProdFac)*T429</f>
        <v>0</v>
      </c>
      <c r="U292" s="150" t="n">
        <f aca="false">(1-ProdFac)*U429</f>
        <v>0</v>
      </c>
      <c r="V292" s="150" t="n">
        <f aca="false">(1-ProdFac)*V429</f>
        <v>0</v>
      </c>
      <c r="W292" s="150" t="n">
        <f aca="false">(1-ProdFac)*W429</f>
        <v>0</v>
      </c>
      <c r="X292" s="150" t="n">
        <f aca="false">(1-ProdFac)*X429</f>
        <v>0</v>
      </c>
      <c r="Y292" s="150" t="n">
        <f aca="false">(1-ProdFac)*Y429</f>
        <v>0</v>
      </c>
      <c r="Z292" s="150" t="n">
        <f aca="false">(1-ProdFac)*Z429</f>
        <v>0</v>
      </c>
      <c r="AA292" s="150" t="n">
        <f aca="false">(1-ProdFac)*AA429</f>
        <v>0</v>
      </c>
      <c r="AB292" s="150" t="n">
        <f aca="false">(1-ProdFac)*AB429</f>
        <v>0</v>
      </c>
      <c r="AC292" s="150" t="n">
        <f aca="false">(1-ProdFac)*AC429</f>
        <v>0</v>
      </c>
      <c r="AD292" s="150" t="n">
        <f aca="false">(1-ProdFac)*AD429</f>
        <v>0</v>
      </c>
      <c r="AE292" s="150" t="n">
        <f aca="false">(1-ProdFac)*AE429</f>
        <v>0</v>
      </c>
      <c r="AF292" s="150" t="n">
        <f aca="false">(1-ProdFac)*AF429</f>
        <v>0</v>
      </c>
      <c r="AG292" s="150" t="n">
        <f aca="false">(1-ProdFac)*AG429</f>
        <v>0</v>
      </c>
      <c r="AH292" s="150" t="n">
        <f aca="false">(1-ProdFac)*AH429</f>
        <v>0</v>
      </c>
      <c r="AI292" s="150" t="n">
        <f aca="false">(1-ProdFac)*AI429</f>
        <v>0</v>
      </c>
      <c r="AJ292" s="150" t="n">
        <f aca="false">(1-ProdFac)*AJ429</f>
        <v>0</v>
      </c>
      <c r="AK292" s="150" t="n">
        <f aca="false">(1-ProdFac)*AK429</f>
        <v>0</v>
      </c>
      <c r="AL292" s="150" t="n">
        <f aca="false">(1-ProdFac)*AL429</f>
        <v>0</v>
      </c>
      <c r="AM292" s="150" t="n">
        <f aca="false">(1-ProdFac)*AM429</f>
        <v>0</v>
      </c>
      <c r="AN292" s="150" t="n">
        <f aca="false">(1-ProdFac)*AN429</f>
        <v>0</v>
      </c>
      <c r="AO292" s="150" t="n">
        <f aca="false">(1-ProdFac)*AO429</f>
        <v>0</v>
      </c>
      <c r="AP292" s="150" t="n">
        <f aca="false">(1-ProdFac)*AP429</f>
        <v>0</v>
      </c>
      <c r="AQ292" s="150" t="n">
        <f aca="false">(1-ProdFac)*AQ429</f>
        <v>0</v>
      </c>
      <c r="AR292" s="150" t="n">
        <f aca="false">(1-ProdFac)*AR429</f>
        <v>0</v>
      </c>
      <c r="AS292" s="150" t="n">
        <f aca="false">(1-ProdFac)*AS429</f>
        <v>0</v>
      </c>
      <c r="AT292" s="150" t="n">
        <f aca="false">(1-ProdFac)*AT429</f>
        <v>0</v>
      </c>
      <c r="AU292" s="150" t="n">
        <f aca="false">(1-ProdFac)*AU429</f>
        <v>0</v>
      </c>
      <c r="AV292" s="150" t="n">
        <f aca="false">(1-ProdFac)*AV429</f>
        <v>0</v>
      </c>
      <c r="AW292" s="150" t="n">
        <f aca="false">(1-ProdFac)*AW429</f>
        <v>0</v>
      </c>
      <c r="AX292" s="150" t="n">
        <f aca="false">(1-ProdFac)*AX429</f>
        <v>0</v>
      </c>
      <c r="AY292" s="150" t="n">
        <f aca="false">(1-ProdFac)*AY429</f>
        <v>0</v>
      </c>
      <c r="AZ292" s="150" t="n">
        <f aca="false">(1-ProdFac)*AZ429</f>
        <v>0</v>
      </c>
      <c r="BA292" s="150" t="n">
        <f aca="false">(1-ProdFac)*BA429</f>
        <v>0</v>
      </c>
      <c r="BB292" s="150" t="n">
        <f aca="false">(1-ProdFac)*BB429</f>
        <v>0</v>
      </c>
    </row>
    <row r="293" customFormat="false" ht="15" hidden="true" customHeight="false" outlineLevel="1" collapsed="false">
      <c r="B293" s="82" t="s">
        <v>212</v>
      </c>
      <c r="C293" s="128" t="s">
        <v>213</v>
      </c>
      <c r="D293" s="128" t="s">
        <v>59</v>
      </c>
      <c r="E293" s="128"/>
      <c r="F293" s="128" t="s">
        <v>59</v>
      </c>
      <c r="G293" s="75"/>
      <c r="H293" s="128"/>
      <c r="I293" s="128"/>
      <c r="J293" s="128"/>
      <c r="K293" s="128"/>
      <c r="L293" s="78" t="n">
        <f aca="false">SUM(S293:BB293)</f>
        <v>0</v>
      </c>
      <c r="M293" s="128"/>
      <c r="N293" s="130" t="str">
        <f aca="false">IF(ISERROR(VLOOKUP(P293,Member_Tab,2,FALSE())),"",VLOOKUP(P293,Member_Tab,2,FALSE()))</f>
        <v/>
      </c>
      <c r="O293" s="130" t="str">
        <f aca="false">IF(ISERROR(VLOOKUP(P293,Member_Tab,3,FALSE())),"",VLOOKUP(P293,Member_Tab,3,FALSE()))</f>
        <v/>
      </c>
      <c r="P293" s="148" t="n">
        <f aca="false">Site!I49</f>
        <v>0</v>
      </c>
      <c r="Q293" s="128"/>
      <c r="R293" s="131"/>
      <c r="S293" s="150" t="n">
        <f aca="false">(1-ProdFac)*S430</f>
        <v>0</v>
      </c>
      <c r="T293" s="150" t="n">
        <f aca="false">(1-ProdFac)*T430</f>
        <v>0</v>
      </c>
      <c r="U293" s="150" t="n">
        <f aca="false">(1-ProdFac)*U430</f>
        <v>0</v>
      </c>
      <c r="V293" s="150" t="n">
        <f aca="false">(1-ProdFac)*V430</f>
        <v>0</v>
      </c>
      <c r="W293" s="150" t="n">
        <f aca="false">(1-ProdFac)*W430</f>
        <v>0</v>
      </c>
      <c r="X293" s="150" t="n">
        <f aca="false">(1-ProdFac)*X430</f>
        <v>0</v>
      </c>
      <c r="Y293" s="150" t="n">
        <f aca="false">(1-ProdFac)*Y430</f>
        <v>0</v>
      </c>
      <c r="Z293" s="150" t="n">
        <f aca="false">(1-ProdFac)*Z430</f>
        <v>0</v>
      </c>
      <c r="AA293" s="150" t="n">
        <f aca="false">(1-ProdFac)*AA430</f>
        <v>0</v>
      </c>
      <c r="AB293" s="150" t="n">
        <f aca="false">(1-ProdFac)*AB430</f>
        <v>0</v>
      </c>
      <c r="AC293" s="150" t="n">
        <f aca="false">(1-ProdFac)*AC430</f>
        <v>0</v>
      </c>
      <c r="AD293" s="150" t="n">
        <f aca="false">(1-ProdFac)*AD430</f>
        <v>0</v>
      </c>
      <c r="AE293" s="150" t="n">
        <f aca="false">(1-ProdFac)*AE430</f>
        <v>0</v>
      </c>
      <c r="AF293" s="150" t="n">
        <f aca="false">(1-ProdFac)*AF430</f>
        <v>0</v>
      </c>
      <c r="AG293" s="150" t="n">
        <f aca="false">(1-ProdFac)*AG430</f>
        <v>0</v>
      </c>
      <c r="AH293" s="150" t="n">
        <f aca="false">(1-ProdFac)*AH430</f>
        <v>0</v>
      </c>
      <c r="AI293" s="150" t="n">
        <f aca="false">(1-ProdFac)*AI430</f>
        <v>0</v>
      </c>
      <c r="AJ293" s="150" t="n">
        <f aca="false">(1-ProdFac)*AJ430</f>
        <v>0</v>
      </c>
      <c r="AK293" s="150" t="n">
        <f aca="false">(1-ProdFac)*AK430</f>
        <v>0</v>
      </c>
      <c r="AL293" s="150" t="n">
        <f aca="false">(1-ProdFac)*AL430</f>
        <v>0</v>
      </c>
      <c r="AM293" s="150" t="n">
        <f aca="false">(1-ProdFac)*AM430</f>
        <v>0</v>
      </c>
      <c r="AN293" s="150" t="n">
        <f aca="false">(1-ProdFac)*AN430</f>
        <v>0</v>
      </c>
      <c r="AO293" s="150" t="n">
        <f aca="false">(1-ProdFac)*AO430</f>
        <v>0</v>
      </c>
      <c r="AP293" s="150" t="n">
        <f aca="false">(1-ProdFac)*AP430</f>
        <v>0</v>
      </c>
      <c r="AQ293" s="150" t="n">
        <f aca="false">(1-ProdFac)*AQ430</f>
        <v>0</v>
      </c>
      <c r="AR293" s="150" t="n">
        <f aca="false">(1-ProdFac)*AR430</f>
        <v>0</v>
      </c>
      <c r="AS293" s="150" t="n">
        <f aca="false">(1-ProdFac)*AS430</f>
        <v>0</v>
      </c>
      <c r="AT293" s="150" t="n">
        <f aca="false">(1-ProdFac)*AT430</f>
        <v>0</v>
      </c>
      <c r="AU293" s="150" t="n">
        <f aca="false">(1-ProdFac)*AU430</f>
        <v>0</v>
      </c>
      <c r="AV293" s="150" t="n">
        <f aca="false">(1-ProdFac)*AV430</f>
        <v>0</v>
      </c>
      <c r="AW293" s="150" t="n">
        <f aca="false">(1-ProdFac)*AW430</f>
        <v>0</v>
      </c>
      <c r="AX293" s="150" t="n">
        <f aca="false">(1-ProdFac)*AX430</f>
        <v>0</v>
      </c>
      <c r="AY293" s="150" t="n">
        <f aca="false">(1-ProdFac)*AY430</f>
        <v>0</v>
      </c>
      <c r="AZ293" s="150" t="n">
        <f aca="false">(1-ProdFac)*AZ430</f>
        <v>0</v>
      </c>
      <c r="BA293" s="150" t="n">
        <f aca="false">(1-ProdFac)*BA430</f>
        <v>0</v>
      </c>
      <c r="BB293" s="150" t="n">
        <f aca="false">(1-ProdFac)*BB430</f>
        <v>0</v>
      </c>
    </row>
    <row r="294" customFormat="false" ht="15" hidden="true" customHeight="false" outlineLevel="1" collapsed="false">
      <c r="B294" s="82" t="s">
        <v>212</v>
      </c>
      <c r="C294" s="128" t="s">
        <v>213</v>
      </c>
      <c r="D294" s="128" t="s">
        <v>59</v>
      </c>
      <c r="E294" s="128"/>
      <c r="F294" s="128" t="s">
        <v>59</v>
      </c>
      <c r="G294" s="75"/>
      <c r="H294" s="128"/>
      <c r="I294" s="128"/>
      <c r="J294" s="128"/>
      <c r="K294" s="128"/>
      <c r="L294" s="78" t="n">
        <f aca="false">SUM(S294:BB294)</f>
        <v>0</v>
      </c>
      <c r="M294" s="128"/>
      <c r="N294" s="130" t="str">
        <f aca="false">IF(ISERROR(VLOOKUP(P294,Member_Tab,2,FALSE())),"",VLOOKUP(P294,Member_Tab,2,FALSE()))</f>
        <v/>
      </c>
      <c r="O294" s="130" t="str">
        <f aca="false">IF(ISERROR(VLOOKUP(P294,Member_Tab,3,FALSE())),"",VLOOKUP(P294,Member_Tab,3,FALSE()))</f>
        <v/>
      </c>
      <c r="P294" s="148" t="n">
        <f aca="false">Site!I50</f>
        <v>0</v>
      </c>
      <c r="Q294" s="128"/>
      <c r="R294" s="131"/>
      <c r="S294" s="150" t="n">
        <f aca="false">(1-ProdFac)*S431</f>
        <v>0</v>
      </c>
      <c r="T294" s="150" t="n">
        <f aca="false">(1-ProdFac)*T431</f>
        <v>0</v>
      </c>
      <c r="U294" s="150" t="n">
        <f aca="false">(1-ProdFac)*U431</f>
        <v>0</v>
      </c>
      <c r="V294" s="150" t="n">
        <f aca="false">(1-ProdFac)*V431</f>
        <v>0</v>
      </c>
      <c r="W294" s="150" t="n">
        <f aca="false">(1-ProdFac)*W431</f>
        <v>0</v>
      </c>
      <c r="X294" s="150" t="n">
        <f aca="false">(1-ProdFac)*X431</f>
        <v>0</v>
      </c>
      <c r="Y294" s="150" t="n">
        <f aca="false">(1-ProdFac)*Y431</f>
        <v>0</v>
      </c>
      <c r="Z294" s="150" t="n">
        <f aca="false">(1-ProdFac)*Z431</f>
        <v>0</v>
      </c>
      <c r="AA294" s="150" t="n">
        <f aca="false">(1-ProdFac)*AA431</f>
        <v>0</v>
      </c>
      <c r="AB294" s="150" t="n">
        <f aca="false">(1-ProdFac)*AB431</f>
        <v>0</v>
      </c>
      <c r="AC294" s="150" t="n">
        <f aca="false">(1-ProdFac)*AC431</f>
        <v>0</v>
      </c>
      <c r="AD294" s="150" t="n">
        <f aca="false">(1-ProdFac)*AD431</f>
        <v>0</v>
      </c>
      <c r="AE294" s="150" t="n">
        <f aca="false">(1-ProdFac)*AE431</f>
        <v>0</v>
      </c>
      <c r="AF294" s="150" t="n">
        <f aca="false">(1-ProdFac)*AF431</f>
        <v>0</v>
      </c>
      <c r="AG294" s="150" t="n">
        <f aca="false">(1-ProdFac)*AG431</f>
        <v>0</v>
      </c>
      <c r="AH294" s="150" t="n">
        <f aca="false">(1-ProdFac)*AH431</f>
        <v>0</v>
      </c>
      <c r="AI294" s="150" t="n">
        <f aca="false">(1-ProdFac)*AI431</f>
        <v>0</v>
      </c>
      <c r="AJ294" s="150" t="n">
        <f aca="false">(1-ProdFac)*AJ431</f>
        <v>0</v>
      </c>
      <c r="AK294" s="150" t="n">
        <f aca="false">(1-ProdFac)*AK431</f>
        <v>0</v>
      </c>
      <c r="AL294" s="150" t="n">
        <f aca="false">(1-ProdFac)*AL431</f>
        <v>0</v>
      </c>
      <c r="AM294" s="150" t="n">
        <f aca="false">(1-ProdFac)*AM431</f>
        <v>0</v>
      </c>
      <c r="AN294" s="150" t="n">
        <f aca="false">(1-ProdFac)*AN431</f>
        <v>0</v>
      </c>
      <c r="AO294" s="150" t="n">
        <f aca="false">(1-ProdFac)*AO431</f>
        <v>0</v>
      </c>
      <c r="AP294" s="150" t="n">
        <f aca="false">(1-ProdFac)*AP431</f>
        <v>0</v>
      </c>
      <c r="AQ294" s="150" t="n">
        <f aca="false">(1-ProdFac)*AQ431</f>
        <v>0</v>
      </c>
      <c r="AR294" s="150" t="n">
        <f aca="false">(1-ProdFac)*AR431</f>
        <v>0</v>
      </c>
      <c r="AS294" s="150" t="n">
        <f aca="false">(1-ProdFac)*AS431</f>
        <v>0</v>
      </c>
      <c r="AT294" s="150" t="n">
        <f aca="false">(1-ProdFac)*AT431</f>
        <v>0</v>
      </c>
      <c r="AU294" s="150" t="n">
        <f aca="false">(1-ProdFac)*AU431</f>
        <v>0</v>
      </c>
      <c r="AV294" s="150" t="n">
        <f aca="false">(1-ProdFac)*AV431</f>
        <v>0</v>
      </c>
      <c r="AW294" s="150" t="n">
        <f aca="false">(1-ProdFac)*AW431</f>
        <v>0</v>
      </c>
      <c r="AX294" s="150" t="n">
        <f aca="false">(1-ProdFac)*AX431</f>
        <v>0</v>
      </c>
      <c r="AY294" s="150" t="n">
        <f aca="false">(1-ProdFac)*AY431</f>
        <v>0</v>
      </c>
      <c r="AZ294" s="150" t="n">
        <f aca="false">(1-ProdFac)*AZ431</f>
        <v>0</v>
      </c>
      <c r="BA294" s="150" t="n">
        <f aca="false">(1-ProdFac)*BA431</f>
        <v>0</v>
      </c>
      <c r="BB294" s="150" t="n">
        <f aca="false">(1-ProdFac)*BB431</f>
        <v>0</v>
      </c>
    </row>
    <row r="295" customFormat="false" ht="15" hidden="true" customHeight="false" outlineLevel="1" collapsed="false">
      <c r="B295" s="82" t="s">
        <v>212</v>
      </c>
      <c r="C295" s="128" t="s">
        <v>213</v>
      </c>
      <c r="D295" s="128" t="s">
        <v>59</v>
      </c>
      <c r="E295" s="128"/>
      <c r="F295" s="128" t="s">
        <v>59</v>
      </c>
      <c r="G295" s="75"/>
      <c r="H295" s="128"/>
      <c r="I295" s="128"/>
      <c r="J295" s="128"/>
      <c r="K295" s="128"/>
      <c r="L295" s="78" t="n">
        <f aca="false">SUM(S295:BB295)</f>
        <v>0</v>
      </c>
      <c r="M295" s="128"/>
      <c r="N295" s="130" t="str">
        <f aca="false">IF(ISERROR(VLOOKUP(P295,Member_Tab,2,FALSE())),"",VLOOKUP(P295,Member_Tab,2,FALSE()))</f>
        <v/>
      </c>
      <c r="O295" s="130" t="str">
        <f aca="false">IF(ISERROR(VLOOKUP(P295,Member_Tab,3,FALSE())),"",VLOOKUP(P295,Member_Tab,3,FALSE()))</f>
        <v/>
      </c>
      <c r="P295" s="148" t="n">
        <f aca="false">Site!I51</f>
        <v>0</v>
      </c>
      <c r="Q295" s="128"/>
      <c r="R295" s="131"/>
      <c r="S295" s="150" t="n">
        <f aca="false">(1-ProdFac)*S432</f>
        <v>0</v>
      </c>
      <c r="T295" s="150" t="n">
        <f aca="false">(1-ProdFac)*T432</f>
        <v>0</v>
      </c>
      <c r="U295" s="150" t="n">
        <f aca="false">(1-ProdFac)*U432</f>
        <v>0</v>
      </c>
      <c r="V295" s="150" t="n">
        <f aca="false">(1-ProdFac)*V432</f>
        <v>0</v>
      </c>
      <c r="W295" s="150" t="n">
        <f aca="false">(1-ProdFac)*W432</f>
        <v>0</v>
      </c>
      <c r="X295" s="150" t="n">
        <f aca="false">(1-ProdFac)*X432</f>
        <v>0</v>
      </c>
      <c r="Y295" s="150" t="n">
        <f aca="false">(1-ProdFac)*Y432</f>
        <v>0</v>
      </c>
      <c r="Z295" s="150" t="n">
        <f aca="false">(1-ProdFac)*Z432</f>
        <v>0</v>
      </c>
      <c r="AA295" s="150" t="n">
        <f aca="false">(1-ProdFac)*AA432</f>
        <v>0</v>
      </c>
      <c r="AB295" s="150" t="n">
        <f aca="false">(1-ProdFac)*AB432</f>
        <v>0</v>
      </c>
      <c r="AC295" s="150" t="n">
        <f aca="false">(1-ProdFac)*AC432</f>
        <v>0</v>
      </c>
      <c r="AD295" s="150" t="n">
        <f aca="false">(1-ProdFac)*AD432</f>
        <v>0</v>
      </c>
      <c r="AE295" s="150" t="n">
        <f aca="false">(1-ProdFac)*AE432</f>
        <v>0</v>
      </c>
      <c r="AF295" s="150" t="n">
        <f aca="false">(1-ProdFac)*AF432</f>
        <v>0</v>
      </c>
      <c r="AG295" s="150" t="n">
        <f aca="false">(1-ProdFac)*AG432</f>
        <v>0</v>
      </c>
      <c r="AH295" s="150" t="n">
        <f aca="false">(1-ProdFac)*AH432</f>
        <v>0</v>
      </c>
      <c r="AI295" s="150" t="n">
        <f aca="false">(1-ProdFac)*AI432</f>
        <v>0</v>
      </c>
      <c r="AJ295" s="150" t="n">
        <f aca="false">(1-ProdFac)*AJ432</f>
        <v>0</v>
      </c>
      <c r="AK295" s="150" t="n">
        <f aca="false">(1-ProdFac)*AK432</f>
        <v>0</v>
      </c>
      <c r="AL295" s="150" t="n">
        <f aca="false">(1-ProdFac)*AL432</f>
        <v>0</v>
      </c>
      <c r="AM295" s="150" t="n">
        <f aca="false">(1-ProdFac)*AM432</f>
        <v>0</v>
      </c>
      <c r="AN295" s="150" t="n">
        <f aca="false">(1-ProdFac)*AN432</f>
        <v>0</v>
      </c>
      <c r="AO295" s="150" t="n">
        <f aca="false">(1-ProdFac)*AO432</f>
        <v>0</v>
      </c>
      <c r="AP295" s="150" t="n">
        <f aca="false">(1-ProdFac)*AP432</f>
        <v>0</v>
      </c>
      <c r="AQ295" s="150" t="n">
        <f aca="false">(1-ProdFac)*AQ432</f>
        <v>0</v>
      </c>
      <c r="AR295" s="150" t="n">
        <f aca="false">(1-ProdFac)*AR432</f>
        <v>0</v>
      </c>
      <c r="AS295" s="150" t="n">
        <f aca="false">(1-ProdFac)*AS432</f>
        <v>0</v>
      </c>
      <c r="AT295" s="150" t="n">
        <f aca="false">(1-ProdFac)*AT432</f>
        <v>0</v>
      </c>
      <c r="AU295" s="150" t="n">
        <f aca="false">(1-ProdFac)*AU432</f>
        <v>0</v>
      </c>
      <c r="AV295" s="150" t="n">
        <f aca="false">(1-ProdFac)*AV432</f>
        <v>0</v>
      </c>
      <c r="AW295" s="150" t="n">
        <f aca="false">(1-ProdFac)*AW432</f>
        <v>0</v>
      </c>
      <c r="AX295" s="150" t="n">
        <f aca="false">(1-ProdFac)*AX432</f>
        <v>0</v>
      </c>
      <c r="AY295" s="150" t="n">
        <f aca="false">(1-ProdFac)*AY432</f>
        <v>0</v>
      </c>
      <c r="AZ295" s="150" t="n">
        <f aca="false">(1-ProdFac)*AZ432</f>
        <v>0</v>
      </c>
      <c r="BA295" s="150" t="n">
        <f aca="false">(1-ProdFac)*BA432</f>
        <v>0</v>
      </c>
      <c r="BB295" s="150" t="n">
        <f aca="false">(1-ProdFac)*BB432</f>
        <v>0</v>
      </c>
    </row>
    <row r="296" customFormat="false" ht="15" hidden="true" customHeight="false" outlineLevel="1" collapsed="false">
      <c r="B296" s="82" t="s">
        <v>212</v>
      </c>
      <c r="C296" s="128" t="s">
        <v>213</v>
      </c>
      <c r="D296" s="128" t="s">
        <v>59</v>
      </c>
      <c r="E296" s="128"/>
      <c r="F296" s="128" t="s">
        <v>59</v>
      </c>
      <c r="G296" s="75"/>
      <c r="H296" s="128"/>
      <c r="I296" s="128"/>
      <c r="J296" s="128"/>
      <c r="K296" s="128"/>
      <c r="L296" s="78" t="n">
        <f aca="false">SUM(S296:BB296)</f>
        <v>0</v>
      </c>
      <c r="M296" s="128"/>
      <c r="N296" s="130" t="str">
        <f aca="false">IF(ISERROR(VLOOKUP(P296,Member_Tab,2,FALSE())),"",VLOOKUP(P296,Member_Tab,2,FALSE()))</f>
        <v/>
      </c>
      <c r="O296" s="130" t="str">
        <f aca="false">IF(ISERROR(VLOOKUP(P296,Member_Tab,3,FALSE())),"",VLOOKUP(P296,Member_Tab,3,FALSE()))</f>
        <v/>
      </c>
      <c r="P296" s="148" t="n">
        <f aca="false">Site!I52</f>
        <v>0</v>
      </c>
      <c r="Q296" s="128"/>
      <c r="R296" s="131"/>
      <c r="S296" s="150" t="n">
        <f aca="false">(1-ProdFac)*S433</f>
        <v>0</v>
      </c>
      <c r="T296" s="150" t="n">
        <f aca="false">(1-ProdFac)*T433</f>
        <v>0</v>
      </c>
      <c r="U296" s="150" t="n">
        <f aca="false">(1-ProdFac)*U433</f>
        <v>0</v>
      </c>
      <c r="V296" s="150" t="n">
        <f aca="false">(1-ProdFac)*V433</f>
        <v>0</v>
      </c>
      <c r="W296" s="150" t="n">
        <f aca="false">(1-ProdFac)*W433</f>
        <v>0</v>
      </c>
      <c r="X296" s="150" t="n">
        <f aca="false">(1-ProdFac)*X433</f>
        <v>0</v>
      </c>
      <c r="Y296" s="150" t="n">
        <f aca="false">(1-ProdFac)*Y433</f>
        <v>0</v>
      </c>
      <c r="Z296" s="150" t="n">
        <f aca="false">(1-ProdFac)*Z433</f>
        <v>0</v>
      </c>
      <c r="AA296" s="150" t="n">
        <f aca="false">(1-ProdFac)*AA433</f>
        <v>0</v>
      </c>
      <c r="AB296" s="150" t="n">
        <f aca="false">(1-ProdFac)*AB433</f>
        <v>0</v>
      </c>
      <c r="AC296" s="150" t="n">
        <f aca="false">(1-ProdFac)*AC433</f>
        <v>0</v>
      </c>
      <c r="AD296" s="150" t="n">
        <f aca="false">(1-ProdFac)*AD433</f>
        <v>0</v>
      </c>
      <c r="AE296" s="150" t="n">
        <f aca="false">(1-ProdFac)*AE433</f>
        <v>0</v>
      </c>
      <c r="AF296" s="150" t="n">
        <f aca="false">(1-ProdFac)*AF433</f>
        <v>0</v>
      </c>
      <c r="AG296" s="150" t="n">
        <f aca="false">(1-ProdFac)*AG433</f>
        <v>0</v>
      </c>
      <c r="AH296" s="150" t="n">
        <f aca="false">(1-ProdFac)*AH433</f>
        <v>0</v>
      </c>
      <c r="AI296" s="150" t="n">
        <f aca="false">(1-ProdFac)*AI433</f>
        <v>0</v>
      </c>
      <c r="AJ296" s="150" t="n">
        <f aca="false">(1-ProdFac)*AJ433</f>
        <v>0</v>
      </c>
      <c r="AK296" s="150" t="n">
        <f aca="false">(1-ProdFac)*AK433</f>
        <v>0</v>
      </c>
      <c r="AL296" s="150" t="n">
        <f aca="false">(1-ProdFac)*AL433</f>
        <v>0</v>
      </c>
      <c r="AM296" s="150" t="n">
        <f aca="false">(1-ProdFac)*AM433</f>
        <v>0</v>
      </c>
      <c r="AN296" s="150" t="n">
        <f aca="false">(1-ProdFac)*AN433</f>
        <v>0</v>
      </c>
      <c r="AO296" s="150" t="n">
        <f aca="false">(1-ProdFac)*AO433</f>
        <v>0</v>
      </c>
      <c r="AP296" s="150" t="n">
        <f aca="false">(1-ProdFac)*AP433</f>
        <v>0</v>
      </c>
      <c r="AQ296" s="150" t="n">
        <f aca="false">(1-ProdFac)*AQ433</f>
        <v>0</v>
      </c>
      <c r="AR296" s="150" t="n">
        <f aca="false">(1-ProdFac)*AR433</f>
        <v>0</v>
      </c>
      <c r="AS296" s="150" t="n">
        <f aca="false">(1-ProdFac)*AS433</f>
        <v>0</v>
      </c>
      <c r="AT296" s="150" t="n">
        <f aca="false">(1-ProdFac)*AT433</f>
        <v>0</v>
      </c>
      <c r="AU296" s="150" t="n">
        <f aca="false">(1-ProdFac)*AU433</f>
        <v>0</v>
      </c>
      <c r="AV296" s="150" t="n">
        <f aca="false">(1-ProdFac)*AV433</f>
        <v>0</v>
      </c>
      <c r="AW296" s="150" t="n">
        <f aca="false">(1-ProdFac)*AW433</f>
        <v>0</v>
      </c>
      <c r="AX296" s="150" t="n">
        <f aca="false">(1-ProdFac)*AX433</f>
        <v>0</v>
      </c>
      <c r="AY296" s="150" t="n">
        <f aca="false">(1-ProdFac)*AY433</f>
        <v>0</v>
      </c>
      <c r="AZ296" s="150" t="n">
        <f aca="false">(1-ProdFac)*AZ433</f>
        <v>0</v>
      </c>
      <c r="BA296" s="150" t="n">
        <f aca="false">(1-ProdFac)*BA433</f>
        <v>0</v>
      </c>
      <c r="BB296" s="150" t="n">
        <f aca="false">(1-ProdFac)*BB433</f>
        <v>0</v>
      </c>
    </row>
    <row r="297" customFormat="false" ht="15" hidden="true" customHeight="false" outlineLevel="1" collapsed="false">
      <c r="B297" s="82" t="s">
        <v>212</v>
      </c>
      <c r="C297" s="128" t="s">
        <v>213</v>
      </c>
      <c r="D297" s="128" t="s">
        <v>59</v>
      </c>
      <c r="E297" s="128"/>
      <c r="F297" s="128" t="s">
        <v>59</v>
      </c>
      <c r="G297" s="75"/>
      <c r="H297" s="128"/>
      <c r="I297" s="128"/>
      <c r="J297" s="128"/>
      <c r="K297" s="128"/>
      <c r="L297" s="78" t="n">
        <f aca="false">SUM(S297:BB297)</f>
        <v>0</v>
      </c>
      <c r="M297" s="128"/>
      <c r="N297" s="130" t="str">
        <f aca="false">IF(ISERROR(VLOOKUP(P297,Member_Tab,2,FALSE())),"",VLOOKUP(P297,Member_Tab,2,FALSE()))</f>
        <v/>
      </c>
      <c r="O297" s="130" t="str">
        <f aca="false">IF(ISERROR(VLOOKUP(P297,Member_Tab,3,FALSE())),"",VLOOKUP(P297,Member_Tab,3,FALSE()))</f>
        <v/>
      </c>
      <c r="P297" s="148" t="n">
        <f aca="false">Site!I53</f>
        <v>0</v>
      </c>
      <c r="Q297" s="128"/>
      <c r="R297" s="131"/>
      <c r="S297" s="150" t="n">
        <f aca="false">(1-ProdFac)*S434</f>
        <v>0</v>
      </c>
      <c r="T297" s="150" t="n">
        <f aca="false">(1-ProdFac)*T434</f>
        <v>0</v>
      </c>
      <c r="U297" s="150" t="n">
        <f aca="false">(1-ProdFac)*U434</f>
        <v>0</v>
      </c>
      <c r="V297" s="150" t="n">
        <f aca="false">(1-ProdFac)*V434</f>
        <v>0</v>
      </c>
      <c r="W297" s="150" t="n">
        <f aca="false">(1-ProdFac)*W434</f>
        <v>0</v>
      </c>
      <c r="X297" s="150" t="n">
        <f aca="false">(1-ProdFac)*X434</f>
        <v>0</v>
      </c>
      <c r="Y297" s="150" t="n">
        <f aca="false">(1-ProdFac)*Y434</f>
        <v>0</v>
      </c>
      <c r="Z297" s="150" t="n">
        <f aca="false">(1-ProdFac)*Z434</f>
        <v>0</v>
      </c>
      <c r="AA297" s="150" t="n">
        <f aca="false">(1-ProdFac)*AA434</f>
        <v>0</v>
      </c>
      <c r="AB297" s="150" t="n">
        <f aca="false">(1-ProdFac)*AB434</f>
        <v>0</v>
      </c>
      <c r="AC297" s="150" t="n">
        <f aca="false">(1-ProdFac)*AC434</f>
        <v>0</v>
      </c>
      <c r="AD297" s="150" t="n">
        <f aca="false">(1-ProdFac)*AD434</f>
        <v>0</v>
      </c>
      <c r="AE297" s="150" t="n">
        <f aca="false">(1-ProdFac)*AE434</f>
        <v>0</v>
      </c>
      <c r="AF297" s="150" t="n">
        <f aca="false">(1-ProdFac)*AF434</f>
        <v>0</v>
      </c>
      <c r="AG297" s="150" t="n">
        <f aca="false">(1-ProdFac)*AG434</f>
        <v>0</v>
      </c>
      <c r="AH297" s="150" t="n">
        <f aca="false">(1-ProdFac)*AH434</f>
        <v>0</v>
      </c>
      <c r="AI297" s="150" t="n">
        <f aca="false">(1-ProdFac)*AI434</f>
        <v>0</v>
      </c>
      <c r="AJ297" s="150" t="n">
        <f aca="false">(1-ProdFac)*AJ434</f>
        <v>0</v>
      </c>
      <c r="AK297" s="150" t="n">
        <f aca="false">(1-ProdFac)*AK434</f>
        <v>0</v>
      </c>
      <c r="AL297" s="150" t="n">
        <f aca="false">(1-ProdFac)*AL434</f>
        <v>0</v>
      </c>
      <c r="AM297" s="150" t="n">
        <f aca="false">(1-ProdFac)*AM434</f>
        <v>0</v>
      </c>
      <c r="AN297" s="150" t="n">
        <f aca="false">(1-ProdFac)*AN434</f>
        <v>0</v>
      </c>
      <c r="AO297" s="150" t="n">
        <f aca="false">(1-ProdFac)*AO434</f>
        <v>0</v>
      </c>
      <c r="AP297" s="150" t="n">
        <f aca="false">(1-ProdFac)*AP434</f>
        <v>0</v>
      </c>
      <c r="AQ297" s="150" t="n">
        <f aca="false">(1-ProdFac)*AQ434</f>
        <v>0</v>
      </c>
      <c r="AR297" s="150" t="n">
        <f aca="false">(1-ProdFac)*AR434</f>
        <v>0</v>
      </c>
      <c r="AS297" s="150" t="n">
        <f aca="false">(1-ProdFac)*AS434</f>
        <v>0</v>
      </c>
      <c r="AT297" s="150" t="n">
        <f aca="false">(1-ProdFac)*AT434</f>
        <v>0</v>
      </c>
      <c r="AU297" s="150" t="n">
        <f aca="false">(1-ProdFac)*AU434</f>
        <v>0</v>
      </c>
      <c r="AV297" s="150" t="n">
        <f aca="false">(1-ProdFac)*AV434</f>
        <v>0</v>
      </c>
      <c r="AW297" s="150" t="n">
        <f aca="false">(1-ProdFac)*AW434</f>
        <v>0</v>
      </c>
      <c r="AX297" s="150" t="n">
        <f aca="false">(1-ProdFac)*AX434</f>
        <v>0</v>
      </c>
      <c r="AY297" s="150" t="n">
        <f aca="false">(1-ProdFac)*AY434</f>
        <v>0</v>
      </c>
      <c r="AZ297" s="150" t="n">
        <f aca="false">(1-ProdFac)*AZ434</f>
        <v>0</v>
      </c>
      <c r="BA297" s="150" t="n">
        <f aca="false">(1-ProdFac)*BA434</f>
        <v>0</v>
      </c>
      <c r="BB297" s="150" t="n">
        <f aca="false">(1-ProdFac)*BB434</f>
        <v>0</v>
      </c>
    </row>
    <row r="298" customFormat="false" ht="15" hidden="true" customHeight="false" outlineLevel="1" collapsed="false">
      <c r="B298" s="82" t="s">
        <v>212</v>
      </c>
      <c r="C298" s="128" t="s">
        <v>213</v>
      </c>
      <c r="D298" s="128" t="s">
        <v>59</v>
      </c>
      <c r="E298" s="128"/>
      <c r="F298" s="128" t="s">
        <v>59</v>
      </c>
      <c r="G298" s="75"/>
      <c r="H298" s="128"/>
      <c r="I298" s="128"/>
      <c r="J298" s="128"/>
      <c r="K298" s="128"/>
      <c r="L298" s="78" t="n">
        <f aca="false">SUM(S298:BB298)</f>
        <v>0</v>
      </c>
      <c r="M298" s="128"/>
      <c r="N298" s="130" t="str">
        <f aca="false">IF(ISERROR(VLOOKUP(P298,Member_Tab,2,FALSE())),"",VLOOKUP(P298,Member_Tab,2,FALSE()))</f>
        <v/>
      </c>
      <c r="O298" s="130" t="str">
        <f aca="false">IF(ISERROR(VLOOKUP(P298,Member_Tab,3,FALSE())),"",VLOOKUP(P298,Member_Tab,3,FALSE()))</f>
        <v/>
      </c>
      <c r="P298" s="148" t="n">
        <f aca="false">Site!I54</f>
        <v>0</v>
      </c>
      <c r="Q298" s="128"/>
      <c r="R298" s="131"/>
      <c r="S298" s="150" t="n">
        <f aca="false">(1-ProdFac)*S435</f>
        <v>0</v>
      </c>
      <c r="T298" s="150" t="n">
        <f aca="false">(1-ProdFac)*T435</f>
        <v>0</v>
      </c>
      <c r="U298" s="150" t="n">
        <f aca="false">(1-ProdFac)*U435</f>
        <v>0</v>
      </c>
      <c r="V298" s="150" t="n">
        <f aca="false">(1-ProdFac)*V435</f>
        <v>0</v>
      </c>
      <c r="W298" s="150" t="n">
        <f aca="false">(1-ProdFac)*W435</f>
        <v>0</v>
      </c>
      <c r="X298" s="150" t="n">
        <f aca="false">(1-ProdFac)*X435</f>
        <v>0</v>
      </c>
      <c r="Y298" s="150" t="n">
        <f aca="false">(1-ProdFac)*Y435</f>
        <v>0</v>
      </c>
      <c r="Z298" s="150" t="n">
        <f aca="false">(1-ProdFac)*Z435</f>
        <v>0</v>
      </c>
      <c r="AA298" s="150" t="n">
        <f aca="false">(1-ProdFac)*AA435</f>
        <v>0</v>
      </c>
      <c r="AB298" s="150" t="n">
        <f aca="false">(1-ProdFac)*AB435</f>
        <v>0</v>
      </c>
      <c r="AC298" s="150" t="n">
        <f aca="false">(1-ProdFac)*AC435</f>
        <v>0</v>
      </c>
      <c r="AD298" s="150" t="n">
        <f aca="false">(1-ProdFac)*AD435</f>
        <v>0</v>
      </c>
      <c r="AE298" s="150" t="n">
        <f aca="false">(1-ProdFac)*AE435</f>
        <v>0</v>
      </c>
      <c r="AF298" s="150" t="n">
        <f aca="false">(1-ProdFac)*AF435</f>
        <v>0</v>
      </c>
      <c r="AG298" s="150" t="n">
        <f aca="false">(1-ProdFac)*AG435</f>
        <v>0</v>
      </c>
      <c r="AH298" s="150" t="n">
        <f aca="false">(1-ProdFac)*AH435</f>
        <v>0</v>
      </c>
      <c r="AI298" s="150" t="n">
        <f aca="false">(1-ProdFac)*AI435</f>
        <v>0</v>
      </c>
      <c r="AJ298" s="150" t="n">
        <f aca="false">(1-ProdFac)*AJ435</f>
        <v>0</v>
      </c>
      <c r="AK298" s="150" t="n">
        <f aca="false">(1-ProdFac)*AK435</f>
        <v>0</v>
      </c>
      <c r="AL298" s="150" t="n">
        <f aca="false">(1-ProdFac)*AL435</f>
        <v>0</v>
      </c>
      <c r="AM298" s="150" t="n">
        <f aca="false">(1-ProdFac)*AM435</f>
        <v>0</v>
      </c>
      <c r="AN298" s="150" t="n">
        <f aca="false">(1-ProdFac)*AN435</f>
        <v>0</v>
      </c>
      <c r="AO298" s="150" t="n">
        <f aca="false">(1-ProdFac)*AO435</f>
        <v>0</v>
      </c>
      <c r="AP298" s="150" t="n">
        <f aca="false">(1-ProdFac)*AP435</f>
        <v>0</v>
      </c>
      <c r="AQ298" s="150" t="n">
        <f aca="false">(1-ProdFac)*AQ435</f>
        <v>0</v>
      </c>
      <c r="AR298" s="150" t="n">
        <f aca="false">(1-ProdFac)*AR435</f>
        <v>0</v>
      </c>
      <c r="AS298" s="150" t="n">
        <f aca="false">(1-ProdFac)*AS435</f>
        <v>0</v>
      </c>
      <c r="AT298" s="150" t="n">
        <f aca="false">(1-ProdFac)*AT435</f>
        <v>0</v>
      </c>
      <c r="AU298" s="150" t="n">
        <f aca="false">(1-ProdFac)*AU435</f>
        <v>0</v>
      </c>
      <c r="AV298" s="150" t="n">
        <f aca="false">(1-ProdFac)*AV435</f>
        <v>0</v>
      </c>
      <c r="AW298" s="150" t="n">
        <f aca="false">(1-ProdFac)*AW435</f>
        <v>0</v>
      </c>
      <c r="AX298" s="150" t="n">
        <f aca="false">(1-ProdFac)*AX435</f>
        <v>0</v>
      </c>
      <c r="AY298" s="150" t="n">
        <f aca="false">(1-ProdFac)*AY435</f>
        <v>0</v>
      </c>
      <c r="AZ298" s="150" t="n">
        <f aca="false">(1-ProdFac)*AZ435</f>
        <v>0</v>
      </c>
      <c r="BA298" s="150" t="n">
        <f aca="false">(1-ProdFac)*BA435</f>
        <v>0</v>
      </c>
      <c r="BB298" s="150" t="n">
        <f aca="false">(1-ProdFac)*BB435</f>
        <v>0</v>
      </c>
    </row>
    <row r="299" customFormat="false" ht="15" hidden="true" customHeight="false" outlineLevel="1" collapsed="false">
      <c r="B299" s="82" t="s">
        <v>212</v>
      </c>
      <c r="C299" s="128" t="s">
        <v>213</v>
      </c>
      <c r="D299" s="128" t="s">
        <v>59</v>
      </c>
      <c r="E299" s="128"/>
      <c r="F299" s="128" t="s">
        <v>59</v>
      </c>
      <c r="G299" s="75"/>
      <c r="H299" s="128"/>
      <c r="I299" s="128"/>
      <c r="J299" s="128"/>
      <c r="K299" s="128"/>
      <c r="L299" s="78" t="n">
        <f aca="false">SUM(S299:BB299)</f>
        <v>0</v>
      </c>
      <c r="M299" s="128"/>
      <c r="N299" s="130" t="str">
        <f aca="false">IF(ISERROR(VLOOKUP(P299,Member_Tab,2,FALSE())),"",VLOOKUP(P299,Member_Tab,2,FALSE()))</f>
        <v/>
      </c>
      <c r="O299" s="130" t="str">
        <f aca="false">IF(ISERROR(VLOOKUP(P299,Member_Tab,3,FALSE())),"",VLOOKUP(P299,Member_Tab,3,FALSE()))</f>
        <v/>
      </c>
      <c r="P299" s="148" t="n">
        <f aca="false">Site!I55</f>
        <v>0</v>
      </c>
      <c r="Q299" s="128"/>
      <c r="R299" s="131"/>
      <c r="S299" s="150" t="n">
        <f aca="false">(1-ProdFac)*S436</f>
        <v>0</v>
      </c>
      <c r="T299" s="150" t="n">
        <f aca="false">(1-ProdFac)*T436</f>
        <v>0</v>
      </c>
      <c r="U299" s="150" t="n">
        <f aca="false">(1-ProdFac)*U436</f>
        <v>0</v>
      </c>
      <c r="V299" s="150" t="n">
        <f aca="false">(1-ProdFac)*V436</f>
        <v>0</v>
      </c>
      <c r="W299" s="150" t="n">
        <f aca="false">(1-ProdFac)*W436</f>
        <v>0</v>
      </c>
      <c r="X299" s="150" t="n">
        <f aca="false">(1-ProdFac)*X436</f>
        <v>0</v>
      </c>
      <c r="Y299" s="150" t="n">
        <f aca="false">(1-ProdFac)*Y436</f>
        <v>0</v>
      </c>
      <c r="Z299" s="150" t="n">
        <f aca="false">(1-ProdFac)*Z436</f>
        <v>0</v>
      </c>
      <c r="AA299" s="150" t="n">
        <f aca="false">(1-ProdFac)*AA436</f>
        <v>0</v>
      </c>
      <c r="AB299" s="150" t="n">
        <f aca="false">(1-ProdFac)*AB436</f>
        <v>0</v>
      </c>
      <c r="AC299" s="150" t="n">
        <f aca="false">(1-ProdFac)*AC436</f>
        <v>0</v>
      </c>
      <c r="AD299" s="150" t="n">
        <f aca="false">(1-ProdFac)*AD436</f>
        <v>0</v>
      </c>
      <c r="AE299" s="150" t="n">
        <f aca="false">(1-ProdFac)*AE436</f>
        <v>0</v>
      </c>
      <c r="AF299" s="150" t="n">
        <f aca="false">(1-ProdFac)*AF436</f>
        <v>0</v>
      </c>
      <c r="AG299" s="150" t="n">
        <f aca="false">(1-ProdFac)*AG436</f>
        <v>0</v>
      </c>
      <c r="AH299" s="150" t="n">
        <f aca="false">(1-ProdFac)*AH436</f>
        <v>0</v>
      </c>
      <c r="AI299" s="150" t="n">
        <f aca="false">(1-ProdFac)*AI436</f>
        <v>0</v>
      </c>
      <c r="AJ299" s="150" t="n">
        <f aca="false">(1-ProdFac)*AJ436</f>
        <v>0</v>
      </c>
      <c r="AK299" s="150" t="n">
        <f aca="false">(1-ProdFac)*AK436</f>
        <v>0</v>
      </c>
      <c r="AL299" s="150" t="n">
        <f aca="false">(1-ProdFac)*AL436</f>
        <v>0</v>
      </c>
      <c r="AM299" s="150" t="n">
        <f aca="false">(1-ProdFac)*AM436</f>
        <v>0</v>
      </c>
      <c r="AN299" s="150" t="n">
        <f aca="false">(1-ProdFac)*AN436</f>
        <v>0</v>
      </c>
      <c r="AO299" s="150" t="n">
        <f aca="false">(1-ProdFac)*AO436</f>
        <v>0</v>
      </c>
      <c r="AP299" s="150" t="n">
        <f aca="false">(1-ProdFac)*AP436</f>
        <v>0</v>
      </c>
      <c r="AQ299" s="150" t="n">
        <f aca="false">(1-ProdFac)*AQ436</f>
        <v>0</v>
      </c>
      <c r="AR299" s="150" t="n">
        <f aca="false">(1-ProdFac)*AR436</f>
        <v>0</v>
      </c>
      <c r="AS299" s="150" t="n">
        <f aca="false">(1-ProdFac)*AS436</f>
        <v>0</v>
      </c>
      <c r="AT299" s="150" t="n">
        <f aca="false">(1-ProdFac)*AT436</f>
        <v>0</v>
      </c>
      <c r="AU299" s="150" t="n">
        <f aca="false">(1-ProdFac)*AU436</f>
        <v>0</v>
      </c>
      <c r="AV299" s="150" t="n">
        <f aca="false">(1-ProdFac)*AV436</f>
        <v>0</v>
      </c>
      <c r="AW299" s="150" t="n">
        <f aca="false">(1-ProdFac)*AW436</f>
        <v>0</v>
      </c>
      <c r="AX299" s="150" t="n">
        <f aca="false">(1-ProdFac)*AX436</f>
        <v>0</v>
      </c>
      <c r="AY299" s="150" t="n">
        <f aca="false">(1-ProdFac)*AY436</f>
        <v>0</v>
      </c>
      <c r="AZ299" s="150" t="n">
        <f aca="false">(1-ProdFac)*AZ436</f>
        <v>0</v>
      </c>
      <c r="BA299" s="150" t="n">
        <f aca="false">(1-ProdFac)*BA436</f>
        <v>0</v>
      </c>
      <c r="BB299" s="150" t="n">
        <f aca="false">(1-ProdFac)*BB436</f>
        <v>0</v>
      </c>
    </row>
    <row r="300" customFormat="false" ht="15" hidden="true" customHeight="false" outlineLevel="1" collapsed="false">
      <c r="B300" s="82" t="s">
        <v>212</v>
      </c>
      <c r="C300" s="128" t="s">
        <v>213</v>
      </c>
      <c r="D300" s="128" t="s">
        <v>59</v>
      </c>
      <c r="E300" s="128"/>
      <c r="F300" s="128" t="s">
        <v>59</v>
      </c>
      <c r="G300" s="75"/>
      <c r="H300" s="128"/>
      <c r="I300" s="128"/>
      <c r="J300" s="128"/>
      <c r="K300" s="128"/>
      <c r="L300" s="78" t="n">
        <f aca="false">SUM(S300:BB300)</f>
        <v>0</v>
      </c>
      <c r="M300" s="128"/>
      <c r="N300" s="130" t="str">
        <f aca="false">IF(ISERROR(VLOOKUP(P300,Member_Tab,2,FALSE())),"",VLOOKUP(P300,Member_Tab,2,FALSE()))</f>
        <v/>
      </c>
      <c r="O300" s="130" t="str">
        <f aca="false">IF(ISERROR(VLOOKUP(P300,Member_Tab,3,FALSE())),"",VLOOKUP(P300,Member_Tab,3,FALSE()))</f>
        <v/>
      </c>
      <c r="P300" s="148" t="n">
        <f aca="false">Site!I56</f>
        <v>0</v>
      </c>
      <c r="Q300" s="128"/>
      <c r="R300" s="131"/>
      <c r="S300" s="150" t="n">
        <f aca="false">(1-ProdFac)*S437</f>
        <v>0</v>
      </c>
      <c r="T300" s="150" t="n">
        <f aca="false">(1-ProdFac)*T437</f>
        <v>0</v>
      </c>
      <c r="U300" s="150" t="n">
        <f aca="false">(1-ProdFac)*U437</f>
        <v>0</v>
      </c>
      <c r="V300" s="150" t="n">
        <f aca="false">(1-ProdFac)*V437</f>
        <v>0</v>
      </c>
      <c r="W300" s="150" t="n">
        <f aca="false">(1-ProdFac)*W437</f>
        <v>0</v>
      </c>
      <c r="X300" s="150" t="n">
        <f aca="false">(1-ProdFac)*X437</f>
        <v>0</v>
      </c>
      <c r="Y300" s="150" t="n">
        <f aca="false">(1-ProdFac)*Y437</f>
        <v>0</v>
      </c>
      <c r="Z300" s="150" t="n">
        <f aca="false">(1-ProdFac)*Z437</f>
        <v>0</v>
      </c>
      <c r="AA300" s="150" t="n">
        <f aca="false">(1-ProdFac)*AA437</f>
        <v>0</v>
      </c>
      <c r="AB300" s="150" t="n">
        <f aca="false">(1-ProdFac)*AB437</f>
        <v>0</v>
      </c>
      <c r="AC300" s="150" t="n">
        <f aca="false">(1-ProdFac)*AC437</f>
        <v>0</v>
      </c>
      <c r="AD300" s="150" t="n">
        <f aca="false">(1-ProdFac)*AD437</f>
        <v>0</v>
      </c>
      <c r="AE300" s="150" t="n">
        <f aca="false">(1-ProdFac)*AE437</f>
        <v>0</v>
      </c>
      <c r="AF300" s="150" t="n">
        <f aca="false">(1-ProdFac)*AF437</f>
        <v>0</v>
      </c>
      <c r="AG300" s="150" t="n">
        <f aca="false">(1-ProdFac)*AG437</f>
        <v>0</v>
      </c>
      <c r="AH300" s="150" t="n">
        <f aca="false">(1-ProdFac)*AH437</f>
        <v>0</v>
      </c>
      <c r="AI300" s="150" t="n">
        <f aca="false">(1-ProdFac)*AI437</f>
        <v>0</v>
      </c>
      <c r="AJ300" s="150" t="n">
        <f aca="false">(1-ProdFac)*AJ437</f>
        <v>0</v>
      </c>
      <c r="AK300" s="150" t="n">
        <f aca="false">(1-ProdFac)*AK437</f>
        <v>0</v>
      </c>
      <c r="AL300" s="150" t="n">
        <f aca="false">(1-ProdFac)*AL437</f>
        <v>0</v>
      </c>
      <c r="AM300" s="150" t="n">
        <f aca="false">(1-ProdFac)*AM437</f>
        <v>0</v>
      </c>
      <c r="AN300" s="150" t="n">
        <f aca="false">(1-ProdFac)*AN437</f>
        <v>0</v>
      </c>
      <c r="AO300" s="150" t="n">
        <f aca="false">(1-ProdFac)*AO437</f>
        <v>0</v>
      </c>
      <c r="AP300" s="150" t="n">
        <f aca="false">(1-ProdFac)*AP437</f>
        <v>0</v>
      </c>
      <c r="AQ300" s="150" t="n">
        <f aca="false">(1-ProdFac)*AQ437</f>
        <v>0</v>
      </c>
      <c r="AR300" s="150" t="n">
        <f aca="false">(1-ProdFac)*AR437</f>
        <v>0</v>
      </c>
      <c r="AS300" s="150" t="n">
        <f aca="false">(1-ProdFac)*AS437</f>
        <v>0</v>
      </c>
      <c r="AT300" s="150" t="n">
        <f aca="false">(1-ProdFac)*AT437</f>
        <v>0</v>
      </c>
      <c r="AU300" s="150" t="n">
        <f aca="false">(1-ProdFac)*AU437</f>
        <v>0</v>
      </c>
      <c r="AV300" s="150" t="n">
        <f aca="false">(1-ProdFac)*AV437</f>
        <v>0</v>
      </c>
      <c r="AW300" s="150" t="n">
        <f aca="false">(1-ProdFac)*AW437</f>
        <v>0</v>
      </c>
      <c r="AX300" s="150" t="n">
        <f aca="false">(1-ProdFac)*AX437</f>
        <v>0</v>
      </c>
      <c r="AY300" s="150" t="n">
        <f aca="false">(1-ProdFac)*AY437</f>
        <v>0</v>
      </c>
      <c r="AZ300" s="150" t="n">
        <f aca="false">(1-ProdFac)*AZ437</f>
        <v>0</v>
      </c>
      <c r="BA300" s="150" t="n">
        <f aca="false">(1-ProdFac)*BA437</f>
        <v>0</v>
      </c>
      <c r="BB300" s="150" t="n">
        <f aca="false">(1-ProdFac)*BB437</f>
        <v>0</v>
      </c>
    </row>
    <row r="301" customFormat="false" ht="15" hidden="true" customHeight="false" outlineLevel="1" collapsed="false">
      <c r="B301" s="82" t="s">
        <v>212</v>
      </c>
      <c r="C301" s="128" t="s">
        <v>213</v>
      </c>
      <c r="D301" s="128" t="s">
        <v>59</v>
      </c>
      <c r="E301" s="128"/>
      <c r="F301" s="128" t="s">
        <v>59</v>
      </c>
      <c r="G301" s="75"/>
      <c r="H301" s="128"/>
      <c r="I301" s="128"/>
      <c r="J301" s="128"/>
      <c r="K301" s="128"/>
      <c r="L301" s="78" t="n">
        <f aca="false">SUM(S301:BB301)</f>
        <v>0</v>
      </c>
      <c r="M301" s="128"/>
      <c r="N301" s="130" t="str">
        <f aca="false">IF(ISERROR(VLOOKUP(P301,Member_Tab,2,FALSE())),"",VLOOKUP(P301,Member_Tab,2,FALSE()))</f>
        <v/>
      </c>
      <c r="O301" s="130" t="str">
        <f aca="false">IF(ISERROR(VLOOKUP(P301,Member_Tab,3,FALSE())),"",VLOOKUP(P301,Member_Tab,3,FALSE()))</f>
        <v/>
      </c>
      <c r="P301" s="148" t="n">
        <f aca="false">Site!I57</f>
        <v>0</v>
      </c>
      <c r="Q301" s="128"/>
      <c r="R301" s="131"/>
      <c r="S301" s="150" t="n">
        <f aca="false">(1-ProdFac)*S438</f>
        <v>0</v>
      </c>
      <c r="T301" s="150" t="n">
        <f aca="false">(1-ProdFac)*T438</f>
        <v>0</v>
      </c>
      <c r="U301" s="150" t="n">
        <f aca="false">(1-ProdFac)*U438</f>
        <v>0</v>
      </c>
      <c r="V301" s="150" t="n">
        <f aca="false">(1-ProdFac)*V438</f>
        <v>0</v>
      </c>
      <c r="W301" s="150" t="n">
        <f aca="false">(1-ProdFac)*W438</f>
        <v>0</v>
      </c>
      <c r="X301" s="150" t="n">
        <f aca="false">(1-ProdFac)*X438</f>
        <v>0</v>
      </c>
      <c r="Y301" s="150" t="n">
        <f aca="false">(1-ProdFac)*Y438</f>
        <v>0</v>
      </c>
      <c r="Z301" s="150" t="n">
        <f aca="false">(1-ProdFac)*Z438</f>
        <v>0</v>
      </c>
      <c r="AA301" s="150" t="n">
        <f aca="false">(1-ProdFac)*AA438</f>
        <v>0</v>
      </c>
      <c r="AB301" s="150" t="n">
        <f aca="false">(1-ProdFac)*AB438</f>
        <v>0</v>
      </c>
      <c r="AC301" s="150" t="n">
        <f aca="false">(1-ProdFac)*AC438</f>
        <v>0</v>
      </c>
      <c r="AD301" s="150" t="n">
        <f aca="false">(1-ProdFac)*AD438</f>
        <v>0</v>
      </c>
      <c r="AE301" s="150" t="n">
        <f aca="false">(1-ProdFac)*AE438</f>
        <v>0</v>
      </c>
      <c r="AF301" s="150" t="n">
        <f aca="false">(1-ProdFac)*AF438</f>
        <v>0</v>
      </c>
      <c r="AG301" s="150" t="n">
        <f aca="false">(1-ProdFac)*AG438</f>
        <v>0</v>
      </c>
      <c r="AH301" s="150" t="n">
        <f aca="false">(1-ProdFac)*AH438</f>
        <v>0</v>
      </c>
      <c r="AI301" s="150" t="n">
        <f aca="false">(1-ProdFac)*AI438</f>
        <v>0</v>
      </c>
      <c r="AJ301" s="150" t="n">
        <f aca="false">(1-ProdFac)*AJ438</f>
        <v>0</v>
      </c>
      <c r="AK301" s="150" t="n">
        <f aca="false">(1-ProdFac)*AK438</f>
        <v>0</v>
      </c>
      <c r="AL301" s="150" t="n">
        <f aca="false">(1-ProdFac)*AL438</f>
        <v>0</v>
      </c>
      <c r="AM301" s="150" t="n">
        <f aca="false">(1-ProdFac)*AM438</f>
        <v>0</v>
      </c>
      <c r="AN301" s="150" t="n">
        <f aca="false">(1-ProdFac)*AN438</f>
        <v>0</v>
      </c>
      <c r="AO301" s="150" t="n">
        <f aca="false">(1-ProdFac)*AO438</f>
        <v>0</v>
      </c>
      <c r="AP301" s="150" t="n">
        <f aca="false">(1-ProdFac)*AP438</f>
        <v>0</v>
      </c>
      <c r="AQ301" s="150" t="n">
        <f aca="false">(1-ProdFac)*AQ438</f>
        <v>0</v>
      </c>
      <c r="AR301" s="150" t="n">
        <f aca="false">(1-ProdFac)*AR438</f>
        <v>0</v>
      </c>
      <c r="AS301" s="150" t="n">
        <f aca="false">(1-ProdFac)*AS438</f>
        <v>0</v>
      </c>
      <c r="AT301" s="150" t="n">
        <f aca="false">(1-ProdFac)*AT438</f>
        <v>0</v>
      </c>
      <c r="AU301" s="150" t="n">
        <f aca="false">(1-ProdFac)*AU438</f>
        <v>0</v>
      </c>
      <c r="AV301" s="150" t="n">
        <f aca="false">(1-ProdFac)*AV438</f>
        <v>0</v>
      </c>
      <c r="AW301" s="150" t="n">
        <f aca="false">(1-ProdFac)*AW438</f>
        <v>0</v>
      </c>
      <c r="AX301" s="150" t="n">
        <f aca="false">(1-ProdFac)*AX438</f>
        <v>0</v>
      </c>
      <c r="AY301" s="150" t="n">
        <f aca="false">(1-ProdFac)*AY438</f>
        <v>0</v>
      </c>
      <c r="AZ301" s="150" t="n">
        <f aca="false">(1-ProdFac)*AZ438</f>
        <v>0</v>
      </c>
      <c r="BA301" s="150" t="n">
        <f aca="false">(1-ProdFac)*BA438</f>
        <v>0</v>
      </c>
      <c r="BB301" s="150" t="n">
        <f aca="false">(1-ProdFac)*BB438</f>
        <v>0</v>
      </c>
    </row>
    <row r="302" customFormat="false" ht="15" hidden="true" customHeight="false" outlineLevel="1" collapsed="false">
      <c r="B302" s="82" t="s">
        <v>212</v>
      </c>
      <c r="C302" s="128" t="s">
        <v>213</v>
      </c>
      <c r="D302" s="128" t="s">
        <v>59</v>
      </c>
      <c r="E302" s="128"/>
      <c r="F302" s="128" t="s">
        <v>59</v>
      </c>
      <c r="G302" s="75"/>
      <c r="H302" s="128"/>
      <c r="I302" s="128"/>
      <c r="J302" s="128"/>
      <c r="K302" s="128"/>
      <c r="L302" s="78" t="n">
        <f aca="false">SUM(S302:BB302)</f>
        <v>0</v>
      </c>
      <c r="M302" s="128"/>
      <c r="N302" s="130" t="str">
        <f aca="false">IF(ISERROR(VLOOKUP(P302,Member_Tab,2,FALSE())),"",VLOOKUP(P302,Member_Tab,2,FALSE()))</f>
        <v/>
      </c>
      <c r="O302" s="130" t="str">
        <f aca="false">IF(ISERROR(VLOOKUP(P302,Member_Tab,3,FALSE())),"",VLOOKUP(P302,Member_Tab,3,FALSE()))</f>
        <v/>
      </c>
      <c r="P302" s="148" t="n">
        <f aca="false">Site!I58</f>
        <v>0</v>
      </c>
      <c r="Q302" s="128"/>
      <c r="R302" s="131"/>
      <c r="S302" s="150" t="n">
        <f aca="false">(1-ProdFac)*S439</f>
        <v>0</v>
      </c>
      <c r="T302" s="150" t="n">
        <f aca="false">(1-ProdFac)*T439</f>
        <v>0</v>
      </c>
      <c r="U302" s="150" t="n">
        <f aca="false">(1-ProdFac)*U439</f>
        <v>0</v>
      </c>
      <c r="V302" s="150" t="n">
        <f aca="false">(1-ProdFac)*V439</f>
        <v>0</v>
      </c>
      <c r="W302" s="150" t="n">
        <f aca="false">(1-ProdFac)*W439</f>
        <v>0</v>
      </c>
      <c r="X302" s="150" t="n">
        <f aca="false">(1-ProdFac)*X439</f>
        <v>0</v>
      </c>
      <c r="Y302" s="150" t="n">
        <f aca="false">(1-ProdFac)*Y439</f>
        <v>0</v>
      </c>
      <c r="Z302" s="150" t="n">
        <f aca="false">(1-ProdFac)*Z439</f>
        <v>0</v>
      </c>
      <c r="AA302" s="150" t="n">
        <f aca="false">(1-ProdFac)*AA439</f>
        <v>0</v>
      </c>
      <c r="AB302" s="150" t="n">
        <f aca="false">(1-ProdFac)*AB439</f>
        <v>0</v>
      </c>
      <c r="AC302" s="150" t="n">
        <f aca="false">(1-ProdFac)*AC439</f>
        <v>0</v>
      </c>
      <c r="AD302" s="150" t="n">
        <f aca="false">(1-ProdFac)*AD439</f>
        <v>0</v>
      </c>
      <c r="AE302" s="150" t="n">
        <f aca="false">(1-ProdFac)*AE439</f>
        <v>0</v>
      </c>
      <c r="AF302" s="150" t="n">
        <f aca="false">(1-ProdFac)*AF439</f>
        <v>0</v>
      </c>
      <c r="AG302" s="150" t="n">
        <f aca="false">(1-ProdFac)*AG439</f>
        <v>0</v>
      </c>
      <c r="AH302" s="150" t="n">
        <f aca="false">(1-ProdFac)*AH439</f>
        <v>0</v>
      </c>
      <c r="AI302" s="150" t="n">
        <f aca="false">(1-ProdFac)*AI439</f>
        <v>0</v>
      </c>
      <c r="AJ302" s="150" t="n">
        <f aca="false">(1-ProdFac)*AJ439</f>
        <v>0</v>
      </c>
      <c r="AK302" s="150" t="n">
        <f aca="false">(1-ProdFac)*AK439</f>
        <v>0</v>
      </c>
      <c r="AL302" s="150" t="n">
        <f aca="false">(1-ProdFac)*AL439</f>
        <v>0</v>
      </c>
      <c r="AM302" s="150" t="n">
        <f aca="false">(1-ProdFac)*AM439</f>
        <v>0</v>
      </c>
      <c r="AN302" s="150" t="n">
        <f aca="false">(1-ProdFac)*AN439</f>
        <v>0</v>
      </c>
      <c r="AO302" s="150" t="n">
        <f aca="false">(1-ProdFac)*AO439</f>
        <v>0</v>
      </c>
      <c r="AP302" s="150" t="n">
        <f aca="false">(1-ProdFac)*AP439</f>
        <v>0</v>
      </c>
      <c r="AQ302" s="150" t="n">
        <f aca="false">(1-ProdFac)*AQ439</f>
        <v>0</v>
      </c>
      <c r="AR302" s="150" t="n">
        <f aca="false">(1-ProdFac)*AR439</f>
        <v>0</v>
      </c>
      <c r="AS302" s="150" t="n">
        <f aca="false">(1-ProdFac)*AS439</f>
        <v>0</v>
      </c>
      <c r="AT302" s="150" t="n">
        <f aca="false">(1-ProdFac)*AT439</f>
        <v>0</v>
      </c>
      <c r="AU302" s="150" t="n">
        <f aca="false">(1-ProdFac)*AU439</f>
        <v>0</v>
      </c>
      <c r="AV302" s="150" t="n">
        <f aca="false">(1-ProdFac)*AV439</f>
        <v>0</v>
      </c>
      <c r="AW302" s="150" t="n">
        <f aca="false">(1-ProdFac)*AW439</f>
        <v>0</v>
      </c>
      <c r="AX302" s="150" t="n">
        <f aca="false">(1-ProdFac)*AX439</f>
        <v>0</v>
      </c>
      <c r="AY302" s="150" t="n">
        <f aca="false">(1-ProdFac)*AY439</f>
        <v>0</v>
      </c>
      <c r="AZ302" s="150" t="n">
        <f aca="false">(1-ProdFac)*AZ439</f>
        <v>0</v>
      </c>
      <c r="BA302" s="150" t="n">
        <f aca="false">(1-ProdFac)*BA439</f>
        <v>0</v>
      </c>
      <c r="BB302" s="150" t="n">
        <f aca="false">(1-ProdFac)*BB439</f>
        <v>0</v>
      </c>
    </row>
    <row r="303" customFormat="false" ht="15" hidden="true" customHeight="false" outlineLevel="1" collapsed="false">
      <c r="B303" s="82" t="s">
        <v>212</v>
      </c>
      <c r="C303" s="128" t="s">
        <v>213</v>
      </c>
      <c r="D303" s="128" t="s">
        <v>59</v>
      </c>
      <c r="E303" s="128"/>
      <c r="F303" s="128" t="s">
        <v>59</v>
      </c>
      <c r="G303" s="75"/>
      <c r="H303" s="128"/>
      <c r="I303" s="128"/>
      <c r="J303" s="128"/>
      <c r="K303" s="128"/>
      <c r="L303" s="78" t="n">
        <f aca="false">SUM(S303:BB303)</f>
        <v>0</v>
      </c>
      <c r="M303" s="128"/>
      <c r="N303" s="130" t="str">
        <f aca="false">IF(ISERROR(VLOOKUP(P303,Member_Tab,2,FALSE())),"",VLOOKUP(P303,Member_Tab,2,FALSE()))</f>
        <v/>
      </c>
      <c r="O303" s="130" t="str">
        <f aca="false">IF(ISERROR(VLOOKUP(P303,Member_Tab,3,FALSE())),"",VLOOKUP(P303,Member_Tab,3,FALSE()))</f>
        <v/>
      </c>
      <c r="P303" s="148" t="n">
        <f aca="false">Site!I59</f>
        <v>0</v>
      </c>
      <c r="Q303" s="128"/>
      <c r="R303" s="131"/>
      <c r="S303" s="150" t="n">
        <f aca="false">(1-ProdFac)*S440</f>
        <v>0</v>
      </c>
      <c r="T303" s="150" t="n">
        <f aca="false">(1-ProdFac)*T440</f>
        <v>0</v>
      </c>
      <c r="U303" s="150" t="n">
        <f aca="false">(1-ProdFac)*U440</f>
        <v>0</v>
      </c>
      <c r="V303" s="150" t="n">
        <f aca="false">(1-ProdFac)*V440</f>
        <v>0</v>
      </c>
      <c r="W303" s="150" t="n">
        <f aca="false">(1-ProdFac)*W440</f>
        <v>0</v>
      </c>
      <c r="X303" s="150" t="n">
        <f aca="false">(1-ProdFac)*X440</f>
        <v>0</v>
      </c>
      <c r="Y303" s="150" t="n">
        <f aca="false">(1-ProdFac)*Y440</f>
        <v>0</v>
      </c>
      <c r="Z303" s="150" t="n">
        <f aca="false">(1-ProdFac)*Z440</f>
        <v>0</v>
      </c>
      <c r="AA303" s="150" t="n">
        <f aca="false">(1-ProdFac)*AA440</f>
        <v>0</v>
      </c>
      <c r="AB303" s="150" t="n">
        <f aca="false">(1-ProdFac)*AB440</f>
        <v>0</v>
      </c>
      <c r="AC303" s="150" t="n">
        <f aca="false">(1-ProdFac)*AC440</f>
        <v>0</v>
      </c>
      <c r="AD303" s="150" t="n">
        <f aca="false">(1-ProdFac)*AD440</f>
        <v>0</v>
      </c>
      <c r="AE303" s="150" t="n">
        <f aca="false">(1-ProdFac)*AE440</f>
        <v>0</v>
      </c>
      <c r="AF303" s="150" t="n">
        <f aca="false">(1-ProdFac)*AF440</f>
        <v>0</v>
      </c>
      <c r="AG303" s="150" t="n">
        <f aca="false">(1-ProdFac)*AG440</f>
        <v>0</v>
      </c>
      <c r="AH303" s="150" t="n">
        <f aca="false">(1-ProdFac)*AH440</f>
        <v>0</v>
      </c>
      <c r="AI303" s="150" t="n">
        <f aca="false">(1-ProdFac)*AI440</f>
        <v>0</v>
      </c>
      <c r="AJ303" s="150" t="n">
        <f aca="false">(1-ProdFac)*AJ440</f>
        <v>0</v>
      </c>
      <c r="AK303" s="150" t="n">
        <f aca="false">(1-ProdFac)*AK440</f>
        <v>0</v>
      </c>
      <c r="AL303" s="150" t="n">
        <f aca="false">(1-ProdFac)*AL440</f>
        <v>0</v>
      </c>
      <c r="AM303" s="150" t="n">
        <f aca="false">(1-ProdFac)*AM440</f>
        <v>0</v>
      </c>
      <c r="AN303" s="150" t="n">
        <f aca="false">(1-ProdFac)*AN440</f>
        <v>0</v>
      </c>
      <c r="AO303" s="150" t="n">
        <f aca="false">(1-ProdFac)*AO440</f>
        <v>0</v>
      </c>
      <c r="AP303" s="150" t="n">
        <f aca="false">(1-ProdFac)*AP440</f>
        <v>0</v>
      </c>
      <c r="AQ303" s="150" t="n">
        <f aca="false">(1-ProdFac)*AQ440</f>
        <v>0</v>
      </c>
      <c r="AR303" s="150" t="n">
        <f aca="false">(1-ProdFac)*AR440</f>
        <v>0</v>
      </c>
      <c r="AS303" s="150" t="n">
        <f aca="false">(1-ProdFac)*AS440</f>
        <v>0</v>
      </c>
      <c r="AT303" s="150" t="n">
        <f aca="false">(1-ProdFac)*AT440</f>
        <v>0</v>
      </c>
      <c r="AU303" s="150" t="n">
        <f aca="false">(1-ProdFac)*AU440</f>
        <v>0</v>
      </c>
      <c r="AV303" s="150" t="n">
        <f aca="false">(1-ProdFac)*AV440</f>
        <v>0</v>
      </c>
      <c r="AW303" s="150" t="n">
        <f aca="false">(1-ProdFac)*AW440</f>
        <v>0</v>
      </c>
      <c r="AX303" s="150" t="n">
        <f aca="false">(1-ProdFac)*AX440</f>
        <v>0</v>
      </c>
      <c r="AY303" s="150" t="n">
        <f aca="false">(1-ProdFac)*AY440</f>
        <v>0</v>
      </c>
      <c r="AZ303" s="150" t="n">
        <f aca="false">(1-ProdFac)*AZ440</f>
        <v>0</v>
      </c>
      <c r="BA303" s="150" t="n">
        <f aca="false">(1-ProdFac)*BA440</f>
        <v>0</v>
      </c>
      <c r="BB303" s="150" t="n">
        <f aca="false">(1-ProdFac)*BB440</f>
        <v>0</v>
      </c>
    </row>
    <row r="304" customFormat="false" ht="15" hidden="true" customHeight="false" outlineLevel="1" collapsed="false">
      <c r="B304" s="82" t="s">
        <v>212</v>
      </c>
      <c r="C304" s="128" t="s">
        <v>213</v>
      </c>
      <c r="D304" s="128" t="s">
        <v>59</v>
      </c>
      <c r="E304" s="128"/>
      <c r="F304" s="128" t="s">
        <v>59</v>
      </c>
      <c r="G304" s="75"/>
      <c r="H304" s="128"/>
      <c r="I304" s="128"/>
      <c r="J304" s="128"/>
      <c r="K304" s="128"/>
      <c r="L304" s="78" t="n">
        <f aca="false">SUM(S304:BB304)</f>
        <v>0</v>
      </c>
      <c r="M304" s="128"/>
      <c r="N304" s="130" t="str">
        <f aca="false">IF(ISERROR(VLOOKUP(P304,Member_Tab,2,FALSE())),"",VLOOKUP(P304,Member_Tab,2,FALSE()))</f>
        <v/>
      </c>
      <c r="O304" s="130" t="str">
        <f aca="false">IF(ISERROR(VLOOKUP(P304,Member_Tab,3,FALSE())),"",VLOOKUP(P304,Member_Tab,3,FALSE()))</f>
        <v/>
      </c>
      <c r="P304" s="148" t="n">
        <f aca="false">Site!I60</f>
        <v>0</v>
      </c>
      <c r="Q304" s="128"/>
      <c r="R304" s="131"/>
      <c r="S304" s="150" t="n">
        <f aca="false">(1-ProdFac)*S441</f>
        <v>0</v>
      </c>
      <c r="T304" s="150" t="n">
        <f aca="false">(1-ProdFac)*T441</f>
        <v>0</v>
      </c>
      <c r="U304" s="150" t="n">
        <f aca="false">(1-ProdFac)*U441</f>
        <v>0</v>
      </c>
      <c r="V304" s="150" t="n">
        <f aca="false">(1-ProdFac)*V441</f>
        <v>0</v>
      </c>
      <c r="W304" s="150" t="n">
        <f aca="false">(1-ProdFac)*W441</f>
        <v>0</v>
      </c>
      <c r="X304" s="150" t="n">
        <f aca="false">(1-ProdFac)*X441</f>
        <v>0</v>
      </c>
      <c r="Y304" s="150" t="n">
        <f aca="false">(1-ProdFac)*Y441</f>
        <v>0</v>
      </c>
      <c r="Z304" s="150" t="n">
        <f aca="false">(1-ProdFac)*Z441</f>
        <v>0</v>
      </c>
      <c r="AA304" s="150" t="n">
        <f aca="false">(1-ProdFac)*AA441</f>
        <v>0</v>
      </c>
      <c r="AB304" s="150" t="n">
        <f aca="false">(1-ProdFac)*AB441</f>
        <v>0</v>
      </c>
      <c r="AC304" s="150" t="n">
        <f aca="false">(1-ProdFac)*AC441</f>
        <v>0</v>
      </c>
      <c r="AD304" s="150" t="n">
        <f aca="false">(1-ProdFac)*AD441</f>
        <v>0</v>
      </c>
      <c r="AE304" s="150" t="n">
        <f aca="false">(1-ProdFac)*AE441</f>
        <v>0</v>
      </c>
      <c r="AF304" s="150" t="n">
        <f aca="false">(1-ProdFac)*AF441</f>
        <v>0</v>
      </c>
      <c r="AG304" s="150" t="n">
        <f aca="false">(1-ProdFac)*AG441</f>
        <v>0</v>
      </c>
      <c r="AH304" s="150" t="n">
        <f aca="false">(1-ProdFac)*AH441</f>
        <v>0</v>
      </c>
      <c r="AI304" s="150" t="n">
        <f aca="false">(1-ProdFac)*AI441</f>
        <v>0</v>
      </c>
      <c r="AJ304" s="150" t="n">
        <f aca="false">(1-ProdFac)*AJ441</f>
        <v>0</v>
      </c>
      <c r="AK304" s="150" t="n">
        <f aca="false">(1-ProdFac)*AK441</f>
        <v>0</v>
      </c>
      <c r="AL304" s="150" t="n">
        <f aca="false">(1-ProdFac)*AL441</f>
        <v>0</v>
      </c>
      <c r="AM304" s="150" t="n">
        <f aca="false">(1-ProdFac)*AM441</f>
        <v>0</v>
      </c>
      <c r="AN304" s="150" t="n">
        <f aca="false">(1-ProdFac)*AN441</f>
        <v>0</v>
      </c>
      <c r="AO304" s="150" t="n">
        <f aca="false">(1-ProdFac)*AO441</f>
        <v>0</v>
      </c>
      <c r="AP304" s="150" t="n">
        <f aca="false">(1-ProdFac)*AP441</f>
        <v>0</v>
      </c>
      <c r="AQ304" s="150" t="n">
        <f aca="false">(1-ProdFac)*AQ441</f>
        <v>0</v>
      </c>
      <c r="AR304" s="150" t="n">
        <f aca="false">(1-ProdFac)*AR441</f>
        <v>0</v>
      </c>
      <c r="AS304" s="150" t="n">
        <f aca="false">(1-ProdFac)*AS441</f>
        <v>0</v>
      </c>
      <c r="AT304" s="150" t="n">
        <f aca="false">(1-ProdFac)*AT441</f>
        <v>0</v>
      </c>
      <c r="AU304" s="150" t="n">
        <f aca="false">(1-ProdFac)*AU441</f>
        <v>0</v>
      </c>
      <c r="AV304" s="150" t="n">
        <f aca="false">(1-ProdFac)*AV441</f>
        <v>0</v>
      </c>
      <c r="AW304" s="150" t="n">
        <f aca="false">(1-ProdFac)*AW441</f>
        <v>0</v>
      </c>
      <c r="AX304" s="150" t="n">
        <f aca="false">(1-ProdFac)*AX441</f>
        <v>0</v>
      </c>
      <c r="AY304" s="150" t="n">
        <f aca="false">(1-ProdFac)*AY441</f>
        <v>0</v>
      </c>
      <c r="AZ304" s="150" t="n">
        <f aca="false">(1-ProdFac)*AZ441</f>
        <v>0</v>
      </c>
      <c r="BA304" s="150" t="n">
        <f aca="false">(1-ProdFac)*BA441</f>
        <v>0</v>
      </c>
      <c r="BB304" s="150" t="n">
        <f aca="false">(1-ProdFac)*BB441</f>
        <v>0</v>
      </c>
    </row>
    <row r="305" customFormat="false" ht="15" hidden="true" customHeight="false" outlineLevel="1" collapsed="false">
      <c r="B305" s="82" t="s">
        <v>212</v>
      </c>
      <c r="C305" s="128" t="s">
        <v>213</v>
      </c>
      <c r="D305" s="128" t="s">
        <v>59</v>
      </c>
      <c r="E305" s="128"/>
      <c r="F305" s="128" t="s">
        <v>59</v>
      </c>
      <c r="G305" s="75"/>
      <c r="H305" s="128"/>
      <c r="I305" s="128"/>
      <c r="J305" s="128"/>
      <c r="K305" s="128"/>
      <c r="L305" s="78" t="n">
        <f aca="false">SUM(S305:BB305)</f>
        <v>0</v>
      </c>
      <c r="M305" s="128"/>
      <c r="N305" s="130" t="str">
        <f aca="false">IF(ISERROR(VLOOKUP(P305,Member_Tab,2,FALSE())),"",VLOOKUP(P305,Member_Tab,2,FALSE()))</f>
        <v/>
      </c>
      <c r="O305" s="130" t="str">
        <f aca="false">IF(ISERROR(VLOOKUP(P305,Member_Tab,3,FALSE())),"",VLOOKUP(P305,Member_Tab,3,FALSE()))</f>
        <v/>
      </c>
      <c r="P305" s="148" t="n">
        <f aca="false">Site!I61</f>
        <v>0</v>
      </c>
      <c r="Q305" s="128"/>
      <c r="R305" s="131"/>
      <c r="S305" s="150" t="n">
        <f aca="false">(1-ProdFac)*S442</f>
        <v>0</v>
      </c>
      <c r="T305" s="150" t="n">
        <f aca="false">(1-ProdFac)*T442</f>
        <v>0</v>
      </c>
      <c r="U305" s="150" t="n">
        <f aca="false">(1-ProdFac)*U442</f>
        <v>0</v>
      </c>
      <c r="V305" s="150" t="n">
        <f aca="false">(1-ProdFac)*V442</f>
        <v>0</v>
      </c>
      <c r="W305" s="150" t="n">
        <f aca="false">(1-ProdFac)*W442</f>
        <v>0</v>
      </c>
      <c r="X305" s="150" t="n">
        <f aca="false">(1-ProdFac)*X442</f>
        <v>0</v>
      </c>
      <c r="Y305" s="150" t="n">
        <f aca="false">(1-ProdFac)*Y442</f>
        <v>0</v>
      </c>
      <c r="Z305" s="150" t="n">
        <f aca="false">(1-ProdFac)*Z442</f>
        <v>0</v>
      </c>
      <c r="AA305" s="150" t="n">
        <f aca="false">(1-ProdFac)*AA442</f>
        <v>0</v>
      </c>
      <c r="AB305" s="150" t="n">
        <f aca="false">(1-ProdFac)*AB442</f>
        <v>0</v>
      </c>
      <c r="AC305" s="150" t="n">
        <f aca="false">(1-ProdFac)*AC442</f>
        <v>0</v>
      </c>
      <c r="AD305" s="150" t="n">
        <f aca="false">(1-ProdFac)*AD442</f>
        <v>0</v>
      </c>
      <c r="AE305" s="150" t="n">
        <f aca="false">(1-ProdFac)*AE442</f>
        <v>0</v>
      </c>
      <c r="AF305" s="150" t="n">
        <f aca="false">(1-ProdFac)*AF442</f>
        <v>0</v>
      </c>
      <c r="AG305" s="150" t="n">
        <f aca="false">(1-ProdFac)*AG442</f>
        <v>0</v>
      </c>
      <c r="AH305" s="150" t="n">
        <f aca="false">(1-ProdFac)*AH442</f>
        <v>0</v>
      </c>
      <c r="AI305" s="150" t="n">
        <f aca="false">(1-ProdFac)*AI442</f>
        <v>0</v>
      </c>
      <c r="AJ305" s="150" t="n">
        <f aca="false">(1-ProdFac)*AJ442</f>
        <v>0</v>
      </c>
      <c r="AK305" s="150" t="n">
        <f aca="false">(1-ProdFac)*AK442</f>
        <v>0</v>
      </c>
      <c r="AL305" s="150" t="n">
        <f aca="false">(1-ProdFac)*AL442</f>
        <v>0</v>
      </c>
      <c r="AM305" s="150" t="n">
        <f aca="false">(1-ProdFac)*AM442</f>
        <v>0</v>
      </c>
      <c r="AN305" s="150" t="n">
        <f aca="false">(1-ProdFac)*AN442</f>
        <v>0</v>
      </c>
      <c r="AO305" s="150" t="n">
        <f aca="false">(1-ProdFac)*AO442</f>
        <v>0</v>
      </c>
      <c r="AP305" s="150" t="n">
        <f aca="false">(1-ProdFac)*AP442</f>
        <v>0</v>
      </c>
      <c r="AQ305" s="150" t="n">
        <f aca="false">(1-ProdFac)*AQ442</f>
        <v>0</v>
      </c>
      <c r="AR305" s="150" t="n">
        <f aca="false">(1-ProdFac)*AR442</f>
        <v>0</v>
      </c>
      <c r="AS305" s="150" t="n">
        <f aca="false">(1-ProdFac)*AS442</f>
        <v>0</v>
      </c>
      <c r="AT305" s="150" t="n">
        <f aca="false">(1-ProdFac)*AT442</f>
        <v>0</v>
      </c>
      <c r="AU305" s="150" t="n">
        <f aca="false">(1-ProdFac)*AU442</f>
        <v>0</v>
      </c>
      <c r="AV305" s="150" t="n">
        <f aca="false">(1-ProdFac)*AV442</f>
        <v>0</v>
      </c>
      <c r="AW305" s="150" t="n">
        <f aca="false">(1-ProdFac)*AW442</f>
        <v>0</v>
      </c>
      <c r="AX305" s="150" t="n">
        <f aca="false">(1-ProdFac)*AX442</f>
        <v>0</v>
      </c>
      <c r="AY305" s="150" t="n">
        <f aca="false">(1-ProdFac)*AY442</f>
        <v>0</v>
      </c>
      <c r="AZ305" s="150" t="n">
        <f aca="false">(1-ProdFac)*AZ442</f>
        <v>0</v>
      </c>
      <c r="BA305" s="150" t="n">
        <f aca="false">(1-ProdFac)*BA442</f>
        <v>0</v>
      </c>
      <c r="BB305" s="150" t="n">
        <f aca="false">(1-ProdFac)*BB442</f>
        <v>0</v>
      </c>
    </row>
    <row r="306" customFormat="false" ht="15" hidden="true" customHeight="false" outlineLevel="1" collapsed="false">
      <c r="B306" s="82" t="s">
        <v>212</v>
      </c>
      <c r="C306" s="128" t="s">
        <v>213</v>
      </c>
      <c r="D306" s="128" t="s">
        <v>59</v>
      </c>
      <c r="E306" s="128"/>
      <c r="F306" s="128" t="s">
        <v>59</v>
      </c>
      <c r="G306" s="75"/>
      <c r="H306" s="128"/>
      <c r="I306" s="128"/>
      <c r="J306" s="128"/>
      <c r="K306" s="128"/>
      <c r="L306" s="78" t="n">
        <f aca="false">SUM(S306:BB306)</f>
        <v>0</v>
      </c>
      <c r="M306" s="128"/>
      <c r="N306" s="130" t="str">
        <f aca="false">IF(ISERROR(VLOOKUP(P306,Member_Tab,2,FALSE())),"",VLOOKUP(P306,Member_Tab,2,FALSE()))</f>
        <v/>
      </c>
      <c r="O306" s="130" t="str">
        <f aca="false">IF(ISERROR(VLOOKUP(P306,Member_Tab,3,FALSE())),"",VLOOKUP(P306,Member_Tab,3,FALSE()))</f>
        <v/>
      </c>
      <c r="P306" s="148" t="n">
        <f aca="false">Site!I62</f>
        <v>0</v>
      </c>
      <c r="Q306" s="128"/>
      <c r="R306" s="131"/>
      <c r="S306" s="150" t="n">
        <f aca="false">(1-ProdFac)*S443</f>
        <v>0</v>
      </c>
      <c r="T306" s="150" t="n">
        <f aca="false">(1-ProdFac)*T443</f>
        <v>0</v>
      </c>
      <c r="U306" s="150" t="n">
        <f aca="false">(1-ProdFac)*U443</f>
        <v>0</v>
      </c>
      <c r="V306" s="150" t="n">
        <f aca="false">(1-ProdFac)*V443</f>
        <v>0</v>
      </c>
      <c r="W306" s="150" t="n">
        <f aca="false">(1-ProdFac)*W443</f>
        <v>0</v>
      </c>
      <c r="X306" s="150" t="n">
        <f aca="false">(1-ProdFac)*X443</f>
        <v>0</v>
      </c>
      <c r="Y306" s="150" t="n">
        <f aca="false">(1-ProdFac)*Y443</f>
        <v>0</v>
      </c>
      <c r="Z306" s="150" t="n">
        <f aca="false">(1-ProdFac)*Z443</f>
        <v>0</v>
      </c>
      <c r="AA306" s="150" t="n">
        <f aca="false">(1-ProdFac)*AA443</f>
        <v>0</v>
      </c>
      <c r="AB306" s="150" t="n">
        <f aca="false">(1-ProdFac)*AB443</f>
        <v>0</v>
      </c>
      <c r="AC306" s="150" t="n">
        <f aca="false">(1-ProdFac)*AC443</f>
        <v>0</v>
      </c>
      <c r="AD306" s="150" t="n">
        <f aca="false">(1-ProdFac)*AD443</f>
        <v>0</v>
      </c>
      <c r="AE306" s="150" t="n">
        <f aca="false">(1-ProdFac)*AE443</f>
        <v>0</v>
      </c>
      <c r="AF306" s="150" t="n">
        <f aca="false">(1-ProdFac)*AF443</f>
        <v>0</v>
      </c>
      <c r="AG306" s="150" t="n">
        <f aca="false">(1-ProdFac)*AG443</f>
        <v>0</v>
      </c>
      <c r="AH306" s="150" t="n">
        <f aca="false">(1-ProdFac)*AH443</f>
        <v>0</v>
      </c>
      <c r="AI306" s="150" t="n">
        <f aca="false">(1-ProdFac)*AI443</f>
        <v>0</v>
      </c>
      <c r="AJ306" s="150" t="n">
        <f aca="false">(1-ProdFac)*AJ443</f>
        <v>0</v>
      </c>
      <c r="AK306" s="150" t="n">
        <f aca="false">(1-ProdFac)*AK443</f>
        <v>0</v>
      </c>
      <c r="AL306" s="150" t="n">
        <f aca="false">(1-ProdFac)*AL443</f>
        <v>0</v>
      </c>
      <c r="AM306" s="150" t="n">
        <f aca="false">(1-ProdFac)*AM443</f>
        <v>0</v>
      </c>
      <c r="AN306" s="150" t="n">
        <f aca="false">(1-ProdFac)*AN443</f>
        <v>0</v>
      </c>
      <c r="AO306" s="150" t="n">
        <f aca="false">(1-ProdFac)*AO443</f>
        <v>0</v>
      </c>
      <c r="AP306" s="150" t="n">
        <f aca="false">(1-ProdFac)*AP443</f>
        <v>0</v>
      </c>
      <c r="AQ306" s="150" t="n">
        <f aca="false">(1-ProdFac)*AQ443</f>
        <v>0</v>
      </c>
      <c r="AR306" s="150" t="n">
        <f aca="false">(1-ProdFac)*AR443</f>
        <v>0</v>
      </c>
      <c r="AS306" s="150" t="n">
        <f aca="false">(1-ProdFac)*AS443</f>
        <v>0</v>
      </c>
      <c r="AT306" s="150" t="n">
        <f aca="false">(1-ProdFac)*AT443</f>
        <v>0</v>
      </c>
      <c r="AU306" s="150" t="n">
        <f aca="false">(1-ProdFac)*AU443</f>
        <v>0</v>
      </c>
      <c r="AV306" s="150" t="n">
        <f aca="false">(1-ProdFac)*AV443</f>
        <v>0</v>
      </c>
      <c r="AW306" s="150" t="n">
        <f aca="false">(1-ProdFac)*AW443</f>
        <v>0</v>
      </c>
      <c r="AX306" s="150" t="n">
        <f aca="false">(1-ProdFac)*AX443</f>
        <v>0</v>
      </c>
      <c r="AY306" s="150" t="n">
        <f aca="false">(1-ProdFac)*AY443</f>
        <v>0</v>
      </c>
      <c r="AZ306" s="150" t="n">
        <f aca="false">(1-ProdFac)*AZ443</f>
        <v>0</v>
      </c>
      <c r="BA306" s="150" t="n">
        <f aca="false">(1-ProdFac)*BA443</f>
        <v>0</v>
      </c>
      <c r="BB306" s="150" t="n">
        <f aca="false">(1-ProdFac)*BB443</f>
        <v>0</v>
      </c>
    </row>
    <row r="307" customFormat="false" ht="15" hidden="true" customHeight="false" outlineLevel="1" collapsed="false">
      <c r="B307" s="82" t="s">
        <v>212</v>
      </c>
      <c r="C307" s="128" t="s">
        <v>213</v>
      </c>
      <c r="D307" s="128" t="s">
        <v>59</v>
      </c>
      <c r="E307" s="128"/>
      <c r="F307" s="128" t="s">
        <v>59</v>
      </c>
      <c r="G307" s="75"/>
      <c r="H307" s="128"/>
      <c r="I307" s="128"/>
      <c r="J307" s="128"/>
      <c r="K307" s="128"/>
      <c r="L307" s="78" t="n">
        <f aca="false">SUM(S307:BB307)</f>
        <v>0</v>
      </c>
      <c r="M307" s="128"/>
      <c r="N307" s="130" t="str">
        <f aca="false">IF(ISERROR(VLOOKUP(P307,Member_Tab,2,FALSE())),"",VLOOKUP(P307,Member_Tab,2,FALSE()))</f>
        <v/>
      </c>
      <c r="O307" s="130" t="str">
        <f aca="false">IF(ISERROR(VLOOKUP(P307,Member_Tab,3,FALSE())),"",VLOOKUP(P307,Member_Tab,3,FALSE()))</f>
        <v/>
      </c>
      <c r="P307" s="148" t="n">
        <f aca="false">Site!I63</f>
        <v>0</v>
      </c>
      <c r="Q307" s="128"/>
      <c r="R307" s="131"/>
      <c r="S307" s="150" t="n">
        <f aca="false">(1-ProdFac)*S444</f>
        <v>0</v>
      </c>
      <c r="T307" s="150" t="n">
        <f aca="false">(1-ProdFac)*T444</f>
        <v>0</v>
      </c>
      <c r="U307" s="150" t="n">
        <f aca="false">(1-ProdFac)*U444</f>
        <v>0</v>
      </c>
      <c r="V307" s="150" t="n">
        <f aca="false">(1-ProdFac)*V444</f>
        <v>0</v>
      </c>
      <c r="W307" s="150" t="n">
        <f aca="false">(1-ProdFac)*W444</f>
        <v>0</v>
      </c>
      <c r="X307" s="150" t="n">
        <f aca="false">(1-ProdFac)*X444</f>
        <v>0</v>
      </c>
      <c r="Y307" s="150" t="n">
        <f aca="false">(1-ProdFac)*Y444</f>
        <v>0</v>
      </c>
      <c r="Z307" s="150" t="n">
        <f aca="false">(1-ProdFac)*Z444</f>
        <v>0</v>
      </c>
      <c r="AA307" s="150" t="n">
        <f aca="false">(1-ProdFac)*AA444</f>
        <v>0</v>
      </c>
      <c r="AB307" s="150" t="n">
        <f aca="false">(1-ProdFac)*AB444</f>
        <v>0</v>
      </c>
      <c r="AC307" s="150" t="n">
        <f aca="false">(1-ProdFac)*AC444</f>
        <v>0</v>
      </c>
      <c r="AD307" s="150" t="n">
        <f aca="false">(1-ProdFac)*AD444</f>
        <v>0</v>
      </c>
      <c r="AE307" s="150" t="n">
        <f aca="false">(1-ProdFac)*AE444</f>
        <v>0</v>
      </c>
      <c r="AF307" s="150" t="n">
        <f aca="false">(1-ProdFac)*AF444</f>
        <v>0</v>
      </c>
      <c r="AG307" s="150" t="n">
        <f aca="false">(1-ProdFac)*AG444</f>
        <v>0</v>
      </c>
      <c r="AH307" s="150" t="n">
        <f aca="false">(1-ProdFac)*AH444</f>
        <v>0</v>
      </c>
      <c r="AI307" s="150" t="n">
        <f aca="false">(1-ProdFac)*AI444</f>
        <v>0</v>
      </c>
      <c r="AJ307" s="150" t="n">
        <f aca="false">(1-ProdFac)*AJ444</f>
        <v>0</v>
      </c>
      <c r="AK307" s="150" t="n">
        <f aca="false">(1-ProdFac)*AK444</f>
        <v>0</v>
      </c>
      <c r="AL307" s="150" t="n">
        <f aca="false">(1-ProdFac)*AL444</f>
        <v>0</v>
      </c>
      <c r="AM307" s="150" t="n">
        <f aca="false">(1-ProdFac)*AM444</f>
        <v>0</v>
      </c>
      <c r="AN307" s="150" t="n">
        <f aca="false">(1-ProdFac)*AN444</f>
        <v>0</v>
      </c>
      <c r="AO307" s="150" t="n">
        <f aca="false">(1-ProdFac)*AO444</f>
        <v>0</v>
      </c>
      <c r="AP307" s="150" t="n">
        <f aca="false">(1-ProdFac)*AP444</f>
        <v>0</v>
      </c>
      <c r="AQ307" s="150" t="n">
        <f aca="false">(1-ProdFac)*AQ444</f>
        <v>0</v>
      </c>
      <c r="AR307" s="150" t="n">
        <f aca="false">(1-ProdFac)*AR444</f>
        <v>0</v>
      </c>
      <c r="AS307" s="150" t="n">
        <f aca="false">(1-ProdFac)*AS444</f>
        <v>0</v>
      </c>
      <c r="AT307" s="150" t="n">
        <f aca="false">(1-ProdFac)*AT444</f>
        <v>0</v>
      </c>
      <c r="AU307" s="150" t="n">
        <f aca="false">(1-ProdFac)*AU444</f>
        <v>0</v>
      </c>
      <c r="AV307" s="150" t="n">
        <f aca="false">(1-ProdFac)*AV444</f>
        <v>0</v>
      </c>
      <c r="AW307" s="150" t="n">
        <f aca="false">(1-ProdFac)*AW444</f>
        <v>0</v>
      </c>
      <c r="AX307" s="150" t="n">
        <f aca="false">(1-ProdFac)*AX444</f>
        <v>0</v>
      </c>
      <c r="AY307" s="150" t="n">
        <f aca="false">(1-ProdFac)*AY444</f>
        <v>0</v>
      </c>
      <c r="AZ307" s="150" t="n">
        <f aca="false">(1-ProdFac)*AZ444</f>
        <v>0</v>
      </c>
      <c r="BA307" s="150" t="n">
        <f aca="false">(1-ProdFac)*BA444</f>
        <v>0</v>
      </c>
      <c r="BB307" s="150" t="n">
        <f aca="false">(1-ProdFac)*BB444</f>
        <v>0</v>
      </c>
    </row>
    <row r="308" customFormat="false" ht="15" hidden="true" customHeight="false" outlineLevel="1" collapsed="false">
      <c r="B308" s="82" t="s">
        <v>212</v>
      </c>
      <c r="C308" s="128" t="s">
        <v>213</v>
      </c>
      <c r="D308" s="128" t="s">
        <v>59</v>
      </c>
      <c r="E308" s="128"/>
      <c r="F308" s="128" t="s">
        <v>59</v>
      </c>
      <c r="G308" s="75"/>
      <c r="H308" s="128"/>
      <c r="I308" s="128"/>
      <c r="J308" s="128"/>
      <c r="K308" s="128"/>
      <c r="L308" s="78" t="n">
        <f aca="false">SUM(S308:BB308)</f>
        <v>0</v>
      </c>
      <c r="M308" s="128"/>
      <c r="N308" s="130" t="str">
        <f aca="false">IF(ISERROR(VLOOKUP(P308,Member_Tab,2,FALSE())),"",VLOOKUP(P308,Member_Tab,2,FALSE()))</f>
        <v/>
      </c>
      <c r="O308" s="130" t="str">
        <f aca="false">IF(ISERROR(VLOOKUP(P308,Member_Tab,3,FALSE())),"",VLOOKUP(P308,Member_Tab,3,FALSE()))</f>
        <v/>
      </c>
      <c r="P308" s="148" t="n">
        <f aca="false">Site!I64</f>
        <v>0</v>
      </c>
      <c r="Q308" s="128"/>
      <c r="R308" s="131"/>
      <c r="S308" s="150" t="n">
        <f aca="false">(1-ProdFac)*S445</f>
        <v>0</v>
      </c>
      <c r="T308" s="150" t="n">
        <f aca="false">(1-ProdFac)*T445</f>
        <v>0</v>
      </c>
      <c r="U308" s="150" t="n">
        <f aca="false">(1-ProdFac)*U445</f>
        <v>0</v>
      </c>
      <c r="V308" s="150" t="n">
        <f aca="false">(1-ProdFac)*V445</f>
        <v>0</v>
      </c>
      <c r="W308" s="150" t="n">
        <f aca="false">(1-ProdFac)*W445</f>
        <v>0</v>
      </c>
      <c r="X308" s="150" t="n">
        <f aca="false">(1-ProdFac)*X445</f>
        <v>0</v>
      </c>
      <c r="Y308" s="150" t="n">
        <f aca="false">(1-ProdFac)*Y445</f>
        <v>0</v>
      </c>
      <c r="Z308" s="150" t="n">
        <f aca="false">(1-ProdFac)*Z445</f>
        <v>0</v>
      </c>
      <c r="AA308" s="150" t="n">
        <f aca="false">(1-ProdFac)*AA445</f>
        <v>0</v>
      </c>
      <c r="AB308" s="150" t="n">
        <f aca="false">(1-ProdFac)*AB445</f>
        <v>0</v>
      </c>
      <c r="AC308" s="150" t="n">
        <f aca="false">(1-ProdFac)*AC445</f>
        <v>0</v>
      </c>
      <c r="AD308" s="150" t="n">
        <f aca="false">(1-ProdFac)*AD445</f>
        <v>0</v>
      </c>
      <c r="AE308" s="150" t="n">
        <f aca="false">(1-ProdFac)*AE445</f>
        <v>0</v>
      </c>
      <c r="AF308" s="150" t="n">
        <f aca="false">(1-ProdFac)*AF445</f>
        <v>0</v>
      </c>
      <c r="AG308" s="150" t="n">
        <f aca="false">(1-ProdFac)*AG445</f>
        <v>0</v>
      </c>
      <c r="AH308" s="150" t="n">
        <f aca="false">(1-ProdFac)*AH445</f>
        <v>0</v>
      </c>
      <c r="AI308" s="150" t="n">
        <f aca="false">(1-ProdFac)*AI445</f>
        <v>0</v>
      </c>
      <c r="AJ308" s="150" t="n">
        <f aca="false">(1-ProdFac)*AJ445</f>
        <v>0</v>
      </c>
      <c r="AK308" s="150" t="n">
        <f aca="false">(1-ProdFac)*AK445</f>
        <v>0</v>
      </c>
      <c r="AL308" s="150" t="n">
        <f aca="false">(1-ProdFac)*AL445</f>
        <v>0</v>
      </c>
      <c r="AM308" s="150" t="n">
        <f aca="false">(1-ProdFac)*AM445</f>
        <v>0</v>
      </c>
      <c r="AN308" s="150" t="n">
        <f aca="false">(1-ProdFac)*AN445</f>
        <v>0</v>
      </c>
      <c r="AO308" s="150" t="n">
        <f aca="false">(1-ProdFac)*AO445</f>
        <v>0</v>
      </c>
      <c r="AP308" s="150" t="n">
        <f aca="false">(1-ProdFac)*AP445</f>
        <v>0</v>
      </c>
      <c r="AQ308" s="150" t="n">
        <f aca="false">(1-ProdFac)*AQ445</f>
        <v>0</v>
      </c>
      <c r="AR308" s="150" t="n">
        <f aca="false">(1-ProdFac)*AR445</f>
        <v>0</v>
      </c>
      <c r="AS308" s="150" t="n">
        <f aca="false">(1-ProdFac)*AS445</f>
        <v>0</v>
      </c>
      <c r="AT308" s="150" t="n">
        <f aca="false">(1-ProdFac)*AT445</f>
        <v>0</v>
      </c>
      <c r="AU308" s="150" t="n">
        <f aca="false">(1-ProdFac)*AU445</f>
        <v>0</v>
      </c>
      <c r="AV308" s="150" t="n">
        <f aca="false">(1-ProdFac)*AV445</f>
        <v>0</v>
      </c>
      <c r="AW308" s="150" t="n">
        <f aca="false">(1-ProdFac)*AW445</f>
        <v>0</v>
      </c>
      <c r="AX308" s="150" t="n">
        <f aca="false">(1-ProdFac)*AX445</f>
        <v>0</v>
      </c>
      <c r="AY308" s="150" t="n">
        <f aca="false">(1-ProdFac)*AY445</f>
        <v>0</v>
      </c>
      <c r="AZ308" s="150" t="n">
        <f aca="false">(1-ProdFac)*AZ445</f>
        <v>0</v>
      </c>
      <c r="BA308" s="150" t="n">
        <f aca="false">(1-ProdFac)*BA445</f>
        <v>0</v>
      </c>
      <c r="BB308" s="150" t="n">
        <f aca="false">(1-ProdFac)*BB445</f>
        <v>0</v>
      </c>
    </row>
    <row r="309" customFormat="false" ht="15" hidden="true" customHeight="false" outlineLevel="1" collapsed="false">
      <c r="B309" s="82" t="s">
        <v>212</v>
      </c>
      <c r="C309" s="128" t="s">
        <v>213</v>
      </c>
      <c r="D309" s="128" t="s">
        <v>59</v>
      </c>
      <c r="E309" s="128"/>
      <c r="F309" s="128" t="s">
        <v>59</v>
      </c>
      <c r="G309" s="75"/>
      <c r="H309" s="128"/>
      <c r="I309" s="128"/>
      <c r="J309" s="128"/>
      <c r="K309" s="128"/>
      <c r="L309" s="78" t="n">
        <f aca="false">SUM(S309:BB309)</f>
        <v>0</v>
      </c>
      <c r="M309" s="128"/>
      <c r="N309" s="130" t="str">
        <f aca="false">IF(ISERROR(VLOOKUP(P309,Member_Tab,2,FALSE())),"",VLOOKUP(P309,Member_Tab,2,FALSE()))</f>
        <v/>
      </c>
      <c r="O309" s="130" t="str">
        <f aca="false">IF(ISERROR(VLOOKUP(P309,Member_Tab,3,FALSE())),"",VLOOKUP(P309,Member_Tab,3,FALSE()))</f>
        <v/>
      </c>
      <c r="P309" s="148" t="n">
        <f aca="false">Site!I65</f>
        <v>0</v>
      </c>
      <c r="Q309" s="128"/>
      <c r="R309" s="131"/>
      <c r="S309" s="150" t="n">
        <f aca="false">(1-ProdFac)*S446</f>
        <v>0</v>
      </c>
      <c r="T309" s="150" t="n">
        <f aca="false">(1-ProdFac)*T446</f>
        <v>0</v>
      </c>
      <c r="U309" s="150" t="n">
        <f aca="false">(1-ProdFac)*U446</f>
        <v>0</v>
      </c>
      <c r="V309" s="150" t="n">
        <f aca="false">(1-ProdFac)*V446</f>
        <v>0</v>
      </c>
      <c r="W309" s="150" t="n">
        <f aca="false">(1-ProdFac)*W446</f>
        <v>0</v>
      </c>
      <c r="X309" s="150" t="n">
        <f aca="false">(1-ProdFac)*X446</f>
        <v>0</v>
      </c>
      <c r="Y309" s="150" t="n">
        <f aca="false">(1-ProdFac)*Y446</f>
        <v>0</v>
      </c>
      <c r="Z309" s="150" t="n">
        <f aca="false">(1-ProdFac)*Z446</f>
        <v>0</v>
      </c>
      <c r="AA309" s="150" t="n">
        <f aca="false">(1-ProdFac)*AA446</f>
        <v>0</v>
      </c>
      <c r="AB309" s="150" t="n">
        <f aca="false">(1-ProdFac)*AB446</f>
        <v>0</v>
      </c>
      <c r="AC309" s="150" t="n">
        <f aca="false">(1-ProdFac)*AC446</f>
        <v>0</v>
      </c>
      <c r="AD309" s="150" t="n">
        <f aca="false">(1-ProdFac)*AD446</f>
        <v>0</v>
      </c>
      <c r="AE309" s="150" t="n">
        <f aca="false">(1-ProdFac)*AE446</f>
        <v>0</v>
      </c>
      <c r="AF309" s="150" t="n">
        <f aca="false">(1-ProdFac)*AF446</f>
        <v>0</v>
      </c>
      <c r="AG309" s="150" t="n">
        <f aca="false">(1-ProdFac)*AG446</f>
        <v>0</v>
      </c>
      <c r="AH309" s="150" t="n">
        <f aca="false">(1-ProdFac)*AH446</f>
        <v>0</v>
      </c>
      <c r="AI309" s="150" t="n">
        <f aca="false">(1-ProdFac)*AI446</f>
        <v>0</v>
      </c>
      <c r="AJ309" s="150" t="n">
        <f aca="false">(1-ProdFac)*AJ446</f>
        <v>0</v>
      </c>
      <c r="AK309" s="150" t="n">
        <f aca="false">(1-ProdFac)*AK446</f>
        <v>0</v>
      </c>
      <c r="AL309" s="150" t="n">
        <f aca="false">(1-ProdFac)*AL446</f>
        <v>0</v>
      </c>
      <c r="AM309" s="150" t="n">
        <f aca="false">(1-ProdFac)*AM446</f>
        <v>0</v>
      </c>
      <c r="AN309" s="150" t="n">
        <f aca="false">(1-ProdFac)*AN446</f>
        <v>0</v>
      </c>
      <c r="AO309" s="150" t="n">
        <f aca="false">(1-ProdFac)*AO446</f>
        <v>0</v>
      </c>
      <c r="AP309" s="150" t="n">
        <f aca="false">(1-ProdFac)*AP446</f>
        <v>0</v>
      </c>
      <c r="AQ309" s="150" t="n">
        <f aca="false">(1-ProdFac)*AQ446</f>
        <v>0</v>
      </c>
      <c r="AR309" s="150" t="n">
        <f aca="false">(1-ProdFac)*AR446</f>
        <v>0</v>
      </c>
      <c r="AS309" s="150" t="n">
        <f aca="false">(1-ProdFac)*AS446</f>
        <v>0</v>
      </c>
      <c r="AT309" s="150" t="n">
        <f aca="false">(1-ProdFac)*AT446</f>
        <v>0</v>
      </c>
      <c r="AU309" s="150" t="n">
        <f aca="false">(1-ProdFac)*AU446</f>
        <v>0</v>
      </c>
      <c r="AV309" s="150" t="n">
        <f aca="false">(1-ProdFac)*AV446</f>
        <v>0</v>
      </c>
      <c r="AW309" s="150" t="n">
        <f aca="false">(1-ProdFac)*AW446</f>
        <v>0</v>
      </c>
      <c r="AX309" s="150" t="n">
        <f aca="false">(1-ProdFac)*AX446</f>
        <v>0</v>
      </c>
      <c r="AY309" s="150" t="n">
        <f aca="false">(1-ProdFac)*AY446</f>
        <v>0</v>
      </c>
      <c r="AZ309" s="150" t="n">
        <f aca="false">(1-ProdFac)*AZ446</f>
        <v>0</v>
      </c>
      <c r="BA309" s="150" t="n">
        <f aca="false">(1-ProdFac)*BA446</f>
        <v>0</v>
      </c>
      <c r="BB309" s="150" t="n">
        <f aca="false">(1-ProdFac)*BB446</f>
        <v>0</v>
      </c>
    </row>
    <row r="310" customFormat="false" ht="15" hidden="true" customHeight="false" outlineLevel="1" collapsed="false">
      <c r="B310" s="82" t="s">
        <v>212</v>
      </c>
      <c r="C310" s="128" t="s">
        <v>213</v>
      </c>
      <c r="D310" s="128" t="s">
        <v>59</v>
      </c>
      <c r="E310" s="128"/>
      <c r="F310" s="128" t="s">
        <v>59</v>
      </c>
      <c r="G310" s="75"/>
      <c r="H310" s="128"/>
      <c r="I310" s="128"/>
      <c r="J310" s="128"/>
      <c r="K310" s="128"/>
      <c r="L310" s="78" t="n">
        <f aca="false">SUM(S310:BB310)</f>
        <v>0</v>
      </c>
      <c r="M310" s="128"/>
      <c r="N310" s="130" t="str">
        <f aca="false">IF(ISERROR(VLOOKUP(P310,Member_Tab,2,FALSE())),"",VLOOKUP(P310,Member_Tab,2,FALSE()))</f>
        <v/>
      </c>
      <c r="O310" s="130" t="str">
        <f aca="false">IF(ISERROR(VLOOKUP(P310,Member_Tab,3,FALSE())),"",VLOOKUP(P310,Member_Tab,3,FALSE()))</f>
        <v/>
      </c>
      <c r="P310" s="148" t="n">
        <f aca="false">Site!I66</f>
        <v>0</v>
      </c>
      <c r="Q310" s="128"/>
      <c r="R310" s="131"/>
      <c r="S310" s="150" t="n">
        <f aca="false">(1-ProdFac)*S447</f>
        <v>0</v>
      </c>
      <c r="T310" s="150" t="n">
        <f aca="false">(1-ProdFac)*T447</f>
        <v>0</v>
      </c>
      <c r="U310" s="150" t="n">
        <f aca="false">(1-ProdFac)*U447</f>
        <v>0</v>
      </c>
      <c r="V310" s="150" t="n">
        <f aca="false">(1-ProdFac)*V447</f>
        <v>0</v>
      </c>
      <c r="W310" s="150" t="n">
        <f aca="false">(1-ProdFac)*W447</f>
        <v>0</v>
      </c>
      <c r="X310" s="150" t="n">
        <f aca="false">(1-ProdFac)*X447</f>
        <v>0</v>
      </c>
      <c r="Y310" s="150" t="n">
        <f aca="false">(1-ProdFac)*Y447</f>
        <v>0</v>
      </c>
      <c r="Z310" s="150" t="n">
        <f aca="false">(1-ProdFac)*Z447</f>
        <v>0</v>
      </c>
      <c r="AA310" s="150" t="n">
        <f aca="false">(1-ProdFac)*AA447</f>
        <v>0</v>
      </c>
      <c r="AB310" s="150" t="n">
        <f aca="false">(1-ProdFac)*AB447</f>
        <v>0</v>
      </c>
      <c r="AC310" s="150" t="n">
        <f aca="false">(1-ProdFac)*AC447</f>
        <v>0</v>
      </c>
      <c r="AD310" s="150" t="n">
        <f aca="false">(1-ProdFac)*AD447</f>
        <v>0</v>
      </c>
      <c r="AE310" s="150" t="n">
        <f aca="false">(1-ProdFac)*AE447</f>
        <v>0</v>
      </c>
      <c r="AF310" s="150" t="n">
        <f aca="false">(1-ProdFac)*AF447</f>
        <v>0</v>
      </c>
      <c r="AG310" s="150" t="n">
        <f aca="false">(1-ProdFac)*AG447</f>
        <v>0</v>
      </c>
      <c r="AH310" s="150" t="n">
        <f aca="false">(1-ProdFac)*AH447</f>
        <v>0</v>
      </c>
      <c r="AI310" s="150" t="n">
        <f aca="false">(1-ProdFac)*AI447</f>
        <v>0</v>
      </c>
      <c r="AJ310" s="150" t="n">
        <f aca="false">(1-ProdFac)*AJ447</f>
        <v>0</v>
      </c>
      <c r="AK310" s="150" t="n">
        <f aca="false">(1-ProdFac)*AK447</f>
        <v>0</v>
      </c>
      <c r="AL310" s="150" t="n">
        <f aca="false">(1-ProdFac)*AL447</f>
        <v>0</v>
      </c>
      <c r="AM310" s="150" t="n">
        <f aca="false">(1-ProdFac)*AM447</f>
        <v>0</v>
      </c>
      <c r="AN310" s="150" t="n">
        <f aca="false">(1-ProdFac)*AN447</f>
        <v>0</v>
      </c>
      <c r="AO310" s="150" t="n">
        <f aca="false">(1-ProdFac)*AO447</f>
        <v>0</v>
      </c>
      <c r="AP310" s="150" t="n">
        <f aca="false">(1-ProdFac)*AP447</f>
        <v>0</v>
      </c>
      <c r="AQ310" s="150" t="n">
        <f aca="false">(1-ProdFac)*AQ447</f>
        <v>0</v>
      </c>
      <c r="AR310" s="150" t="n">
        <f aca="false">(1-ProdFac)*AR447</f>
        <v>0</v>
      </c>
      <c r="AS310" s="150" t="n">
        <f aca="false">(1-ProdFac)*AS447</f>
        <v>0</v>
      </c>
      <c r="AT310" s="150" t="n">
        <f aca="false">(1-ProdFac)*AT447</f>
        <v>0</v>
      </c>
      <c r="AU310" s="150" t="n">
        <f aca="false">(1-ProdFac)*AU447</f>
        <v>0</v>
      </c>
      <c r="AV310" s="150" t="n">
        <f aca="false">(1-ProdFac)*AV447</f>
        <v>0</v>
      </c>
      <c r="AW310" s="150" t="n">
        <f aca="false">(1-ProdFac)*AW447</f>
        <v>0</v>
      </c>
      <c r="AX310" s="150" t="n">
        <f aca="false">(1-ProdFac)*AX447</f>
        <v>0</v>
      </c>
      <c r="AY310" s="150" t="n">
        <f aca="false">(1-ProdFac)*AY447</f>
        <v>0</v>
      </c>
      <c r="AZ310" s="150" t="n">
        <f aca="false">(1-ProdFac)*AZ447</f>
        <v>0</v>
      </c>
      <c r="BA310" s="150" t="n">
        <f aca="false">(1-ProdFac)*BA447</f>
        <v>0</v>
      </c>
      <c r="BB310" s="150" t="n">
        <f aca="false">(1-ProdFac)*BB447</f>
        <v>0</v>
      </c>
    </row>
    <row r="311" customFormat="false" ht="15" hidden="true" customHeight="false" outlineLevel="1" collapsed="false">
      <c r="B311" s="82" t="s">
        <v>212</v>
      </c>
      <c r="C311" s="128" t="s">
        <v>213</v>
      </c>
      <c r="D311" s="128" t="s">
        <v>59</v>
      </c>
      <c r="E311" s="128"/>
      <c r="F311" s="128" t="s">
        <v>59</v>
      </c>
      <c r="G311" s="75"/>
      <c r="H311" s="128"/>
      <c r="I311" s="128"/>
      <c r="J311" s="128"/>
      <c r="K311" s="128"/>
      <c r="L311" s="78" t="n">
        <f aca="false">SUM(S311:BB311)</f>
        <v>0</v>
      </c>
      <c r="M311" s="128"/>
      <c r="N311" s="130" t="str">
        <f aca="false">IF(ISERROR(VLOOKUP(P311,Member_Tab,2,FALSE())),"",VLOOKUP(P311,Member_Tab,2,FALSE()))</f>
        <v/>
      </c>
      <c r="O311" s="130" t="str">
        <f aca="false">IF(ISERROR(VLOOKUP(P311,Member_Tab,3,FALSE())),"",VLOOKUP(P311,Member_Tab,3,FALSE()))</f>
        <v/>
      </c>
      <c r="P311" s="148" t="n">
        <f aca="false">Site!I67</f>
        <v>0</v>
      </c>
      <c r="Q311" s="128"/>
      <c r="R311" s="131"/>
      <c r="S311" s="150" t="n">
        <f aca="false">(1-ProdFac)*S448</f>
        <v>0</v>
      </c>
      <c r="T311" s="150" t="n">
        <f aca="false">(1-ProdFac)*T448</f>
        <v>0</v>
      </c>
      <c r="U311" s="150" t="n">
        <f aca="false">(1-ProdFac)*U448</f>
        <v>0</v>
      </c>
      <c r="V311" s="150" t="n">
        <f aca="false">(1-ProdFac)*V448</f>
        <v>0</v>
      </c>
      <c r="W311" s="150" t="n">
        <f aca="false">(1-ProdFac)*W448</f>
        <v>0</v>
      </c>
      <c r="X311" s="150" t="n">
        <f aca="false">(1-ProdFac)*X448</f>
        <v>0</v>
      </c>
      <c r="Y311" s="150" t="n">
        <f aca="false">(1-ProdFac)*Y448</f>
        <v>0</v>
      </c>
      <c r="Z311" s="150" t="n">
        <f aca="false">(1-ProdFac)*Z448</f>
        <v>0</v>
      </c>
      <c r="AA311" s="150" t="n">
        <f aca="false">(1-ProdFac)*AA448</f>
        <v>0</v>
      </c>
      <c r="AB311" s="150" t="n">
        <f aca="false">(1-ProdFac)*AB448</f>
        <v>0</v>
      </c>
      <c r="AC311" s="150" t="n">
        <f aca="false">(1-ProdFac)*AC448</f>
        <v>0</v>
      </c>
      <c r="AD311" s="150" t="n">
        <f aca="false">(1-ProdFac)*AD448</f>
        <v>0</v>
      </c>
      <c r="AE311" s="150" t="n">
        <f aca="false">(1-ProdFac)*AE448</f>
        <v>0</v>
      </c>
      <c r="AF311" s="150" t="n">
        <f aca="false">(1-ProdFac)*AF448</f>
        <v>0</v>
      </c>
      <c r="AG311" s="150" t="n">
        <f aca="false">(1-ProdFac)*AG448</f>
        <v>0</v>
      </c>
      <c r="AH311" s="150" t="n">
        <f aca="false">(1-ProdFac)*AH448</f>
        <v>0</v>
      </c>
      <c r="AI311" s="150" t="n">
        <f aca="false">(1-ProdFac)*AI448</f>
        <v>0</v>
      </c>
      <c r="AJ311" s="150" t="n">
        <f aca="false">(1-ProdFac)*AJ448</f>
        <v>0</v>
      </c>
      <c r="AK311" s="150" t="n">
        <f aca="false">(1-ProdFac)*AK448</f>
        <v>0</v>
      </c>
      <c r="AL311" s="150" t="n">
        <f aca="false">(1-ProdFac)*AL448</f>
        <v>0</v>
      </c>
      <c r="AM311" s="150" t="n">
        <f aca="false">(1-ProdFac)*AM448</f>
        <v>0</v>
      </c>
      <c r="AN311" s="150" t="n">
        <f aca="false">(1-ProdFac)*AN448</f>
        <v>0</v>
      </c>
      <c r="AO311" s="150" t="n">
        <f aca="false">(1-ProdFac)*AO448</f>
        <v>0</v>
      </c>
      <c r="AP311" s="150" t="n">
        <f aca="false">(1-ProdFac)*AP448</f>
        <v>0</v>
      </c>
      <c r="AQ311" s="150" t="n">
        <f aca="false">(1-ProdFac)*AQ448</f>
        <v>0</v>
      </c>
      <c r="AR311" s="150" t="n">
        <f aca="false">(1-ProdFac)*AR448</f>
        <v>0</v>
      </c>
      <c r="AS311" s="150" t="n">
        <f aca="false">(1-ProdFac)*AS448</f>
        <v>0</v>
      </c>
      <c r="AT311" s="150" t="n">
        <f aca="false">(1-ProdFac)*AT448</f>
        <v>0</v>
      </c>
      <c r="AU311" s="150" t="n">
        <f aca="false">(1-ProdFac)*AU448</f>
        <v>0</v>
      </c>
      <c r="AV311" s="150" t="n">
        <f aca="false">(1-ProdFac)*AV448</f>
        <v>0</v>
      </c>
      <c r="AW311" s="150" t="n">
        <f aca="false">(1-ProdFac)*AW448</f>
        <v>0</v>
      </c>
      <c r="AX311" s="150" t="n">
        <f aca="false">(1-ProdFac)*AX448</f>
        <v>0</v>
      </c>
      <c r="AY311" s="150" t="n">
        <f aca="false">(1-ProdFac)*AY448</f>
        <v>0</v>
      </c>
      <c r="AZ311" s="150" t="n">
        <f aca="false">(1-ProdFac)*AZ448</f>
        <v>0</v>
      </c>
      <c r="BA311" s="150" t="n">
        <f aca="false">(1-ProdFac)*BA448</f>
        <v>0</v>
      </c>
      <c r="BB311" s="150" t="n">
        <f aca="false">(1-ProdFac)*BB448</f>
        <v>0</v>
      </c>
    </row>
    <row r="312" customFormat="false" ht="15" hidden="true" customHeight="false" outlineLevel="1" collapsed="false">
      <c r="B312" s="82" t="s">
        <v>212</v>
      </c>
      <c r="C312" s="128" t="s">
        <v>213</v>
      </c>
      <c r="D312" s="128" t="s">
        <v>59</v>
      </c>
      <c r="E312" s="128"/>
      <c r="F312" s="128" t="s">
        <v>59</v>
      </c>
      <c r="G312" s="75"/>
      <c r="H312" s="128"/>
      <c r="I312" s="128"/>
      <c r="J312" s="128"/>
      <c r="K312" s="128"/>
      <c r="L312" s="78" t="n">
        <f aca="false">SUM(S312:BB312)</f>
        <v>0</v>
      </c>
      <c r="M312" s="128"/>
      <c r="N312" s="130" t="str">
        <f aca="false">IF(ISERROR(VLOOKUP(P312,Member_Tab,2,FALSE())),"",VLOOKUP(P312,Member_Tab,2,FALSE()))</f>
        <v/>
      </c>
      <c r="O312" s="130" t="str">
        <f aca="false">IF(ISERROR(VLOOKUP(P312,Member_Tab,3,FALSE())),"",VLOOKUP(P312,Member_Tab,3,FALSE()))</f>
        <v/>
      </c>
      <c r="P312" s="148" t="n">
        <f aca="false">Site!I68</f>
        <v>0</v>
      </c>
      <c r="Q312" s="128"/>
      <c r="R312" s="131"/>
      <c r="S312" s="150" t="n">
        <f aca="false">(1-ProdFac)*S449</f>
        <v>0</v>
      </c>
      <c r="T312" s="150" t="n">
        <f aca="false">(1-ProdFac)*T449</f>
        <v>0</v>
      </c>
      <c r="U312" s="150" t="n">
        <f aca="false">(1-ProdFac)*U449</f>
        <v>0</v>
      </c>
      <c r="V312" s="150" t="n">
        <f aca="false">(1-ProdFac)*V449</f>
        <v>0</v>
      </c>
      <c r="W312" s="150" t="n">
        <f aca="false">(1-ProdFac)*W449</f>
        <v>0</v>
      </c>
      <c r="X312" s="150" t="n">
        <f aca="false">(1-ProdFac)*X449</f>
        <v>0</v>
      </c>
      <c r="Y312" s="150" t="n">
        <f aca="false">(1-ProdFac)*Y449</f>
        <v>0</v>
      </c>
      <c r="Z312" s="150" t="n">
        <f aca="false">(1-ProdFac)*Z449</f>
        <v>0</v>
      </c>
      <c r="AA312" s="150" t="n">
        <f aca="false">(1-ProdFac)*AA449</f>
        <v>0</v>
      </c>
      <c r="AB312" s="150" t="n">
        <f aca="false">(1-ProdFac)*AB449</f>
        <v>0</v>
      </c>
      <c r="AC312" s="150" t="n">
        <f aca="false">(1-ProdFac)*AC449</f>
        <v>0</v>
      </c>
      <c r="AD312" s="150" t="n">
        <f aca="false">(1-ProdFac)*AD449</f>
        <v>0</v>
      </c>
      <c r="AE312" s="150" t="n">
        <f aca="false">(1-ProdFac)*AE449</f>
        <v>0</v>
      </c>
      <c r="AF312" s="150" t="n">
        <f aca="false">(1-ProdFac)*AF449</f>
        <v>0</v>
      </c>
      <c r="AG312" s="150" t="n">
        <f aca="false">(1-ProdFac)*AG449</f>
        <v>0</v>
      </c>
      <c r="AH312" s="150" t="n">
        <f aca="false">(1-ProdFac)*AH449</f>
        <v>0</v>
      </c>
      <c r="AI312" s="150" t="n">
        <f aca="false">(1-ProdFac)*AI449</f>
        <v>0</v>
      </c>
      <c r="AJ312" s="150" t="n">
        <f aca="false">(1-ProdFac)*AJ449</f>
        <v>0</v>
      </c>
      <c r="AK312" s="150" t="n">
        <f aca="false">(1-ProdFac)*AK449</f>
        <v>0</v>
      </c>
      <c r="AL312" s="150" t="n">
        <f aca="false">(1-ProdFac)*AL449</f>
        <v>0</v>
      </c>
      <c r="AM312" s="150" t="n">
        <f aca="false">(1-ProdFac)*AM449</f>
        <v>0</v>
      </c>
      <c r="AN312" s="150" t="n">
        <f aca="false">(1-ProdFac)*AN449</f>
        <v>0</v>
      </c>
      <c r="AO312" s="150" t="n">
        <f aca="false">(1-ProdFac)*AO449</f>
        <v>0</v>
      </c>
      <c r="AP312" s="150" t="n">
        <f aca="false">(1-ProdFac)*AP449</f>
        <v>0</v>
      </c>
      <c r="AQ312" s="150" t="n">
        <f aca="false">(1-ProdFac)*AQ449</f>
        <v>0</v>
      </c>
      <c r="AR312" s="150" t="n">
        <f aca="false">(1-ProdFac)*AR449</f>
        <v>0</v>
      </c>
      <c r="AS312" s="150" t="n">
        <f aca="false">(1-ProdFac)*AS449</f>
        <v>0</v>
      </c>
      <c r="AT312" s="150" t="n">
        <f aca="false">(1-ProdFac)*AT449</f>
        <v>0</v>
      </c>
      <c r="AU312" s="150" t="n">
        <f aca="false">(1-ProdFac)*AU449</f>
        <v>0</v>
      </c>
      <c r="AV312" s="150" t="n">
        <f aca="false">(1-ProdFac)*AV449</f>
        <v>0</v>
      </c>
      <c r="AW312" s="150" t="n">
        <f aca="false">(1-ProdFac)*AW449</f>
        <v>0</v>
      </c>
      <c r="AX312" s="150" t="n">
        <f aca="false">(1-ProdFac)*AX449</f>
        <v>0</v>
      </c>
      <c r="AY312" s="150" t="n">
        <f aca="false">(1-ProdFac)*AY449</f>
        <v>0</v>
      </c>
      <c r="AZ312" s="150" t="n">
        <f aca="false">(1-ProdFac)*AZ449</f>
        <v>0</v>
      </c>
      <c r="BA312" s="150" t="n">
        <f aca="false">(1-ProdFac)*BA449</f>
        <v>0</v>
      </c>
      <c r="BB312" s="150" t="n">
        <f aca="false">(1-ProdFac)*BB449</f>
        <v>0</v>
      </c>
    </row>
    <row r="313" customFormat="false" ht="15" hidden="true" customHeight="false" outlineLevel="1" collapsed="false">
      <c r="B313" s="82" t="s">
        <v>212</v>
      </c>
      <c r="C313" s="128" t="s">
        <v>213</v>
      </c>
      <c r="D313" s="128" t="s">
        <v>59</v>
      </c>
      <c r="E313" s="128"/>
      <c r="F313" s="128" t="s">
        <v>59</v>
      </c>
      <c r="G313" s="75"/>
      <c r="H313" s="128"/>
      <c r="I313" s="128"/>
      <c r="J313" s="128"/>
      <c r="K313" s="128"/>
      <c r="L313" s="78" t="n">
        <f aca="false">SUM(S313:BB313)</f>
        <v>0</v>
      </c>
      <c r="M313" s="128"/>
      <c r="N313" s="130" t="str">
        <f aca="false">IF(ISERROR(VLOOKUP(P313,Member_Tab,2,FALSE())),"",VLOOKUP(P313,Member_Tab,2,FALSE()))</f>
        <v/>
      </c>
      <c r="O313" s="130" t="str">
        <f aca="false">IF(ISERROR(VLOOKUP(P313,Member_Tab,3,FALSE())),"",VLOOKUP(P313,Member_Tab,3,FALSE()))</f>
        <v/>
      </c>
      <c r="P313" s="148" t="n">
        <f aca="false">Site!I69</f>
        <v>0</v>
      </c>
      <c r="Q313" s="128"/>
      <c r="R313" s="131"/>
      <c r="S313" s="150" t="n">
        <f aca="false">(1-ProdFac)*S450</f>
        <v>0</v>
      </c>
      <c r="T313" s="150" t="n">
        <f aca="false">(1-ProdFac)*T450</f>
        <v>0</v>
      </c>
      <c r="U313" s="150" t="n">
        <f aca="false">(1-ProdFac)*U450</f>
        <v>0</v>
      </c>
      <c r="V313" s="150" t="n">
        <f aca="false">(1-ProdFac)*V450</f>
        <v>0</v>
      </c>
      <c r="W313" s="150" t="n">
        <f aca="false">(1-ProdFac)*W450</f>
        <v>0</v>
      </c>
      <c r="X313" s="150" t="n">
        <f aca="false">(1-ProdFac)*X450</f>
        <v>0</v>
      </c>
      <c r="Y313" s="150" t="n">
        <f aca="false">(1-ProdFac)*Y450</f>
        <v>0</v>
      </c>
      <c r="Z313" s="150" t="n">
        <f aca="false">(1-ProdFac)*Z450</f>
        <v>0</v>
      </c>
      <c r="AA313" s="150" t="n">
        <f aca="false">(1-ProdFac)*AA450</f>
        <v>0</v>
      </c>
      <c r="AB313" s="150" t="n">
        <f aca="false">(1-ProdFac)*AB450</f>
        <v>0</v>
      </c>
      <c r="AC313" s="150" t="n">
        <f aca="false">(1-ProdFac)*AC450</f>
        <v>0</v>
      </c>
      <c r="AD313" s="150" t="n">
        <f aca="false">(1-ProdFac)*AD450</f>
        <v>0</v>
      </c>
      <c r="AE313" s="150" t="n">
        <f aca="false">(1-ProdFac)*AE450</f>
        <v>0</v>
      </c>
      <c r="AF313" s="150" t="n">
        <f aca="false">(1-ProdFac)*AF450</f>
        <v>0</v>
      </c>
      <c r="AG313" s="150" t="n">
        <f aca="false">(1-ProdFac)*AG450</f>
        <v>0</v>
      </c>
      <c r="AH313" s="150" t="n">
        <f aca="false">(1-ProdFac)*AH450</f>
        <v>0</v>
      </c>
      <c r="AI313" s="150" t="n">
        <f aca="false">(1-ProdFac)*AI450</f>
        <v>0</v>
      </c>
      <c r="AJ313" s="150" t="n">
        <f aca="false">(1-ProdFac)*AJ450</f>
        <v>0</v>
      </c>
      <c r="AK313" s="150" t="n">
        <f aca="false">(1-ProdFac)*AK450</f>
        <v>0</v>
      </c>
      <c r="AL313" s="150" t="n">
        <f aca="false">(1-ProdFac)*AL450</f>
        <v>0</v>
      </c>
      <c r="AM313" s="150" t="n">
        <f aca="false">(1-ProdFac)*AM450</f>
        <v>0</v>
      </c>
      <c r="AN313" s="150" t="n">
        <f aca="false">(1-ProdFac)*AN450</f>
        <v>0</v>
      </c>
      <c r="AO313" s="150" t="n">
        <f aca="false">(1-ProdFac)*AO450</f>
        <v>0</v>
      </c>
      <c r="AP313" s="150" t="n">
        <f aca="false">(1-ProdFac)*AP450</f>
        <v>0</v>
      </c>
      <c r="AQ313" s="150" t="n">
        <f aca="false">(1-ProdFac)*AQ450</f>
        <v>0</v>
      </c>
      <c r="AR313" s="150" t="n">
        <f aca="false">(1-ProdFac)*AR450</f>
        <v>0</v>
      </c>
      <c r="AS313" s="150" t="n">
        <f aca="false">(1-ProdFac)*AS450</f>
        <v>0</v>
      </c>
      <c r="AT313" s="150" t="n">
        <f aca="false">(1-ProdFac)*AT450</f>
        <v>0</v>
      </c>
      <c r="AU313" s="150" t="n">
        <f aca="false">(1-ProdFac)*AU450</f>
        <v>0</v>
      </c>
      <c r="AV313" s="150" t="n">
        <f aca="false">(1-ProdFac)*AV450</f>
        <v>0</v>
      </c>
      <c r="AW313" s="150" t="n">
        <f aca="false">(1-ProdFac)*AW450</f>
        <v>0</v>
      </c>
      <c r="AX313" s="150" t="n">
        <f aca="false">(1-ProdFac)*AX450</f>
        <v>0</v>
      </c>
      <c r="AY313" s="150" t="n">
        <f aca="false">(1-ProdFac)*AY450</f>
        <v>0</v>
      </c>
      <c r="AZ313" s="150" t="n">
        <f aca="false">(1-ProdFac)*AZ450</f>
        <v>0</v>
      </c>
      <c r="BA313" s="150" t="n">
        <f aca="false">(1-ProdFac)*BA450</f>
        <v>0</v>
      </c>
      <c r="BB313" s="150" t="n">
        <f aca="false">(1-ProdFac)*BB450</f>
        <v>0</v>
      </c>
    </row>
    <row r="314" customFormat="false" ht="15" hidden="true" customHeight="false" outlineLevel="1" collapsed="false">
      <c r="B314" s="82" t="s">
        <v>212</v>
      </c>
      <c r="C314" s="128" t="s">
        <v>213</v>
      </c>
      <c r="D314" s="128" t="s">
        <v>59</v>
      </c>
      <c r="E314" s="128"/>
      <c r="F314" s="128" t="s">
        <v>59</v>
      </c>
      <c r="G314" s="75"/>
      <c r="H314" s="128"/>
      <c r="I314" s="128"/>
      <c r="J314" s="128"/>
      <c r="K314" s="128"/>
      <c r="L314" s="78" t="n">
        <f aca="false">SUM(S314:BB314)</f>
        <v>0</v>
      </c>
      <c r="M314" s="128"/>
      <c r="N314" s="130" t="str">
        <f aca="false">IF(ISERROR(VLOOKUP(P314,Member_Tab,2,FALSE())),"",VLOOKUP(P314,Member_Tab,2,FALSE()))</f>
        <v/>
      </c>
      <c r="O314" s="130" t="str">
        <f aca="false">IF(ISERROR(VLOOKUP(P314,Member_Tab,3,FALSE())),"",VLOOKUP(P314,Member_Tab,3,FALSE()))</f>
        <v/>
      </c>
      <c r="P314" s="148" t="n">
        <f aca="false">Site!I70</f>
        <v>0</v>
      </c>
      <c r="Q314" s="128"/>
      <c r="R314" s="131"/>
      <c r="S314" s="150" t="n">
        <f aca="false">(1-ProdFac)*S451</f>
        <v>0</v>
      </c>
      <c r="T314" s="150" t="n">
        <f aca="false">(1-ProdFac)*T451</f>
        <v>0</v>
      </c>
      <c r="U314" s="150" t="n">
        <f aca="false">(1-ProdFac)*U451</f>
        <v>0</v>
      </c>
      <c r="V314" s="150" t="n">
        <f aca="false">(1-ProdFac)*V451</f>
        <v>0</v>
      </c>
      <c r="W314" s="150" t="n">
        <f aca="false">(1-ProdFac)*W451</f>
        <v>0</v>
      </c>
      <c r="X314" s="150" t="n">
        <f aca="false">(1-ProdFac)*X451</f>
        <v>0</v>
      </c>
      <c r="Y314" s="150" t="n">
        <f aca="false">(1-ProdFac)*Y451</f>
        <v>0</v>
      </c>
      <c r="Z314" s="150" t="n">
        <f aca="false">(1-ProdFac)*Z451</f>
        <v>0</v>
      </c>
      <c r="AA314" s="150" t="n">
        <f aca="false">(1-ProdFac)*AA451</f>
        <v>0</v>
      </c>
      <c r="AB314" s="150" t="n">
        <f aca="false">(1-ProdFac)*AB451</f>
        <v>0</v>
      </c>
      <c r="AC314" s="150" t="n">
        <f aca="false">(1-ProdFac)*AC451</f>
        <v>0</v>
      </c>
      <c r="AD314" s="150" t="n">
        <f aca="false">(1-ProdFac)*AD451</f>
        <v>0</v>
      </c>
      <c r="AE314" s="150" t="n">
        <f aca="false">(1-ProdFac)*AE451</f>
        <v>0</v>
      </c>
      <c r="AF314" s="150" t="n">
        <f aca="false">(1-ProdFac)*AF451</f>
        <v>0</v>
      </c>
      <c r="AG314" s="150" t="n">
        <f aca="false">(1-ProdFac)*AG451</f>
        <v>0</v>
      </c>
      <c r="AH314" s="150" t="n">
        <f aca="false">(1-ProdFac)*AH451</f>
        <v>0</v>
      </c>
      <c r="AI314" s="150" t="n">
        <f aca="false">(1-ProdFac)*AI451</f>
        <v>0</v>
      </c>
      <c r="AJ314" s="150" t="n">
        <f aca="false">(1-ProdFac)*AJ451</f>
        <v>0</v>
      </c>
      <c r="AK314" s="150" t="n">
        <f aca="false">(1-ProdFac)*AK451</f>
        <v>0</v>
      </c>
      <c r="AL314" s="150" t="n">
        <f aca="false">(1-ProdFac)*AL451</f>
        <v>0</v>
      </c>
      <c r="AM314" s="150" t="n">
        <f aca="false">(1-ProdFac)*AM451</f>
        <v>0</v>
      </c>
      <c r="AN314" s="150" t="n">
        <f aca="false">(1-ProdFac)*AN451</f>
        <v>0</v>
      </c>
      <c r="AO314" s="150" t="n">
        <f aca="false">(1-ProdFac)*AO451</f>
        <v>0</v>
      </c>
      <c r="AP314" s="150" t="n">
        <f aca="false">(1-ProdFac)*AP451</f>
        <v>0</v>
      </c>
      <c r="AQ314" s="150" t="n">
        <f aca="false">(1-ProdFac)*AQ451</f>
        <v>0</v>
      </c>
      <c r="AR314" s="150" t="n">
        <f aca="false">(1-ProdFac)*AR451</f>
        <v>0</v>
      </c>
      <c r="AS314" s="150" t="n">
        <f aca="false">(1-ProdFac)*AS451</f>
        <v>0</v>
      </c>
      <c r="AT314" s="150" t="n">
        <f aca="false">(1-ProdFac)*AT451</f>
        <v>0</v>
      </c>
      <c r="AU314" s="150" t="n">
        <f aca="false">(1-ProdFac)*AU451</f>
        <v>0</v>
      </c>
      <c r="AV314" s="150" t="n">
        <f aca="false">(1-ProdFac)*AV451</f>
        <v>0</v>
      </c>
      <c r="AW314" s="150" t="n">
        <f aca="false">(1-ProdFac)*AW451</f>
        <v>0</v>
      </c>
      <c r="AX314" s="150" t="n">
        <f aca="false">(1-ProdFac)*AX451</f>
        <v>0</v>
      </c>
      <c r="AY314" s="150" t="n">
        <f aca="false">(1-ProdFac)*AY451</f>
        <v>0</v>
      </c>
      <c r="AZ314" s="150" t="n">
        <f aca="false">(1-ProdFac)*AZ451</f>
        <v>0</v>
      </c>
      <c r="BA314" s="150" t="n">
        <f aca="false">(1-ProdFac)*BA451</f>
        <v>0</v>
      </c>
      <c r="BB314" s="150" t="n">
        <f aca="false">(1-ProdFac)*BB451</f>
        <v>0</v>
      </c>
    </row>
    <row r="315" customFormat="false" ht="15" hidden="true" customHeight="false" outlineLevel="1" collapsed="false">
      <c r="B315" s="82" t="s">
        <v>212</v>
      </c>
      <c r="C315" s="128" t="s">
        <v>213</v>
      </c>
      <c r="D315" s="128" t="s">
        <v>59</v>
      </c>
      <c r="E315" s="128"/>
      <c r="F315" s="128" t="s">
        <v>59</v>
      </c>
      <c r="G315" s="75"/>
      <c r="H315" s="128"/>
      <c r="I315" s="128"/>
      <c r="J315" s="128"/>
      <c r="K315" s="128"/>
      <c r="L315" s="78" t="n">
        <f aca="false">SUM(S315:BB315)</f>
        <v>0</v>
      </c>
      <c r="M315" s="128"/>
      <c r="N315" s="130" t="str">
        <f aca="false">IF(ISERROR(VLOOKUP(P315,Member_Tab,2,FALSE())),"",VLOOKUP(P315,Member_Tab,2,FALSE()))</f>
        <v/>
      </c>
      <c r="O315" s="130" t="str">
        <f aca="false">IF(ISERROR(VLOOKUP(P315,Member_Tab,3,FALSE())),"",VLOOKUP(P315,Member_Tab,3,FALSE()))</f>
        <v/>
      </c>
      <c r="P315" s="148" t="n">
        <f aca="false">Site!I71</f>
        <v>0</v>
      </c>
      <c r="Q315" s="128"/>
      <c r="R315" s="131"/>
      <c r="S315" s="150" t="n">
        <f aca="false">(1-ProdFac)*S452</f>
        <v>0</v>
      </c>
      <c r="T315" s="150" t="n">
        <f aca="false">(1-ProdFac)*T452</f>
        <v>0</v>
      </c>
      <c r="U315" s="150" t="n">
        <f aca="false">(1-ProdFac)*U452</f>
        <v>0</v>
      </c>
      <c r="V315" s="150" t="n">
        <f aca="false">(1-ProdFac)*V452</f>
        <v>0</v>
      </c>
      <c r="W315" s="150" t="n">
        <f aca="false">(1-ProdFac)*W452</f>
        <v>0</v>
      </c>
      <c r="X315" s="150" t="n">
        <f aca="false">(1-ProdFac)*X452</f>
        <v>0</v>
      </c>
      <c r="Y315" s="150" t="n">
        <f aca="false">(1-ProdFac)*Y452</f>
        <v>0</v>
      </c>
      <c r="Z315" s="150" t="n">
        <f aca="false">(1-ProdFac)*Z452</f>
        <v>0</v>
      </c>
      <c r="AA315" s="150" t="n">
        <f aca="false">(1-ProdFac)*AA452</f>
        <v>0</v>
      </c>
      <c r="AB315" s="150" t="n">
        <f aca="false">(1-ProdFac)*AB452</f>
        <v>0</v>
      </c>
      <c r="AC315" s="150" t="n">
        <f aca="false">(1-ProdFac)*AC452</f>
        <v>0</v>
      </c>
      <c r="AD315" s="150" t="n">
        <f aca="false">(1-ProdFac)*AD452</f>
        <v>0</v>
      </c>
      <c r="AE315" s="150" t="n">
        <f aca="false">(1-ProdFac)*AE452</f>
        <v>0</v>
      </c>
      <c r="AF315" s="150" t="n">
        <f aca="false">(1-ProdFac)*AF452</f>
        <v>0</v>
      </c>
      <c r="AG315" s="150" t="n">
        <f aca="false">(1-ProdFac)*AG452</f>
        <v>0</v>
      </c>
      <c r="AH315" s="150" t="n">
        <f aca="false">(1-ProdFac)*AH452</f>
        <v>0</v>
      </c>
      <c r="AI315" s="150" t="n">
        <f aca="false">(1-ProdFac)*AI452</f>
        <v>0</v>
      </c>
      <c r="AJ315" s="150" t="n">
        <f aca="false">(1-ProdFac)*AJ452</f>
        <v>0</v>
      </c>
      <c r="AK315" s="150" t="n">
        <f aca="false">(1-ProdFac)*AK452</f>
        <v>0</v>
      </c>
      <c r="AL315" s="150" t="n">
        <f aca="false">(1-ProdFac)*AL452</f>
        <v>0</v>
      </c>
      <c r="AM315" s="150" t="n">
        <f aca="false">(1-ProdFac)*AM452</f>
        <v>0</v>
      </c>
      <c r="AN315" s="150" t="n">
        <f aca="false">(1-ProdFac)*AN452</f>
        <v>0</v>
      </c>
      <c r="AO315" s="150" t="n">
        <f aca="false">(1-ProdFac)*AO452</f>
        <v>0</v>
      </c>
      <c r="AP315" s="150" t="n">
        <f aca="false">(1-ProdFac)*AP452</f>
        <v>0</v>
      </c>
      <c r="AQ315" s="150" t="n">
        <f aca="false">(1-ProdFac)*AQ452</f>
        <v>0</v>
      </c>
      <c r="AR315" s="150" t="n">
        <f aca="false">(1-ProdFac)*AR452</f>
        <v>0</v>
      </c>
      <c r="AS315" s="150" t="n">
        <f aca="false">(1-ProdFac)*AS452</f>
        <v>0</v>
      </c>
      <c r="AT315" s="150" t="n">
        <f aca="false">(1-ProdFac)*AT452</f>
        <v>0</v>
      </c>
      <c r="AU315" s="150" t="n">
        <f aca="false">(1-ProdFac)*AU452</f>
        <v>0</v>
      </c>
      <c r="AV315" s="150" t="n">
        <f aca="false">(1-ProdFac)*AV452</f>
        <v>0</v>
      </c>
      <c r="AW315" s="150" t="n">
        <f aca="false">(1-ProdFac)*AW452</f>
        <v>0</v>
      </c>
      <c r="AX315" s="150" t="n">
        <f aca="false">(1-ProdFac)*AX452</f>
        <v>0</v>
      </c>
      <c r="AY315" s="150" t="n">
        <f aca="false">(1-ProdFac)*AY452</f>
        <v>0</v>
      </c>
      <c r="AZ315" s="150" t="n">
        <f aca="false">(1-ProdFac)*AZ452</f>
        <v>0</v>
      </c>
      <c r="BA315" s="150" t="n">
        <f aca="false">(1-ProdFac)*BA452</f>
        <v>0</v>
      </c>
      <c r="BB315" s="150" t="n">
        <f aca="false">(1-ProdFac)*BB452</f>
        <v>0</v>
      </c>
    </row>
    <row r="316" customFormat="false" ht="15" hidden="true" customHeight="false" outlineLevel="1" collapsed="false">
      <c r="B316" s="82" t="s">
        <v>212</v>
      </c>
      <c r="C316" s="128" t="s">
        <v>213</v>
      </c>
      <c r="D316" s="128" t="s">
        <v>59</v>
      </c>
      <c r="E316" s="128"/>
      <c r="F316" s="128" t="s">
        <v>59</v>
      </c>
      <c r="G316" s="75"/>
      <c r="H316" s="128"/>
      <c r="I316" s="128"/>
      <c r="J316" s="128"/>
      <c r="K316" s="128"/>
      <c r="L316" s="78" t="n">
        <f aca="false">SUM(S316:BB316)</f>
        <v>0</v>
      </c>
      <c r="M316" s="128"/>
      <c r="N316" s="130" t="str">
        <f aca="false">IF(ISERROR(VLOOKUP(P316,Member_Tab,2,FALSE())),"",VLOOKUP(P316,Member_Tab,2,FALSE()))</f>
        <v/>
      </c>
      <c r="O316" s="130" t="str">
        <f aca="false">IF(ISERROR(VLOOKUP(P316,Member_Tab,3,FALSE())),"",VLOOKUP(P316,Member_Tab,3,FALSE()))</f>
        <v/>
      </c>
      <c r="P316" s="148" t="n">
        <f aca="false">Site!I72</f>
        <v>0</v>
      </c>
      <c r="Q316" s="128"/>
      <c r="R316" s="131"/>
      <c r="S316" s="150" t="n">
        <f aca="false">(1-ProdFac)*S453</f>
        <v>0</v>
      </c>
      <c r="T316" s="150" t="n">
        <f aca="false">(1-ProdFac)*T453</f>
        <v>0</v>
      </c>
      <c r="U316" s="150" t="n">
        <f aca="false">(1-ProdFac)*U453</f>
        <v>0</v>
      </c>
      <c r="V316" s="150" t="n">
        <f aca="false">(1-ProdFac)*V453</f>
        <v>0</v>
      </c>
      <c r="W316" s="150" t="n">
        <f aca="false">(1-ProdFac)*W453</f>
        <v>0</v>
      </c>
      <c r="X316" s="150" t="n">
        <f aca="false">(1-ProdFac)*X453</f>
        <v>0</v>
      </c>
      <c r="Y316" s="150" t="n">
        <f aca="false">(1-ProdFac)*Y453</f>
        <v>0</v>
      </c>
      <c r="Z316" s="150" t="n">
        <f aca="false">(1-ProdFac)*Z453</f>
        <v>0</v>
      </c>
      <c r="AA316" s="150" t="n">
        <f aca="false">(1-ProdFac)*AA453</f>
        <v>0</v>
      </c>
      <c r="AB316" s="150" t="n">
        <f aca="false">(1-ProdFac)*AB453</f>
        <v>0</v>
      </c>
      <c r="AC316" s="150" t="n">
        <f aca="false">(1-ProdFac)*AC453</f>
        <v>0</v>
      </c>
      <c r="AD316" s="150" t="n">
        <f aca="false">(1-ProdFac)*AD453</f>
        <v>0</v>
      </c>
      <c r="AE316" s="150" t="n">
        <f aca="false">(1-ProdFac)*AE453</f>
        <v>0</v>
      </c>
      <c r="AF316" s="150" t="n">
        <f aca="false">(1-ProdFac)*AF453</f>
        <v>0</v>
      </c>
      <c r="AG316" s="150" t="n">
        <f aca="false">(1-ProdFac)*AG453</f>
        <v>0</v>
      </c>
      <c r="AH316" s="150" t="n">
        <f aca="false">(1-ProdFac)*AH453</f>
        <v>0</v>
      </c>
      <c r="AI316" s="150" t="n">
        <f aca="false">(1-ProdFac)*AI453</f>
        <v>0</v>
      </c>
      <c r="AJ316" s="150" t="n">
        <f aca="false">(1-ProdFac)*AJ453</f>
        <v>0</v>
      </c>
      <c r="AK316" s="150" t="n">
        <f aca="false">(1-ProdFac)*AK453</f>
        <v>0</v>
      </c>
      <c r="AL316" s="150" t="n">
        <f aca="false">(1-ProdFac)*AL453</f>
        <v>0</v>
      </c>
      <c r="AM316" s="150" t="n">
        <f aca="false">(1-ProdFac)*AM453</f>
        <v>0</v>
      </c>
      <c r="AN316" s="150" t="n">
        <f aca="false">(1-ProdFac)*AN453</f>
        <v>0</v>
      </c>
      <c r="AO316" s="150" t="n">
        <f aca="false">(1-ProdFac)*AO453</f>
        <v>0</v>
      </c>
      <c r="AP316" s="150" t="n">
        <f aca="false">(1-ProdFac)*AP453</f>
        <v>0</v>
      </c>
      <c r="AQ316" s="150" t="n">
        <f aca="false">(1-ProdFac)*AQ453</f>
        <v>0</v>
      </c>
      <c r="AR316" s="150" t="n">
        <f aca="false">(1-ProdFac)*AR453</f>
        <v>0</v>
      </c>
      <c r="AS316" s="150" t="n">
        <f aca="false">(1-ProdFac)*AS453</f>
        <v>0</v>
      </c>
      <c r="AT316" s="150" t="n">
        <f aca="false">(1-ProdFac)*AT453</f>
        <v>0</v>
      </c>
      <c r="AU316" s="150" t="n">
        <f aca="false">(1-ProdFac)*AU453</f>
        <v>0</v>
      </c>
      <c r="AV316" s="150" t="n">
        <f aca="false">(1-ProdFac)*AV453</f>
        <v>0</v>
      </c>
      <c r="AW316" s="150" t="n">
        <f aca="false">(1-ProdFac)*AW453</f>
        <v>0</v>
      </c>
      <c r="AX316" s="150" t="n">
        <f aca="false">(1-ProdFac)*AX453</f>
        <v>0</v>
      </c>
      <c r="AY316" s="150" t="n">
        <f aca="false">(1-ProdFac)*AY453</f>
        <v>0</v>
      </c>
      <c r="AZ316" s="150" t="n">
        <f aca="false">(1-ProdFac)*AZ453</f>
        <v>0</v>
      </c>
      <c r="BA316" s="150" t="n">
        <f aca="false">(1-ProdFac)*BA453</f>
        <v>0</v>
      </c>
      <c r="BB316" s="150" t="n">
        <f aca="false">(1-ProdFac)*BB453</f>
        <v>0</v>
      </c>
    </row>
    <row r="317" customFormat="false" ht="15" hidden="true" customHeight="false" outlineLevel="1" collapsed="false">
      <c r="B317" s="82" t="s">
        <v>212</v>
      </c>
      <c r="C317" s="128" t="s">
        <v>213</v>
      </c>
      <c r="D317" s="128" t="s">
        <v>59</v>
      </c>
      <c r="E317" s="128"/>
      <c r="F317" s="128" t="s">
        <v>59</v>
      </c>
      <c r="G317" s="75"/>
      <c r="H317" s="128"/>
      <c r="I317" s="128"/>
      <c r="J317" s="128"/>
      <c r="K317" s="128"/>
      <c r="L317" s="78" t="n">
        <f aca="false">SUM(S317:BB317)</f>
        <v>0</v>
      </c>
      <c r="M317" s="128"/>
      <c r="N317" s="130" t="str">
        <f aca="false">IF(ISERROR(VLOOKUP(P317,Member_Tab,2,FALSE())),"",VLOOKUP(P317,Member_Tab,2,FALSE()))</f>
        <v/>
      </c>
      <c r="O317" s="130" t="str">
        <f aca="false">IF(ISERROR(VLOOKUP(P317,Member_Tab,3,FALSE())),"",VLOOKUP(P317,Member_Tab,3,FALSE()))</f>
        <v/>
      </c>
      <c r="P317" s="148" t="n">
        <f aca="false">Site!I73</f>
        <v>0</v>
      </c>
      <c r="Q317" s="128"/>
      <c r="R317" s="131"/>
      <c r="S317" s="150" t="n">
        <f aca="false">(1-ProdFac)*S454</f>
        <v>0</v>
      </c>
      <c r="T317" s="150" t="n">
        <f aca="false">(1-ProdFac)*T454</f>
        <v>0</v>
      </c>
      <c r="U317" s="150" t="n">
        <f aca="false">(1-ProdFac)*U454</f>
        <v>0</v>
      </c>
      <c r="V317" s="150" t="n">
        <f aca="false">(1-ProdFac)*V454</f>
        <v>0</v>
      </c>
      <c r="W317" s="150" t="n">
        <f aca="false">(1-ProdFac)*W454</f>
        <v>0</v>
      </c>
      <c r="X317" s="150" t="n">
        <f aca="false">(1-ProdFac)*X454</f>
        <v>0</v>
      </c>
      <c r="Y317" s="150" t="n">
        <f aca="false">(1-ProdFac)*Y454</f>
        <v>0</v>
      </c>
      <c r="Z317" s="150" t="n">
        <f aca="false">(1-ProdFac)*Z454</f>
        <v>0</v>
      </c>
      <c r="AA317" s="150" t="n">
        <f aca="false">(1-ProdFac)*AA454</f>
        <v>0</v>
      </c>
      <c r="AB317" s="150" t="n">
        <f aca="false">(1-ProdFac)*AB454</f>
        <v>0</v>
      </c>
      <c r="AC317" s="150" t="n">
        <f aca="false">(1-ProdFac)*AC454</f>
        <v>0</v>
      </c>
      <c r="AD317" s="150" t="n">
        <f aca="false">(1-ProdFac)*AD454</f>
        <v>0</v>
      </c>
      <c r="AE317" s="150" t="n">
        <f aca="false">(1-ProdFac)*AE454</f>
        <v>0</v>
      </c>
      <c r="AF317" s="150" t="n">
        <f aca="false">(1-ProdFac)*AF454</f>
        <v>0</v>
      </c>
      <c r="AG317" s="150" t="n">
        <f aca="false">(1-ProdFac)*AG454</f>
        <v>0</v>
      </c>
      <c r="AH317" s="150" t="n">
        <f aca="false">(1-ProdFac)*AH454</f>
        <v>0</v>
      </c>
      <c r="AI317" s="150" t="n">
        <f aca="false">(1-ProdFac)*AI454</f>
        <v>0</v>
      </c>
      <c r="AJ317" s="150" t="n">
        <f aca="false">(1-ProdFac)*AJ454</f>
        <v>0</v>
      </c>
      <c r="AK317" s="150" t="n">
        <f aca="false">(1-ProdFac)*AK454</f>
        <v>0</v>
      </c>
      <c r="AL317" s="150" t="n">
        <f aca="false">(1-ProdFac)*AL454</f>
        <v>0</v>
      </c>
      <c r="AM317" s="150" t="n">
        <f aca="false">(1-ProdFac)*AM454</f>
        <v>0</v>
      </c>
      <c r="AN317" s="150" t="n">
        <f aca="false">(1-ProdFac)*AN454</f>
        <v>0</v>
      </c>
      <c r="AO317" s="150" t="n">
        <f aca="false">(1-ProdFac)*AO454</f>
        <v>0</v>
      </c>
      <c r="AP317" s="150" t="n">
        <f aca="false">(1-ProdFac)*AP454</f>
        <v>0</v>
      </c>
      <c r="AQ317" s="150" t="n">
        <f aca="false">(1-ProdFac)*AQ454</f>
        <v>0</v>
      </c>
      <c r="AR317" s="150" t="n">
        <f aca="false">(1-ProdFac)*AR454</f>
        <v>0</v>
      </c>
      <c r="AS317" s="150" t="n">
        <f aca="false">(1-ProdFac)*AS454</f>
        <v>0</v>
      </c>
      <c r="AT317" s="150" t="n">
        <f aca="false">(1-ProdFac)*AT454</f>
        <v>0</v>
      </c>
      <c r="AU317" s="150" t="n">
        <f aca="false">(1-ProdFac)*AU454</f>
        <v>0</v>
      </c>
      <c r="AV317" s="150" t="n">
        <f aca="false">(1-ProdFac)*AV454</f>
        <v>0</v>
      </c>
      <c r="AW317" s="150" t="n">
        <f aca="false">(1-ProdFac)*AW454</f>
        <v>0</v>
      </c>
      <c r="AX317" s="150" t="n">
        <f aca="false">(1-ProdFac)*AX454</f>
        <v>0</v>
      </c>
      <c r="AY317" s="150" t="n">
        <f aca="false">(1-ProdFac)*AY454</f>
        <v>0</v>
      </c>
      <c r="AZ317" s="150" t="n">
        <f aca="false">(1-ProdFac)*AZ454</f>
        <v>0</v>
      </c>
      <c r="BA317" s="150" t="n">
        <f aca="false">(1-ProdFac)*BA454</f>
        <v>0</v>
      </c>
      <c r="BB317" s="150" t="n">
        <f aca="false">(1-ProdFac)*BB454</f>
        <v>0</v>
      </c>
    </row>
    <row r="318" customFormat="false" ht="15" hidden="true" customHeight="false" outlineLevel="1" collapsed="false">
      <c r="B318" s="82" t="s">
        <v>212</v>
      </c>
      <c r="C318" s="128" t="s">
        <v>213</v>
      </c>
      <c r="D318" s="128" t="s">
        <v>59</v>
      </c>
      <c r="E318" s="128"/>
      <c r="F318" s="128" t="s">
        <v>59</v>
      </c>
      <c r="G318" s="75"/>
      <c r="H318" s="128"/>
      <c r="I318" s="128"/>
      <c r="J318" s="128"/>
      <c r="K318" s="128"/>
      <c r="L318" s="78" t="n">
        <f aca="false">SUM(S318:BB318)</f>
        <v>0</v>
      </c>
      <c r="M318" s="128"/>
      <c r="N318" s="130" t="str">
        <f aca="false">IF(ISERROR(VLOOKUP(P318,Member_Tab,2,FALSE())),"",VLOOKUP(P318,Member_Tab,2,FALSE()))</f>
        <v/>
      </c>
      <c r="O318" s="130" t="str">
        <f aca="false">IF(ISERROR(VLOOKUP(P318,Member_Tab,3,FALSE())),"",VLOOKUP(P318,Member_Tab,3,FALSE()))</f>
        <v/>
      </c>
      <c r="P318" s="148" t="n">
        <f aca="false">Site!I74</f>
        <v>0</v>
      </c>
      <c r="Q318" s="128"/>
      <c r="R318" s="131"/>
      <c r="S318" s="150" t="n">
        <f aca="false">(1-ProdFac)*S455</f>
        <v>0</v>
      </c>
      <c r="T318" s="150" t="n">
        <f aca="false">(1-ProdFac)*T455</f>
        <v>0</v>
      </c>
      <c r="U318" s="150" t="n">
        <f aca="false">(1-ProdFac)*U455</f>
        <v>0</v>
      </c>
      <c r="V318" s="150" t="n">
        <f aca="false">(1-ProdFac)*V455</f>
        <v>0</v>
      </c>
      <c r="W318" s="150" t="n">
        <f aca="false">(1-ProdFac)*W455</f>
        <v>0</v>
      </c>
      <c r="X318" s="150" t="n">
        <f aca="false">(1-ProdFac)*X455</f>
        <v>0</v>
      </c>
      <c r="Y318" s="150" t="n">
        <f aca="false">(1-ProdFac)*Y455</f>
        <v>0</v>
      </c>
      <c r="Z318" s="150" t="n">
        <f aca="false">(1-ProdFac)*Z455</f>
        <v>0</v>
      </c>
      <c r="AA318" s="150" t="n">
        <f aca="false">(1-ProdFac)*AA455</f>
        <v>0</v>
      </c>
      <c r="AB318" s="150" t="n">
        <f aca="false">(1-ProdFac)*AB455</f>
        <v>0</v>
      </c>
      <c r="AC318" s="150" t="n">
        <f aca="false">(1-ProdFac)*AC455</f>
        <v>0</v>
      </c>
      <c r="AD318" s="150" t="n">
        <f aca="false">(1-ProdFac)*AD455</f>
        <v>0</v>
      </c>
      <c r="AE318" s="150" t="n">
        <f aca="false">(1-ProdFac)*AE455</f>
        <v>0</v>
      </c>
      <c r="AF318" s="150" t="n">
        <f aca="false">(1-ProdFac)*AF455</f>
        <v>0</v>
      </c>
      <c r="AG318" s="150" t="n">
        <f aca="false">(1-ProdFac)*AG455</f>
        <v>0</v>
      </c>
      <c r="AH318" s="150" t="n">
        <f aca="false">(1-ProdFac)*AH455</f>
        <v>0</v>
      </c>
      <c r="AI318" s="150" t="n">
        <f aca="false">(1-ProdFac)*AI455</f>
        <v>0</v>
      </c>
      <c r="AJ318" s="150" t="n">
        <f aca="false">(1-ProdFac)*AJ455</f>
        <v>0</v>
      </c>
      <c r="AK318" s="150" t="n">
        <f aca="false">(1-ProdFac)*AK455</f>
        <v>0</v>
      </c>
      <c r="AL318" s="150" t="n">
        <f aca="false">(1-ProdFac)*AL455</f>
        <v>0</v>
      </c>
      <c r="AM318" s="150" t="n">
        <f aca="false">(1-ProdFac)*AM455</f>
        <v>0</v>
      </c>
      <c r="AN318" s="150" t="n">
        <f aca="false">(1-ProdFac)*AN455</f>
        <v>0</v>
      </c>
      <c r="AO318" s="150" t="n">
        <f aca="false">(1-ProdFac)*AO455</f>
        <v>0</v>
      </c>
      <c r="AP318" s="150" t="n">
        <f aca="false">(1-ProdFac)*AP455</f>
        <v>0</v>
      </c>
      <c r="AQ318" s="150" t="n">
        <f aca="false">(1-ProdFac)*AQ455</f>
        <v>0</v>
      </c>
      <c r="AR318" s="150" t="n">
        <f aca="false">(1-ProdFac)*AR455</f>
        <v>0</v>
      </c>
      <c r="AS318" s="150" t="n">
        <f aca="false">(1-ProdFac)*AS455</f>
        <v>0</v>
      </c>
      <c r="AT318" s="150" t="n">
        <f aca="false">(1-ProdFac)*AT455</f>
        <v>0</v>
      </c>
      <c r="AU318" s="150" t="n">
        <f aca="false">(1-ProdFac)*AU455</f>
        <v>0</v>
      </c>
      <c r="AV318" s="150" t="n">
        <f aca="false">(1-ProdFac)*AV455</f>
        <v>0</v>
      </c>
      <c r="AW318" s="150" t="n">
        <f aca="false">(1-ProdFac)*AW455</f>
        <v>0</v>
      </c>
      <c r="AX318" s="150" t="n">
        <f aca="false">(1-ProdFac)*AX455</f>
        <v>0</v>
      </c>
      <c r="AY318" s="150" t="n">
        <f aca="false">(1-ProdFac)*AY455</f>
        <v>0</v>
      </c>
      <c r="AZ318" s="150" t="n">
        <f aca="false">(1-ProdFac)*AZ455</f>
        <v>0</v>
      </c>
      <c r="BA318" s="150" t="n">
        <f aca="false">(1-ProdFac)*BA455</f>
        <v>0</v>
      </c>
      <c r="BB318" s="150" t="n">
        <f aca="false">(1-ProdFac)*BB455</f>
        <v>0</v>
      </c>
    </row>
    <row r="319" customFormat="false" ht="15" hidden="true" customHeight="false" outlineLevel="1" collapsed="false">
      <c r="B319" s="82" t="s">
        <v>212</v>
      </c>
      <c r="C319" s="128" t="s">
        <v>213</v>
      </c>
      <c r="D319" s="128" t="s">
        <v>59</v>
      </c>
      <c r="E319" s="128"/>
      <c r="F319" s="128" t="s">
        <v>59</v>
      </c>
      <c r="G319" s="75"/>
      <c r="H319" s="128"/>
      <c r="I319" s="128"/>
      <c r="J319" s="128"/>
      <c r="K319" s="128"/>
      <c r="L319" s="78" t="n">
        <f aca="false">SUM(S319:BB319)</f>
        <v>0</v>
      </c>
      <c r="M319" s="128"/>
      <c r="N319" s="130" t="str">
        <f aca="false">IF(ISERROR(VLOOKUP(P319,Member_Tab,2,FALSE())),"",VLOOKUP(P319,Member_Tab,2,FALSE()))</f>
        <v/>
      </c>
      <c r="O319" s="130" t="str">
        <f aca="false">IF(ISERROR(VLOOKUP(P319,Member_Tab,3,FALSE())),"",VLOOKUP(P319,Member_Tab,3,FALSE()))</f>
        <v/>
      </c>
      <c r="P319" s="148" t="n">
        <f aca="false">Site!I75</f>
        <v>0</v>
      </c>
      <c r="Q319" s="128"/>
      <c r="R319" s="131"/>
      <c r="S319" s="150" t="n">
        <f aca="false">(1-ProdFac)*S456</f>
        <v>0</v>
      </c>
      <c r="T319" s="150" t="n">
        <f aca="false">(1-ProdFac)*T456</f>
        <v>0</v>
      </c>
      <c r="U319" s="150" t="n">
        <f aca="false">(1-ProdFac)*U456</f>
        <v>0</v>
      </c>
      <c r="V319" s="150" t="n">
        <f aca="false">(1-ProdFac)*V456</f>
        <v>0</v>
      </c>
      <c r="W319" s="150" t="n">
        <f aca="false">(1-ProdFac)*W456</f>
        <v>0</v>
      </c>
      <c r="X319" s="150" t="n">
        <f aca="false">(1-ProdFac)*X456</f>
        <v>0</v>
      </c>
      <c r="Y319" s="150" t="n">
        <f aca="false">(1-ProdFac)*Y456</f>
        <v>0</v>
      </c>
      <c r="Z319" s="150" t="n">
        <f aca="false">(1-ProdFac)*Z456</f>
        <v>0</v>
      </c>
      <c r="AA319" s="150" t="n">
        <f aca="false">(1-ProdFac)*AA456</f>
        <v>0</v>
      </c>
      <c r="AB319" s="150" t="n">
        <f aca="false">(1-ProdFac)*AB456</f>
        <v>0</v>
      </c>
      <c r="AC319" s="150" t="n">
        <f aca="false">(1-ProdFac)*AC456</f>
        <v>0</v>
      </c>
      <c r="AD319" s="150" t="n">
        <f aca="false">(1-ProdFac)*AD456</f>
        <v>0</v>
      </c>
      <c r="AE319" s="150" t="n">
        <f aca="false">(1-ProdFac)*AE456</f>
        <v>0</v>
      </c>
      <c r="AF319" s="150" t="n">
        <f aca="false">(1-ProdFac)*AF456</f>
        <v>0</v>
      </c>
      <c r="AG319" s="150" t="n">
        <f aca="false">(1-ProdFac)*AG456</f>
        <v>0</v>
      </c>
      <c r="AH319" s="150" t="n">
        <f aca="false">(1-ProdFac)*AH456</f>
        <v>0</v>
      </c>
      <c r="AI319" s="150" t="n">
        <f aca="false">(1-ProdFac)*AI456</f>
        <v>0</v>
      </c>
      <c r="AJ319" s="150" t="n">
        <f aca="false">(1-ProdFac)*AJ456</f>
        <v>0</v>
      </c>
      <c r="AK319" s="150" t="n">
        <f aca="false">(1-ProdFac)*AK456</f>
        <v>0</v>
      </c>
      <c r="AL319" s="150" t="n">
        <f aca="false">(1-ProdFac)*AL456</f>
        <v>0</v>
      </c>
      <c r="AM319" s="150" t="n">
        <f aca="false">(1-ProdFac)*AM456</f>
        <v>0</v>
      </c>
      <c r="AN319" s="150" t="n">
        <f aca="false">(1-ProdFac)*AN456</f>
        <v>0</v>
      </c>
      <c r="AO319" s="150" t="n">
        <f aca="false">(1-ProdFac)*AO456</f>
        <v>0</v>
      </c>
      <c r="AP319" s="150" t="n">
        <f aca="false">(1-ProdFac)*AP456</f>
        <v>0</v>
      </c>
      <c r="AQ319" s="150" t="n">
        <f aca="false">(1-ProdFac)*AQ456</f>
        <v>0</v>
      </c>
      <c r="AR319" s="150" t="n">
        <f aca="false">(1-ProdFac)*AR456</f>
        <v>0</v>
      </c>
      <c r="AS319" s="150" t="n">
        <f aca="false">(1-ProdFac)*AS456</f>
        <v>0</v>
      </c>
      <c r="AT319" s="150" t="n">
        <f aca="false">(1-ProdFac)*AT456</f>
        <v>0</v>
      </c>
      <c r="AU319" s="150" t="n">
        <f aca="false">(1-ProdFac)*AU456</f>
        <v>0</v>
      </c>
      <c r="AV319" s="150" t="n">
        <f aca="false">(1-ProdFac)*AV456</f>
        <v>0</v>
      </c>
      <c r="AW319" s="150" t="n">
        <f aca="false">(1-ProdFac)*AW456</f>
        <v>0</v>
      </c>
      <c r="AX319" s="150" t="n">
        <f aca="false">(1-ProdFac)*AX456</f>
        <v>0</v>
      </c>
      <c r="AY319" s="150" t="n">
        <f aca="false">(1-ProdFac)*AY456</f>
        <v>0</v>
      </c>
      <c r="AZ319" s="150" t="n">
        <f aca="false">(1-ProdFac)*AZ456</f>
        <v>0</v>
      </c>
      <c r="BA319" s="150" t="n">
        <f aca="false">(1-ProdFac)*BA456</f>
        <v>0</v>
      </c>
      <c r="BB319" s="150" t="n">
        <f aca="false">(1-ProdFac)*BB456</f>
        <v>0</v>
      </c>
    </row>
    <row r="320" customFormat="false" ht="15" hidden="true" customHeight="false" outlineLevel="1" collapsed="false">
      <c r="B320" s="82" t="s">
        <v>212</v>
      </c>
      <c r="C320" s="128" t="s">
        <v>213</v>
      </c>
      <c r="D320" s="128" t="s">
        <v>59</v>
      </c>
      <c r="E320" s="128"/>
      <c r="F320" s="128" t="s">
        <v>59</v>
      </c>
      <c r="G320" s="75"/>
      <c r="H320" s="128"/>
      <c r="I320" s="128"/>
      <c r="J320" s="128"/>
      <c r="K320" s="128"/>
      <c r="L320" s="78" t="n">
        <f aca="false">SUM(S320:BB320)</f>
        <v>0</v>
      </c>
      <c r="M320" s="128"/>
      <c r="N320" s="130" t="str">
        <f aca="false">IF(ISERROR(VLOOKUP(P320,Member_Tab,2,FALSE())),"",VLOOKUP(P320,Member_Tab,2,FALSE()))</f>
        <v/>
      </c>
      <c r="O320" s="130" t="str">
        <f aca="false">IF(ISERROR(VLOOKUP(P320,Member_Tab,3,FALSE())),"",VLOOKUP(P320,Member_Tab,3,FALSE()))</f>
        <v/>
      </c>
      <c r="P320" s="148" t="n">
        <f aca="false">Site!I76</f>
        <v>0</v>
      </c>
      <c r="Q320" s="128"/>
      <c r="R320" s="131"/>
      <c r="S320" s="150" t="n">
        <f aca="false">(1-ProdFac)*S457</f>
        <v>0</v>
      </c>
      <c r="T320" s="150" t="n">
        <f aca="false">(1-ProdFac)*T457</f>
        <v>0</v>
      </c>
      <c r="U320" s="150" t="n">
        <f aca="false">(1-ProdFac)*U457</f>
        <v>0</v>
      </c>
      <c r="V320" s="150" t="n">
        <f aca="false">(1-ProdFac)*V457</f>
        <v>0</v>
      </c>
      <c r="W320" s="150" t="n">
        <f aca="false">(1-ProdFac)*W457</f>
        <v>0</v>
      </c>
      <c r="X320" s="150" t="n">
        <f aca="false">(1-ProdFac)*X457</f>
        <v>0</v>
      </c>
      <c r="Y320" s="150" t="n">
        <f aca="false">(1-ProdFac)*Y457</f>
        <v>0</v>
      </c>
      <c r="Z320" s="150" t="n">
        <f aca="false">(1-ProdFac)*Z457</f>
        <v>0</v>
      </c>
      <c r="AA320" s="150" t="n">
        <f aca="false">(1-ProdFac)*AA457</f>
        <v>0</v>
      </c>
      <c r="AB320" s="150" t="n">
        <f aca="false">(1-ProdFac)*AB457</f>
        <v>0</v>
      </c>
      <c r="AC320" s="150" t="n">
        <f aca="false">(1-ProdFac)*AC457</f>
        <v>0</v>
      </c>
      <c r="AD320" s="150" t="n">
        <f aca="false">(1-ProdFac)*AD457</f>
        <v>0</v>
      </c>
      <c r="AE320" s="150" t="n">
        <f aca="false">(1-ProdFac)*AE457</f>
        <v>0</v>
      </c>
      <c r="AF320" s="150" t="n">
        <f aca="false">(1-ProdFac)*AF457</f>
        <v>0</v>
      </c>
      <c r="AG320" s="150" t="n">
        <f aca="false">(1-ProdFac)*AG457</f>
        <v>0</v>
      </c>
      <c r="AH320" s="150" t="n">
        <f aca="false">(1-ProdFac)*AH457</f>
        <v>0</v>
      </c>
      <c r="AI320" s="150" t="n">
        <f aca="false">(1-ProdFac)*AI457</f>
        <v>0</v>
      </c>
      <c r="AJ320" s="150" t="n">
        <f aca="false">(1-ProdFac)*AJ457</f>
        <v>0</v>
      </c>
      <c r="AK320" s="150" t="n">
        <f aca="false">(1-ProdFac)*AK457</f>
        <v>0</v>
      </c>
      <c r="AL320" s="150" t="n">
        <f aca="false">(1-ProdFac)*AL457</f>
        <v>0</v>
      </c>
      <c r="AM320" s="150" t="n">
        <f aca="false">(1-ProdFac)*AM457</f>
        <v>0</v>
      </c>
      <c r="AN320" s="150" t="n">
        <f aca="false">(1-ProdFac)*AN457</f>
        <v>0</v>
      </c>
      <c r="AO320" s="150" t="n">
        <f aca="false">(1-ProdFac)*AO457</f>
        <v>0</v>
      </c>
      <c r="AP320" s="150" t="n">
        <f aca="false">(1-ProdFac)*AP457</f>
        <v>0</v>
      </c>
      <c r="AQ320" s="150" t="n">
        <f aca="false">(1-ProdFac)*AQ457</f>
        <v>0</v>
      </c>
      <c r="AR320" s="150" t="n">
        <f aca="false">(1-ProdFac)*AR457</f>
        <v>0</v>
      </c>
      <c r="AS320" s="150" t="n">
        <f aca="false">(1-ProdFac)*AS457</f>
        <v>0</v>
      </c>
      <c r="AT320" s="150" t="n">
        <f aca="false">(1-ProdFac)*AT457</f>
        <v>0</v>
      </c>
      <c r="AU320" s="150" t="n">
        <f aca="false">(1-ProdFac)*AU457</f>
        <v>0</v>
      </c>
      <c r="AV320" s="150" t="n">
        <f aca="false">(1-ProdFac)*AV457</f>
        <v>0</v>
      </c>
      <c r="AW320" s="150" t="n">
        <f aca="false">(1-ProdFac)*AW457</f>
        <v>0</v>
      </c>
      <c r="AX320" s="150" t="n">
        <f aca="false">(1-ProdFac)*AX457</f>
        <v>0</v>
      </c>
      <c r="AY320" s="150" t="n">
        <f aca="false">(1-ProdFac)*AY457</f>
        <v>0</v>
      </c>
      <c r="AZ320" s="150" t="n">
        <f aca="false">(1-ProdFac)*AZ457</f>
        <v>0</v>
      </c>
      <c r="BA320" s="150" t="n">
        <f aca="false">(1-ProdFac)*BA457</f>
        <v>0</v>
      </c>
      <c r="BB320" s="150" t="n">
        <f aca="false">(1-ProdFac)*BB457</f>
        <v>0</v>
      </c>
    </row>
    <row r="321" customFormat="false" ht="15" hidden="true" customHeight="false" outlineLevel="1" collapsed="false">
      <c r="B321" s="82" t="s">
        <v>212</v>
      </c>
      <c r="C321" s="128" t="s">
        <v>213</v>
      </c>
      <c r="D321" s="128" t="s">
        <v>59</v>
      </c>
      <c r="E321" s="128"/>
      <c r="F321" s="128" t="s">
        <v>59</v>
      </c>
      <c r="G321" s="75"/>
      <c r="H321" s="128"/>
      <c r="I321" s="128"/>
      <c r="J321" s="128"/>
      <c r="K321" s="128"/>
      <c r="L321" s="78" t="n">
        <f aca="false">SUM(S321:BB321)</f>
        <v>0</v>
      </c>
      <c r="M321" s="128"/>
      <c r="N321" s="130" t="str">
        <f aca="false">IF(ISERROR(VLOOKUP(P321,Member_Tab,2,FALSE())),"",VLOOKUP(P321,Member_Tab,2,FALSE()))</f>
        <v/>
      </c>
      <c r="O321" s="130" t="str">
        <f aca="false">IF(ISERROR(VLOOKUP(P321,Member_Tab,3,FALSE())),"",VLOOKUP(P321,Member_Tab,3,FALSE()))</f>
        <v/>
      </c>
      <c r="P321" s="148" t="n">
        <f aca="false">Site!I77</f>
        <v>0</v>
      </c>
      <c r="Q321" s="128"/>
      <c r="R321" s="131"/>
      <c r="S321" s="150" t="n">
        <f aca="false">(1-ProdFac)*S458</f>
        <v>0</v>
      </c>
      <c r="T321" s="150" t="n">
        <f aca="false">(1-ProdFac)*T458</f>
        <v>0</v>
      </c>
      <c r="U321" s="150" t="n">
        <f aca="false">(1-ProdFac)*U458</f>
        <v>0</v>
      </c>
      <c r="V321" s="150" t="n">
        <f aca="false">(1-ProdFac)*V458</f>
        <v>0</v>
      </c>
      <c r="W321" s="150" t="n">
        <f aca="false">(1-ProdFac)*W458</f>
        <v>0</v>
      </c>
      <c r="X321" s="150" t="n">
        <f aca="false">(1-ProdFac)*X458</f>
        <v>0</v>
      </c>
      <c r="Y321" s="150" t="n">
        <f aca="false">(1-ProdFac)*Y458</f>
        <v>0</v>
      </c>
      <c r="Z321" s="150" t="n">
        <f aca="false">(1-ProdFac)*Z458</f>
        <v>0</v>
      </c>
      <c r="AA321" s="150" t="n">
        <f aca="false">(1-ProdFac)*AA458</f>
        <v>0</v>
      </c>
      <c r="AB321" s="150" t="n">
        <f aca="false">(1-ProdFac)*AB458</f>
        <v>0</v>
      </c>
      <c r="AC321" s="150" t="n">
        <f aca="false">(1-ProdFac)*AC458</f>
        <v>0</v>
      </c>
      <c r="AD321" s="150" t="n">
        <f aca="false">(1-ProdFac)*AD458</f>
        <v>0</v>
      </c>
      <c r="AE321" s="150" t="n">
        <f aca="false">(1-ProdFac)*AE458</f>
        <v>0</v>
      </c>
      <c r="AF321" s="150" t="n">
        <f aca="false">(1-ProdFac)*AF458</f>
        <v>0</v>
      </c>
      <c r="AG321" s="150" t="n">
        <f aca="false">(1-ProdFac)*AG458</f>
        <v>0</v>
      </c>
      <c r="AH321" s="150" t="n">
        <f aca="false">(1-ProdFac)*AH458</f>
        <v>0</v>
      </c>
      <c r="AI321" s="150" t="n">
        <f aca="false">(1-ProdFac)*AI458</f>
        <v>0</v>
      </c>
      <c r="AJ321" s="150" t="n">
        <f aca="false">(1-ProdFac)*AJ458</f>
        <v>0</v>
      </c>
      <c r="AK321" s="150" t="n">
        <f aca="false">(1-ProdFac)*AK458</f>
        <v>0</v>
      </c>
      <c r="AL321" s="150" t="n">
        <f aca="false">(1-ProdFac)*AL458</f>
        <v>0</v>
      </c>
      <c r="AM321" s="150" t="n">
        <f aca="false">(1-ProdFac)*AM458</f>
        <v>0</v>
      </c>
      <c r="AN321" s="150" t="n">
        <f aca="false">(1-ProdFac)*AN458</f>
        <v>0</v>
      </c>
      <c r="AO321" s="150" t="n">
        <f aca="false">(1-ProdFac)*AO458</f>
        <v>0</v>
      </c>
      <c r="AP321" s="150" t="n">
        <f aca="false">(1-ProdFac)*AP458</f>
        <v>0</v>
      </c>
      <c r="AQ321" s="150" t="n">
        <f aca="false">(1-ProdFac)*AQ458</f>
        <v>0</v>
      </c>
      <c r="AR321" s="150" t="n">
        <f aca="false">(1-ProdFac)*AR458</f>
        <v>0</v>
      </c>
      <c r="AS321" s="150" t="n">
        <f aca="false">(1-ProdFac)*AS458</f>
        <v>0</v>
      </c>
      <c r="AT321" s="150" t="n">
        <f aca="false">(1-ProdFac)*AT458</f>
        <v>0</v>
      </c>
      <c r="AU321" s="150" t="n">
        <f aca="false">(1-ProdFac)*AU458</f>
        <v>0</v>
      </c>
      <c r="AV321" s="150" t="n">
        <f aca="false">(1-ProdFac)*AV458</f>
        <v>0</v>
      </c>
      <c r="AW321" s="150" t="n">
        <f aca="false">(1-ProdFac)*AW458</f>
        <v>0</v>
      </c>
      <c r="AX321" s="150" t="n">
        <f aca="false">(1-ProdFac)*AX458</f>
        <v>0</v>
      </c>
      <c r="AY321" s="150" t="n">
        <f aca="false">(1-ProdFac)*AY458</f>
        <v>0</v>
      </c>
      <c r="AZ321" s="150" t="n">
        <f aca="false">(1-ProdFac)*AZ458</f>
        <v>0</v>
      </c>
      <c r="BA321" s="150" t="n">
        <f aca="false">(1-ProdFac)*BA458</f>
        <v>0</v>
      </c>
      <c r="BB321" s="150" t="n">
        <f aca="false">(1-ProdFac)*BB458</f>
        <v>0</v>
      </c>
    </row>
    <row r="322" customFormat="false" ht="15" hidden="true" customHeight="false" outlineLevel="1" collapsed="false">
      <c r="B322" s="82" t="s">
        <v>212</v>
      </c>
      <c r="C322" s="128" t="s">
        <v>213</v>
      </c>
      <c r="D322" s="128" t="s">
        <v>59</v>
      </c>
      <c r="E322" s="128"/>
      <c r="F322" s="128" t="s">
        <v>59</v>
      </c>
      <c r="G322" s="75"/>
      <c r="H322" s="128"/>
      <c r="I322" s="128"/>
      <c r="J322" s="128"/>
      <c r="K322" s="128"/>
      <c r="L322" s="78" t="n">
        <f aca="false">SUM(S322:BB322)</f>
        <v>0</v>
      </c>
      <c r="M322" s="128"/>
      <c r="N322" s="130" t="str">
        <f aca="false">IF(ISERROR(VLOOKUP(P322,Member_Tab,2,FALSE())),"",VLOOKUP(P322,Member_Tab,2,FALSE()))</f>
        <v/>
      </c>
      <c r="O322" s="130" t="str">
        <f aca="false">IF(ISERROR(VLOOKUP(P322,Member_Tab,3,FALSE())),"",VLOOKUP(P322,Member_Tab,3,FALSE()))</f>
        <v/>
      </c>
      <c r="P322" s="148" t="n">
        <f aca="false">Site!I78</f>
        <v>0</v>
      </c>
      <c r="Q322" s="128"/>
      <c r="R322" s="131"/>
      <c r="S322" s="150" t="n">
        <f aca="false">(1-ProdFac)*S459</f>
        <v>0</v>
      </c>
      <c r="T322" s="150" t="n">
        <f aca="false">(1-ProdFac)*T459</f>
        <v>0</v>
      </c>
      <c r="U322" s="150" t="n">
        <f aca="false">(1-ProdFac)*U459</f>
        <v>0</v>
      </c>
      <c r="V322" s="150" t="n">
        <f aca="false">(1-ProdFac)*V459</f>
        <v>0</v>
      </c>
      <c r="W322" s="150" t="n">
        <f aca="false">(1-ProdFac)*W459</f>
        <v>0</v>
      </c>
      <c r="X322" s="150" t="n">
        <f aca="false">(1-ProdFac)*X459</f>
        <v>0</v>
      </c>
      <c r="Y322" s="150" t="n">
        <f aca="false">(1-ProdFac)*Y459</f>
        <v>0</v>
      </c>
      <c r="Z322" s="150" t="n">
        <f aca="false">(1-ProdFac)*Z459</f>
        <v>0</v>
      </c>
      <c r="AA322" s="150" t="n">
        <f aca="false">(1-ProdFac)*AA459</f>
        <v>0</v>
      </c>
      <c r="AB322" s="150" t="n">
        <f aca="false">(1-ProdFac)*AB459</f>
        <v>0</v>
      </c>
      <c r="AC322" s="150" t="n">
        <f aca="false">(1-ProdFac)*AC459</f>
        <v>0</v>
      </c>
      <c r="AD322" s="150" t="n">
        <f aca="false">(1-ProdFac)*AD459</f>
        <v>0</v>
      </c>
      <c r="AE322" s="150" t="n">
        <f aca="false">(1-ProdFac)*AE459</f>
        <v>0</v>
      </c>
      <c r="AF322" s="150" t="n">
        <f aca="false">(1-ProdFac)*AF459</f>
        <v>0</v>
      </c>
      <c r="AG322" s="150" t="n">
        <f aca="false">(1-ProdFac)*AG459</f>
        <v>0</v>
      </c>
      <c r="AH322" s="150" t="n">
        <f aca="false">(1-ProdFac)*AH459</f>
        <v>0</v>
      </c>
      <c r="AI322" s="150" t="n">
        <f aca="false">(1-ProdFac)*AI459</f>
        <v>0</v>
      </c>
      <c r="AJ322" s="150" t="n">
        <f aca="false">(1-ProdFac)*AJ459</f>
        <v>0</v>
      </c>
      <c r="AK322" s="150" t="n">
        <f aca="false">(1-ProdFac)*AK459</f>
        <v>0</v>
      </c>
      <c r="AL322" s="150" t="n">
        <f aca="false">(1-ProdFac)*AL459</f>
        <v>0</v>
      </c>
      <c r="AM322" s="150" t="n">
        <f aca="false">(1-ProdFac)*AM459</f>
        <v>0</v>
      </c>
      <c r="AN322" s="150" t="n">
        <f aca="false">(1-ProdFac)*AN459</f>
        <v>0</v>
      </c>
      <c r="AO322" s="150" t="n">
        <f aca="false">(1-ProdFac)*AO459</f>
        <v>0</v>
      </c>
      <c r="AP322" s="150" t="n">
        <f aca="false">(1-ProdFac)*AP459</f>
        <v>0</v>
      </c>
      <c r="AQ322" s="150" t="n">
        <f aca="false">(1-ProdFac)*AQ459</f>
        <v>0</v>
      </c>
      <c r="AR322" s="150" t="n">
        <f aca="false">(1-ProdFac)*AR459</f>
        <v>0</v>
      </c>
      <c r="AS322" s="150" t="n">
        <f aca="false">(1-ProdFac)*AS459</f>
        <v>0</v>
      </c>
      <c r="AT322" s="150" t="n">
        <f aca="false">(1-ProdFac)*AT459</f>
        <v>0</v>
      </c>
      <c r="AU322" s="150" t="n">
        <f aca="false">(1-ProdFac)*AU459</f>
        <v>0</v>
      </c>
      <c r="AV322" s="150" t="n">
        <f aca="false">(1-ProdFac)*AV459</f>
        <v>0</v>
      </c>
      <c r="AW322" s="150" t="n">
        <f aca="false">(1-ProdFac)*AW459</f>
        <v>0</v>
      </c>
      <c r="AX322" s="150" t="n">
        <f aca="false">(1-ProdFac)*AX459</f>
        <v>0</v>
      </c>
      <c r="AY322" s="150" t="n">
        <f aca="false">(1-ProdFac)*AY459</f>
        <v>0</v>
      </c>
      <c r="AZ322" s="150" t="n">
        <f aca="false">(1-ProdFac)*AZ459</f>
        <v>0</v>
      </c>
      <c r="BA322" s="150" t="n">
        <f aca="false">(1-ProdFac)*BA459</f>
        <v>0</v>
      </c>
      <c r="BB322" s="150" t="n">
        <f aca="false">(1-ProdFac)*BB459</f>
        <v>0</v>
      </c>
    </row>
    <row r="323" customFormat="false" ht="15" hidden="true" customHeight="false" outlineLevel="1" collapsed="false">
      <c r="B323" s="82" t="s">
        <v>212</v>
      </c>
      <c r="C323" s="128" t="s">
        <v>213</v>
      </c>
      <c r="D323" s="128" t="s">
        <v>59</v>
      </c>
      <c r="E323" s="128"/>
      <c r="F323" s="128" t="s">
        <v>59</v>
      </c>
      <c r="G323" s="75"/>
      <c r="H323" s="128"/>
      <c r="I323" s="128"/>
      <c r="J323" s="128"/>
      <c r="K323" s="128"/>
      <c r="L323" s="78" t="n">
        <f aca="false">SUM(S323:BB323)</f>
        <v>0</v>
      </c>
      <c r="M323" s="128"/>
      <c r="N323" s="130" t="str">
        <f aca="false">IF(ISERROR(VLOOKUP(P323,Member_Tab,2,FALSE())),"",VLOOKUP(P323,Member_Tab,2,FALSE()))</f>
        <v/>
      </c>
      <c r="O323" s="130" t="str">
        <f aca="false">IF(ISERROR(VLOOKUP(P323,Member_Tab,3,FALSE())),"",VLOOKUP(P323,Member_Tab,3,FALSE()))</f>
        <v/>
      </c>
      <c r="P323" s="148" t="n">
        <f aca="false">Site!I79</f>
        <v>0</v>
      </c>
      <c r="Q323" s="128"/>
      <c r="R323" s="131"/>
      <c r="S323" s="150" t="n">
        <f aca="false">(1-ProdFac)*S460</f>
        <v>0</v>
      </c>
      <c r="T323" s="150" t="n">
        <f aca="false">(1-ProdFac)*T460</f>
        <v>0</v>
      </c>
      <c r="U323" s="150" t="n">
        <f aca="false">(1-ProdFac)*U460</f>
        <v>0</v>
      </c>
      <c r="V323" s="150" t="n">
        <f aca="false">(1-ProdFac)*V460</f>
        <v>0</v>
      </c>
      <c r="W323" s="150" t="n">
        <f aca="false">(1-ProdFac)*W460</f>
        <v>0</v>
      </c>
      <c r="X323" s="150" t="n">
        <f aca="false">(1-ProdFac)*X460</f>
        <v>0</v>
      </c>
      <c r="Y323" s="150" t="n">
        <f aca="false">(1-ProdFac)*Y460</f>
        <v>0</v>
      </c>
      <c r="Z323" s="150" t="n">
        <f aca="false">(1-ProdFac)*Z460</f>
        <v>0</v>
      </c>
      <c r="AA323" s="150" t="n">
        <f aca="false">(1-ProdFac)*AA460</f>
        <v>0</v>
      </c>
      <c r="AB323" s="150" t="n">
        <f aca="false">(1-ProdFac)*AB460</f>
        <v>0</v>
      </c>
      <c r="AC323" s="150" t="n">
        <f aca="false">(1-ProdFac)*AC460</f>
        <v>0</v>
      </c>
      <c r="AD323" s="150" t="n">
        <f aca="false">(1-ProdFac)*AD460</f>
        <v>0</v>
      </c>
      <c r="AE323" s="150" t="n">
        <f aca="false">(1-ProdFac)*AE460</f>
        <v>0</v>
      </c>
      <c r="AF323" s="150" t="n">
        <f aca="false">(1-ProdFac)*AF460</f>
        <v>0</v>
      </c>
      <c r="AG323" s="150" t="n">
        <f aca="false">(1-ProdFac)*AG460</f>
        <v>0</v>
      </c>
      <c r="AH323" s="150" t="n">
        <f aca="false">(1-ProdFac)*AH460</f>
        <v>0</v>
      </c>
      <c r="AI323" s="150" t="n">
        <f aca="false">(1-ProdFac)*AI460</f>
        <v>0</v>
      </c>
      <c r="AJ323" s="150" t="n">
        <f aca="false">(1-ProdFac)*AJ460</f>
        <v>0</v>
      </c>
      <c r="AK323" s="150" t="n">
        <f aca="false">(1-ProdFac)*AK460</f>
        <v>0</v>
      </c>
      <c r="AL323" s="150" t="n">
        <f aca="false">(1-ProdFac)*AL460</f>
        <v>0</v>
      </c>
      <c r="AM323" s="150" t="n">
        <f aca="false">(1-ProdFac)*AM460</f>
        <v>0</v>
      </c>
      <c r="AN323" s="150" t="n">
        <f aca="false">(1-ProdFac)*AN460</f>
        <v>0</v>
      </c>
      <c r="AO323" s="150" t="n">
        <f aca="false">(1-ProdFac)*AO460</f>
        <v>0</v>
      </c>
      <c r="AP323" s="150" t="n">
        <f aca="false">(1-ProdFac)*AP460</f>
        <v>0</v>
      </c>
      <c r="AQ323" s="150" t="n">
        <f aca="false">(1-ProdFac)*AQ460</f>
        <v>0</v>
      </c>
      <c r="AR323" s="150" t="n">
        <f aca="false">(1-ProdFac)*AR460</f>
        <v>0</v>
      </c>
      <c r="AS323" s="150" t="n">
        <f aca="false">(1-ProdFac)*AS460</f>
        <v>0</v>
      </c>
      <c r="AT323" s="150" t="n">
        <f aca="false">(1-ProdFac)*AT460</f>
        <v>0</v>
      </c>
      <c r="AU323" s="150" t="n">
        <f aca="false">(1-ProdFac)*AU460</f>
        <v>0</v>
      </c>
      <c r="AV323" s="150" t="n">
        <f aca="false">(1-ProdFac)*AV460</f>
        <v>0</v>
      </c>
      <c r="AW323" s="150" t="n">
        <f aca="false">(1-ProdFac)*AW460</f>
        <v>0</v>
      </c>
      <c r="AX323" s="150" t="n">
        <f aca="false">(1-ProdFac)*AX460</f>
        <v>0</v>
      </c>
      <c r="AY323" s="150" t="n">
        <f aca="false">(1-ProdFac)*AY460</f>
        <v>0</v>
      </c>
      <c r="AZ323" s="150" t="n">
        <f aca="false">(1-ProdFac)*AZ460</f>
        <v>0</v>
      </c>
      <c r="BA323" s="150" t="n">
        <f aca="false">(1-ProdFac)*BA460</f>
        <v>0</v>
      </c>
      <c r="BB323" s="150" t="n">
        <f aca="false">(1-ProdFac)*BB460</f>
        <v>0</v>
      </c>
    </row>
    <row r="324" customFormat="false" ht="15" hidden="true" customHeight="false" outlineLevel="1" collapsed="false">
      <c r="B324" s="82" t="s">
        <v>212</v>
      </c>
      <c r="C324" s="128" t="s">
        <v>213</v>
      </c>
      <c r="D324" s="128" t="s">
        <v>59</v>
      </c>
      <c r="E324" s="128"/>
      <c r="F324" s="128" t="s">
        <v>59</v>
      </c>
      <c r="G324" s="75"/>
      <c r="H324" s="128"/>
      <c r="I324" s="128"/>
      <c r="J324" s="128"/>
      <c r="K324" s="128"/>
      <c r="L324" s="78" t="n">
        <f aca="false">SUM(S324:BB324)</f>
        <v>0</v>
      </c>
      <c r="M324" s="128"/>
      <c r="N324" s="130" t="str">
        <f aca="false">IF(ISERROR(VLOOKUP(P324,Member_Tab,2,FALSE())),"",VLOOKUP(P324,Member_Tab,2,FALSE()))</f>
        <v/>
      </c>
      <c r="O324" s="130" t="str">
        <f aca="false">IF(ISERROR(VLOOKUP(P324,Member_Tab,3,FALSE())),"",VLOOKUP(P324,Member_Tab,3,FALSE()))</f>
        <v/>
      </c>
      <c r="P324" s="148" t="n">
        <f aca="false">Site!I80</f>
        <v>0</v>
      </c>
      <c r="Q324" s="128"/>
      <c r="R324" s="131"/>
      <c r="S324" s="150" t="n">
        <f aca="false">(1-ProdFac)*S461</f>
        <v>0</v>
      </c>
      <c r="T324" s="150" t="n">
        <f aca="false">(1-ProdFac)*T461</f>
        <v>0</v>
      </c>
      <c r="U324" s="150" t="n">
        <f aca="false">(1-ProdFac)*U461</f>
        <v>0</v>
      </c>
      <c r="V324" s="150" t="n">
        <f aca="false">(1-ProdFac)*V461</f>
        <v>0</v>
      </c>
      <c r="W324" s="150" t="n">
        <f aca="false">(1-ProdFac)*W461</f>
        <v>0</v>
      </c>
      <c r="X324" s="150" t="n">
        <f aca="false">(1-ProdFac)*X461</f>
        <v>0</v>
      </c>
      <c r="Y324" s="150" t="n">
        <f aca="false">(1-ProdFac)*Y461</f>
        <v>0</v>
      </c>
      <c r="Z324" s="150" t="n">
        <f aca="false">(1-ProdFac)*Z461</f>
        <v>0</v>
      </c>
      <c r="AA324" s="150" t="n">
        <f aca="false">(1-ProdFac)*AA461</f>
        <v>0</v>
      </c>
      <c r="AB324" s="150" t="n">
        <f aca="false">(1-ProdFac)*AB461</f>
        <v>0</v>
      </c>
      <c r="AC324" s="150" t="n">
        <f aca="false">(1-ProdFac)*AC461</f>
        <v>0</v>
      </c>
      <c r="AD324" s="150" t="n">
        <f aca="false">(1-ProdFac)*AD461</f>
        <v>0</v>
      </c>
      <c r="AE324" s="150" t="n">
        <f aca="false">(1-ProdFac)*AE461</f>
        <v>0</v>
      </c>
      <c r="AF324" s="150" t="n">
        <f aca="false">(1-ProdFac)*AF461</f>
        <v>0</v>
      </c>
      <c r="AG324" s="150" t="n">
        <f aca="false">(1-ProdFac)*AG461</f>
        <v>0</v>
      </c>
      <c r="AH324" s="150" t="n">
        <f aca="false">(1-ProdFac)*AH461</f>
        <v>0</v>
      </c>
      <c r="AI324" s="150" t="n">
        <f aca="false">(1-ProdFac)*AI461</f>
        <v>0</v>
      </c>
      <c r="AJ324" s="150" t="n">
        <f aca="false">(1-ProdFac)*AJ461</f>
        <v>0</v>
      </c>
      <c r="AK324" s="150" t="n">
        <f aca="false">(1-ProdFac)*AK461</f>
        <v>0</v>
      </c>
      <c r="AL324" s="150" t="n">
        <f aca="false">(1-ProdFac)*AL461</f>
        <v>0</v>
      </c>
      <c r="AM324" s="150" t="n">
        <f aca="false">(1-ProdFac)*AM461</f>
        <v>0</v>
      </c>
      <c r="AN324" s="150" t="n">
        <f aca="false">(1-ProdFac)*AN461</f>
        <v>0</v>
      </c>
      <c r="AO324" s="150" t="n">
        <f aca="false">(1-ProdFac)*AO461</f>
        <v>0</v>
      </c>
      <c r="AP324" s="150" t="n">
        <f aca="false">(1-ProdFac)*AP461</f>
        <v>0</v>
      </c>
      <c r="AQ324" s="150" t="n">
        <f aca="false">(1-ProdFac)*AQ461</f>
        <v>0</v>
      </c>
      <c r="AR324" s="150" t="n">
        <f aca="false">(1-ProdFac)*AR461</f>
        <v>0</v>
      </c>
      <c r="AS324" s="150" t="n">
        <f aca="false">(1-ProdFac)*AS461</f>
        <v>0</v>
      </c>
      <c r="AT324" s="150" t="n">
        <f aca="false">(1-ProdFac)*AT461</f>
        <v>0</v>
      </c>
      <c r="AU324" s="150" t="n">
        <f aca="false">(1-ProdFac)*AU461</f>
        <v>0</v>
      </c>
      <c r="AV324" s="150" t="n">
        <f aca="false">(1-ProdFac)*AV461</f>
        <v>0</v>
      </c>
      <c r="AW324" s="150" t="n">
        <f aca="false">(1-ProdFac)*AW461</f>
        <v>0</v>
      </c>
      <c r="AX324" s="150" t="n">
        <f aca="false">(1-ProdFac)*AX461</f>
        <v>0</v>
      </c>
      <c r="AY324" s="150" t="n">
        <f aca="false">(1-ProdFac)*AY461</f>
        <v>0</v>
      </c>
      <c r="AZ324" s="150" t="n">
        <f aca="false">(1-ProdFac)*AZ461</f>
        <v>0</v>
      </c>
      <c r="BA324" s="150" t="n">
        <f aca="false">(1-ProdFac)*BA461</f>
        <v>0</v>
      </c>
      <c r="BB324" s="150" t="n">
        <f aca="false">(1-ProdFac)*BB461</f>
        <v>0</v>
      </c>
    </row>
    <row r="325" customFormat="false" ht="15" hidden="true" customHeight="false" outlineLevel="1" collapsed="false">
      <c r="B325" s="82" t="s">
        <v>212</v>
      </c>
      <c r="C325" s="128" t="s">
        <v>213</v>
      </c>
      <c r="D325" s="128" t="s">
        <v>59</v>
      </c>
      <c r="E325" s="128"/>
      <c r="F325" s="128" t="s">
        <v>59</v>
      </c>
      <c r="G325" s="75"/>
      <c r="H325" s="128"/>
      <c r="I325" s="128"/>
      <c r="J325" s="128"/>
      <c r="K325" s="128"/>
      <c r="L325" s="78" t="n">
        <f aca="false">SUM(S325:BB325)</f>
        <v>0</v>
      </c>
      <c r="M325" s="128"/>
      <c r="N325" s="130" t="str">
        <f aca="false">IF(ISERROR(VLOOKUP(P325,Member_Tab,2,FALSE())),"",VLOOKUP(P325,Member_Tab,2,FALSE()))</f>
        <v/>
      </c>
      <c r="O325" s="130" t="str">
        <f aca="false">IF(ISERROR(VLOOKUP(P325,Member_Tab,3,FALSE())),"",VLOOKUP(P325,Member_Tab,3,FALSE()))</f>
        <v/>
      </c>
      <c r="P325" s="148" t="n">
        <f aca="false">Site!I81</f>
        <v>0</v>
      </c>
      <c r="Q325" s="128"/>
      <c r="R325" s="131"/>
      <c r="S325" s="150" t="n">
        <f aca="false">(1-ProdFac)*S462</f>
        <v>0</v>
      </c>
      <c r="T325" s="150" t="n">
        <f aca="false">(1-ProdFac)*T462</f>
        <v>0</v>
      </c>
      <c r="U325" s="150" t="n">
        <f aca="false">(1-ProdFac)*U462</f>
        <v>0</v>
      </c>
      <c r="V325" s="150" t="n">
        <f aca="false">(1-ProdFac)*V462</f>
        <v>0</v>
      </c>
      <c r="W325" s="150" t="n">
        <f aca="false">(1-ProdFac)*W462</f>
        <v>0</v>
      </c>
      <c r="X325" s="150" t="n">
        <f aca="false">(1-ProdFac)*X462</f>
        <v>0</v>
      </c>
      <c r="Y325" s="150" t="n">
        <f aca="false">(1-ProdFac)*Y462</f>
        <v>0</v>
      </c>
      <c r="Z325" s="150" t="n">
        <f aca="false">(1-ProdFac)*Z462</f>
        <v>0</v>
      </c>
      <c r="AA325" s="150" t="n">
        <f aca="false">(1-ProdFac)*AA462</f>
        <v>0</v>
      </c>
      <c r="AB325" s="150" t="n">
        <f aca="false">(1-ProdFac)*AB462</f>
        <v>0</v>
      </c>
      <c r="AC325" s="150" t="n">
        <f aca="false">(1-ProdFac)*AC462</f>
        <v>0</v>
      </c>
      <c r="AD325" s="150" t="n">
        <f aca="false">(1-ProdFac)*AD462</f>
        <v>0</v>
      </c>
      <c r="AE325" s="150" t="n">
        <f aca="false">(1-ProdFac)*AE462</f>
        <v>0</v>
      </c>
      <c r="AF325" s="150" t="n">
        <f aca="false">(1-ProdFac)*AF462</f>
        <v>0</v>
      </c>
      <c r="AG325" s="150" t="n">
        <f aca="false">(1-ProdFac)*AG462</f>
        <v>0</v>
      </c>
      <c r="AH325" s="150" t="n">
        <f aca="false">(1-ProdFac)*AH462</f>
        <v>0</v>
      </c>
      <c r="AI325" s="150" t="n">
        <f aca="false">(1-ProdFac)*AI462</f>
        <v>0</v>
      </c>
      <c r="AJ325" s="150" t="n">
        <f aca="false">(1-ProdFac)*AJ462</f>
        <v>0</v>
      </c>
      <c r="AK325" s="150" t="n">
        <f aca="false">(1-ProdFac)*AK462</f>
        <v>0</v>
      </c>
      <c r="AL325" s="150" t="n">
        <f aca="false">(1-ProdFac)*AL462</f>
        <v>0</v>
      </c>
      <c r="AM325" s="150" t="n">
        <f aca="false">(1-ProdFac)*AM462</f>
        <v>0</v>
      </c>
      <c r="AN325" s="150" t="n">
        <f aca="false">(1-ProdFac)*AN462</f>
        <v>0</v>
      </c>
      <c r="AO325" s="150" t="n">
        <f aca="false">(1-ProdFac)*AO462</f>
        <v>0</v>
      </c>
      <c r="AP325" s="150" t="n">
        <f aca="false">(1-ProdFac)*AP462</f>
        <v>0</v>
      </c>
      <c r="AQ325" s="150" t="n">
        <f aca="false">(1-ProdFac)*AQ462</f>
        <v>0</v>
      </c>
      <c r="AR325" s="150" t="n">
        <f aca="false">(1-ProdFac)*AR462</f>
        <v>0</v>
      </c>
      <c r="AS325" s="150" t="n">
        <f aca="false">(1-ProdFac)*AS462</f>
        <v>0</v>
      </c>
      <c r="AT325" s="150" t="n">
        <f aca="false">(1-ProdFac)*AT462</f>
        <v>0</v>
      </c>
      <c r="AU325" s="150" t="n">
        <f aca="false">(1-ProdFac)*AU462</f>
        <v>0</v>
      </c>
      <c r="AV325" s="150" t="n">
        <f aca="false">(1-ProdFac)*AV462</f>
        <v>0</v>
      </c>
      <c r="AW325" s="150" t="n">
        <f aca="false">(1-ProdFac)*AW462</f>
        <v>0</v>
      </c>
      <c r="AX325" s="150" t="n">
        <f aca="false">(1-ProdFac)*AX462</f>
        <v>0</v>
      </c>
      <c r="AY325" s="150" t="n">
        <f aca="false">(1-ProdFac)*AY462</f>
        <v>0</v>
      </c>
      <c r="AZ325" s="150" t="n">
        <f aca="false">(1-ProdFac)*AZ462</f>
        <v>0</v>
      </c>
      <c r="BA325" s="150" t="n">
        <f aca="false">(1-ProdFac)*BA462</f>
        <v>0</v>
      </c>
      <c r="BB325" s="150" t="n">
        <f aca="false">(1-ProdFac)*BB462</f>
        <v>0</v>
      </c>
    </row>
    <row r="326" customFormat="false" ht="15" hidden="true" customHeight="false" outlineLevel="1" collapsed="false">
      <c r="B326" s="82" t="s">
        <v>212</v>
      </c>
      <c r="C326" s="128" t="s">
        <v>213</v>
      </c>
      <c r="D326" s="128" t="s">
        <v>59</v>
      </c>
      <c r="E326" s="128"/>
      <c r="F326" s="128" t="s">
        <v>59</v>
      </c>
      <c r="G326" s="75"/>
      <c r="H326" s="128"/>
      <c r="I326" s="128"/>
      <c r="J326" s="128"/>
      <c r="K326" s="128"/>
      <c r="L326" s="78" t="n">
        <f aca="false">SUM(S326:BB326)</f>
        <v>0</v>
      </c>
      <c r="M326" s="128"/>
      <c r="N326" s="130" t="str">
        <f aca="false">IF(ISERROR(VLOOKUP(P326,Member_Tab,2,FALSE())),"",VLOOKUP(P326,Member_Tab,2,FALSE()))</f>
        <v/>
      </c>
      <c r="O326" s="130" t="str">
        <f aca="false">IF(ISERROR(VLOOKUP(P326,Member_Tab,3,FALSE())),"",VLOOKUP(P326,Member_Tab,3,FALSE()))</f>
        <v/>
      </c>
      <c r="P326" s="148" t="n">
        <f aca="false">Site!I82</f>
        <v>0</v>
      </c>
      <c r="Q326" s="128"/>
      <c r="R326" s="131"/>
      <c r="S326" s="150" t="n">
        <f aca="false">(1-ProdFac)*S463</f>
        <v>0</v>
      </c>
      <c r="T326" s="150" t="n">
        <f aca="false">(1-ProdFac)*T463</f>
        <v>0</v>
      </c>
      <c r="U326" s="150" t="n">
        <f aca="false">(1-ProdFac)*U463</f>
        <v>0</v>
      </c>
      <c r="V326" s="150" t="n">
        <f aca="false">(1-ProdFac)*V463</f>
        <v>0</v>
      </c>
      <c r="W326" s="150" t="n">
        <f aca="false">(1-ProdFac)*W463</f>
        <v>0</v>
      </c>
      <c r="X326" s="150" t="n">
        <f aca="false">(1-ProdFac)*X463</f>
        <v>0</v>
      </c>
      <c r="Y326" s="150" t="n">
        <f aca="false">(1-ProdFac)*Y463</f>
        <v>0</v>
      </c>
      <c r="Z326" s="150" t="n">
        <f aca="false">(1-ProdFac)*Z463</f>
        <v>0</v>
      </c>
      <c r="AA326" s="150" t="n">
        <f aca="false">(1-ProdFac)*AA463</f>
        <v>0</v>
      </c>
      <c r="AB326" s="150" t="n">
        <f aca="false">(1-ProdFac)*AB463</f>
        <v>0</v>
      </c>
      <c r="AC326" s="150" t="n">
        <f aca="false">(1-ProdFac)*AC463</f>
        <v>0</v>
      </c>
      <c r="AD326" s="150" t="n">
        <f aca="false">(1-ProdFac)*AD463</f>
        <v>0</v>
      </c>
      <c r="AE326" s="150" t="n">
        <f aca="false">(1-ProdFac)*AE463</f>
        <v>0</v>
      </c>
      <c r="AF326" s="150" t="n">
        <f aca="false">(1-ProdFac)*AF463</f>
        <v>0</v>
      </c>
      <c r="AG326" s="150" t="n">
        <f aca="false">(1-ProdFac)*AG463</f>
        <v>0</v>
      </c>
      <c r="AH326" s="150" t="n">
        <f aca="false">(1-ProdFac)*AH463</f>
        <v>0</v>
      </c>
      <c r="AI326" s="150" t="n">
        <f aca="false">(1-ProdFac)*AI463</f>
        <v>0</v>
      </c>
      <c r="AJ326" s="150" t="n">
        <f aca="false">(1-ProdFac)*AJ463</f>
        <v>0</v>
      </c>
      <c r="AK326" s="150" t="n">
        <f aca="false">(1-ProdFac)*AK463</f>
        <v>0</v>
      </c>
      <c r="AL326" s="150" t="n">
        <f aca="false">(1-ProdFac)*AL463</f>
        <v>0</v>
      </c>
      <c r="AM326" s="150" t="n">
        <f aca="false">(1-ProdFac)*AM463</f>
        <v>0</v>
      </c>
      <c r="AN326" s="150" t="n">
        <f aca="false">(1-ProdFac)*AN463</f>
        <v>0</v>
      </c>
      <c r="AO326" s="150" t="n">
        <f aca="false">(1-ProdFac)*AO463</f>
        <v>0</v>
      </c>
      <c r="AP326" s="150" t="n">
        <f aca="false">(1-ProdFac)*AP463</f>
        <v>0</v>
      </c>
      <c r="AQ326" s="150" t="n">
        <f aca="false">(1-ProdFac)*AQ463</f>
        <v>0</v>
      </c>
      <c r="AR326" s="150" t="n">
        <f aca="false">(1-ProdFac)*AR463</f>
        <v>0</v>
      </c>
      <c r="AS326" s="150" t="n">
        <f aca="false">(1-ProdFac)*AS463</f>
        <v>0</v>
      </c>
      <c r="AT326" s="150" t="n">
        <f aca="false">(1-ProdFac)*AT463</f>
        <v>0</v>
      </c>
      <c r="AU326" s="150" t="n">
        <f aca="false">(1-ProdFac)*AU463</f>
        <v>0</v>
      </c>
      <c r="AV326" s="150" t="n">
        <f aca="false">(1-ProdFac)*AV463</f>
        <v>0</v>
      </c>
      <c r="AW326" s="150" t="n">
        <f aca="false">(1-ProdFac)*AW463</f>
        <v>0</v>
      </c>
      <c r="AX326" s="150" t="n">
        <f aca="false">(1-ProdFac)*AX463</f>
        <v>0</v>
      </c>
      <c r="AY326" s="150" t="n">
        <f aca="false">(1-ProdFac)*AY463</f>
        <v>0</v>
      </c>
      <c r="AZ326" s="150" t="n">
        <f aca="false">(1-ProdFac)*AZ463</f>
        <v>0</v>
      </c>
      <c r="BA326" s="150" t="n">
        <f aca="false">(1-ProdFac)*BA463</f>
        <v>0</v>
      </c>
      <c r="BB326" s="150" t="n">
        <f aca="false">(1-ProdFac)*BB463</f>
        <v>0</v>
      </c>
    </row>
    <row r="327" customFormat="false" ht="15" hidden="true" customHeight="false" outlineLevel="1" collapsed="false">
      <c r="B327" s="82" t="s">
        <v>212</v>
      </c>
      <c r="C327" s="128" t="s">
        <v>213</v>
      </c>
      <c r="D327" s="128" t="s">
        <v>59</v>
      </c>
      <c r="E327" s="128"/>
      <c r="F327" s="128" t="s">
        <v>59</v>
      </c>
      <c r="G327" s="75"/>
      <c r="H327" s="128"/>
      <c r="I327" s="128"/>
      <c r="J327" s="128"/>
      <c r="K327" s="128"/>
      <c r="L327" s="78" t="n">
        <f aca="false">SUM(S327:BB327)</f>
        <v>0</v>
      </c>
      <c r="M327" s="128"/>
      <c r="N327" s="130" t="str">
        <f aca="false">IF(ISERROR(VLOOKUP(P327,Member_Tab,2,FALSE())),"",VLOOKUP(P327,Member_Tab,2,FALSE()))</f>
        <v/>
      </c>
      <c r="O327" s="130" t="str">
        <f aca="false">IF(ISERROR(VLOOKUP(P327,Member_Tab,3,FALSE())),"",VLOOKUP(P327,Member_Tab,3,FALSE()))</f>
        <v/>
      </c>
      <c r="P327" s="148" t="n">
        <f aca="false">Site!I83</f>
        <v>0</v>
      </c>
      <c r="Q327" s="128"/>
      <c r="R327" s="131"/>
      <c r="S327" s="150" t="n">
        <f aca="false">(1-ProdFac)*S464</f>
        <v>0</v>
      </c>
      <c r="T327" s="150" t="n">
        <f aca="false">(1-ProdFac)*T464</f>
        <v>0</v>
      </c>
      <c r="U327" s="150" t="n">
        <f aca="false">(1-ProdFac)*U464</f>
        <v>0</v>
      </c>
      <c r="V327" s="150" t="n">
        <f aca="false">(1-ProdFac)*V464</f>
        <v>0</v>
      </c>
      <c r="W327" s="150" t="n">
        <f aca="false">(1-ProdFac)*W464</f>
        <v>0</v>
      </c>
      <c r="X327" s="150" t="n">
        <f aca="false">(1-ProdFac)*X464</f>
        <v>0</v>
      </c>
      <c r="Y327" s="150" t="n">
        <f aca="false">(1-ProdFac)*Y464</f>
        <v>0</v>
      </c>
      <c r="Z327" s="150" t="n">
        <f aca="false">(1-ProdFac)*Z464</f>
        <v>0</v>
      </c>
      <c r="AA327" s="150" t="n">
        <f aca="false">(1-ProdFac)*AA464</f>
        <v>0</v>
      </c>
      <c r="AB327" s="150" t="n">
        <f aca="false">(1-ProdFac)*AB464</f>
        <v>0</v>
      </c>
      <c r="AC327" s="150" t="n">
        <f aca="false">(1-ProdFac)*AC464</f>
        <v>0</v>
      </c>
      <c r="AD327" s="150" t="n">
        <f aca="false">(1-ProdFac)*AD464</f>
        <v>0</v>
      </c>
      <c r="AE327" s="150" t="n">
        <f aca="false">(1-ProdFac)*AE464</f>
        <v>0</v>
      </c>
      <c r="AF327" s="150" t="n">
        <f aca="false">(1-ProdFac)*AF464</f>
        <v>0</v>
      </c>
      <c r="AG327" s="150" t="n">
        <f aca="false">(1-ProdFac)*AG464</f>
        <v>0</v>
      </c>
      <c r="AH327" s="150" t="n">
        <f aca="false">(1-ProdFac)*AH464</f>
        <v>0</v>
      </c>
      <c r="AI327" s="150" t="n">
        <f aca="false">(1-ProdFac)*AI464</f>
        <v>0</v>
      </c>
      <c r="AJ327" s="150" t="n">
        <f aca="false">(1-ProdFac)*AJ464</f>
        <v>0</v>
      </c>
      <c r="AK327" s="150" t="n">
        <f aca="false">(1-ProdFac)*AK464</f>
        <v>0</v>
      </c>
      <c r="AL327" s="150" t="n">
        <f aca="false">(1-ProdFac)*AL464</f>
        <v>0</v>
      </c>
      <c r="AM327" s="150" t="n">
        <f aca="false">(1-ProdFac)*AM464</f>
        <v>0</v>
      </c>
      <c r="AN327" s="150" t="n">
        <f aca="false">(1-ProdFac)*AN464</f>
        <v>0</v>
      </c>
      <c r="AO327" s="150" t="n">
        <f aca="false">(1-ProdFac)*AO464</f>
        <v>0</v>
      </c>
      <c r="AP327" s="150" t="n">
        <f aca="false">(1-ProdFac)*AP464</f>
        <v>0</v>
      </c>
      <c r="AQ327" s="150" t="n">
        <f aca="false">(1-ProdFac)*AQ464</f>
        <v>0</v>
      </c>
      <c r="AR327" s="150" t="n">
        <f aca="false">(1-ProdFac)*AR464</f>
        <v>0</v>
      </c>
      <c r="AS327" s="150" t="n">
        <f aca="false">(1-ProdFac)*AS464</f>
        <v>0</v>
      </c>
      <c r="AT327" s="150" t="n">
        <f aca="false">(1-ProdFac)*AT464</f>
        <v>0</v>
      </c>
      <c r="AU327" s="150" t="n">
        <f aca="false">(1-ProdFac)*AU464</f>
        <v>0</v>
      </c>
      <c r="AV327" s="150" t="n">
        <f aca="false">(1-ProdFac)*AV464</f>
        <v>0</v>
      </c>
      <c r="AW327" s="150" t="n">
        <f aca="false">(1-ProdFac)*AW464</f>
        <v>0</v>
      </c>
      <c r="AX327" s="150" t="n">
        <f aca="false">(1-ProdFac)*AX464</f>
        <v>0</v>
      </c>
      <c r="AY327" s="150" t="n">
        <f aca="false">(1-ProdFac)*AY464</f>
        <v>0</v>
      </c>
      <c r="AZ327" s="150" t="n">
        <f aca="false">(1-ProdFac)*AZ464</f>
        <v>0</v>
      </c>
      <c r="BA327" s="150" t="n">
        <f aca="false">(1-ProdFac)*BA464</f>
        <v>0</v>
      </c>
      <c r="BB327" s="150" t="n">
        <f aca="false">(1-ProdFac)*BB464</f>
        <v>0</v>
      </c>
    </row>
    <row r="328" customFormat="false" ht="15" hidden="true" customHeight="false" outlineLevel="1" collapsed="false">
      <c r="B328" s="82" t="s">
        <v>212</v>
      </c>
      <c r="C328" s="128" t="s">
        <v>213</v>
      </c>
      <c r="D328" s="128" t="s">
        <v>59</v>
      </c>
      <c r="E328" s="128"/>
      <c r="F328" s="128" t="s">
        <v>59</v>
      </c>
      <c r="G328" s="75"/>
      <c r="H328" s="128"/>
      <c r="I328" s="128"/>
      <c r="J328" s="128"/>
      <c r="K328" s="128"/>
      <c r="L328" s="78" t="n">
        <f aca="false">SUM(S328:BB328)</f>
        <v>0</v>
      </c>
      <c r="M328" s="128"/>
      <c r="N328" s="130" t="str">
        <f aca="false">IF(ISERROR(VLOOKUP(P328,Member_Tab,2,FALSE())),"",VLOOKUP(P328,Member_Tab,2,FALSE()))</f>
        <v/>
      </c>
      <c r="O328" s="130" t="str">
        <f aca="false">IF(ISERROR(VLOOKUP(P328,Member_Tab,3,FALSE())),"",VLOOKUP(P328,Member_Tab,3,FALSE()))</f>
        <v/>
      </c>
      <c r="P328" s="148" t="n">
        <f aca="false">Site!I84</f>
        <v>0</v>
      </c>
      <c r="Q328" s="128"/>
      <c r="R328" s="131"/>
      <c r="S328" s="150" t="n">
        <f aca="false">(1-ProdFac)*S465</f>
        <v>0</v>
      </c>
      <c r="T328" s="150" t="n">
        <f aca="false">(1-ProdFac)*T465</f>
        <v>0</v>
      </c>
      <c r="U328" s="150" t="n">
        <f aca="false">(1-ProdFac)*U465</f>
        <v>0</v>
      </c>
      <c r="V328" s="150" t="n">
        <f aca="false">(1-ProdFac)*V465</f>
        <v>0</v>
      </c>
      <c r="W328" s="150" t="n">
        <f aca="false">(1-ProdFac)*W465</f>
        <v>0</v>
      </c>
      <c r="X328" s="150" t="n">
        <f aca="false">(1-ProdFac)*X465</f>
        <v>0</v>
      </c>
      <c r="Y328" s="150" t="n">
        <f aca="false">(1-ProdFac)*Y465</f>
        <v>0</v>
      </c>
      <c r="Z328" s="150" t="n">
        <f aca="false">(1-ProdFac)*Z465</f>
        <v>0</v>
      </c>
      <c r="AA328" s="150" t="n">
        <f aca="false">(1-ProdFac)*AA465</f>
        <v>0</v>
      </c>
      <c r="AB328" s="150" t="n">
        <f aca="false">(1-ProdFac)*AB465</f>
        <v>0</v>
      </c>
      <c r="AC328" s="150" t="n">
        <f aca="false">(1-ProdFac)*AC465</f>
        <v>0</v>
      </c>
      <c r="AD328" s="150" t="n">
        <f aca="false">(1-ProdFac)*AD465</f>
        <v>0</v>
      </c>
      <c r="AE328" s="150" t="n">
        <f aca="false">(1-ProdFac)*AE465</f>
        <v>0</v>
      </c>
      <c r="AF328" s="150" t="n">
        <f aca="false">(1-ProdFac)*AF465</f>
        <v>0</v>
      </c>
      <c r="AG328" s="150" t="n">
        <f aca="false">(1-ProdFac)*AG465</f>
        <v>0</v>
      </c>
      <c r="AH328" s="150" t="n">
        <f aca="false">(1-ProdFac)*AH465</f>
        <v>0</v>
      </c>
      <c r="AI328" s="150" t="n">
        <f aca="false">(1-ProdFac)*AI465</f>
        <v>0</v>
      </c>
      <c r="AJ328" s="150" t="n">
        <f aca="false">(1-ProdFac)*AJ465</f>
        <v>0</v>
      </c>
      <c r="AK328" s="150" t="n">
        <f aca="false">(1-ProdFac)*AK465</f>
        <v>0</v>
      </c>
      <c r="AL328" s="150" t="n">
        <f aca="false">(1-ProdFac)*AL465</f>
        <v>0</v>
      </c>
      <c r="AM328" s="150" t="n">
        <f aca="false">(1-ProdFac)*AM465</f>
        <v>0</v>
      </c>
      <c r="AN328" s="150" t="n">
        <f aca="false">(1-ProdFac)*AN465</f>
        <v>0</v>
      </c>
      <c r="AO328" s="150" t="n">
        <f aca="false">(1-ProdFac)*AO465</f>
        <v>0</v>
      </c>
      <c r="AP328" s="150" t="n">
        <f aca="false">(1-ProdFac)*AP465</f>
        <v>0</v>
      </c>
      <c r="AQ328" s="150" t="n">
        <f aca="false">(1-ProdFac)*AQ465</f>
        <v>0</v>
      </c>
      <c r="AR328" s="150" t="n">
        <f aca="false">(1-ProdFac)*AR465</f>
        <v>0</v>
      </c>
      <c r="AS328" s="150" t="n">
        <f aca="false">(1-ProdFac)*AS465</f>
        <v>0</v>
      </c>
      <c r="AT328" s="150" t="n">
        <f aca="false">(1-ProdFac)*AT465</f>
        <v>0</v>
      </c>
      <c r="AU328" s="150" t="n">
        <f aca="false">(1-ProdFac)*AU465</f>
        <v>0</v>
      </c>
      <c r="AV328" s="150" t="n">
        <f aca="false">(1-ProdFac)*AV465</f>
        <v>0</v>
      </c>
      <c r="AW328" s="150" t="n">
        <f aca="false">(1-ProdFac)*AW465</f>
        <v>0</v>
      </c>
      <c r="AX328" s="150" t="n">
        <f aca="false">(1-ProdFac)*AX465</f>
        <v>0</v>
      </c>
      <c r="AY328" s="150" t="n">
        <f aca="false">(1-ProdFac)*AY465</f>
        <v>0</v>
      </c>
      <c r="AZ328" s="150" t="n">
        <f aca="false">(1-ProdFac)*AZ465</f>
        <v>0</v>
      </c>
      <c r="BA328" s="150" t="n">
        <f aca="false">(1-ProdFac)*BA465</f>
        <v>0</v>
      </c>
      <c r="BB328" s="150" t="n">
        <f aca="false">(1-ProdFac)*BB465</f>
        <v>0</v>
      </c>
    </row>
    <row r="329" customFormat="false" ht="15" hidden="true" customHeight="false" outlineLevel="1" collapsed="false">
      <c r="B329" s="82" t="s">
        <v>212</v>
      </c>
      <c r="C329" s="128" t="s">
        <v>213</v>
      </c>
      <c r="D329" s="128" t="s">
        <v>59</v>
      </c>
      <c r="E329" s="128"/>
      <c r="F329" s="128" t="s">
        <v>59</v>
      </c>
      <c r="G329" s="75"/>
      <c r="H329" s="128"/>
      <c r="I329" s="128"/>
      <c r="J329" s="128"/>
      <c r="K329" s="128"/>
      <c r="L329" s="78" t="n">
        <f aca="false">SUM(S329:BB329)</f>
        <v>0</v>
      </c>
      <c r="M329" s="128"/>
      <c r="N329" s="130" t="str">
        <f aca="false">IF(ISERROR(VLOOKUP(P329,Member_Tab,2,FALSE())),"",VLOOKUP(P329,Member_Tab,2,FALSE()))</f>
        <v/>
      </c>
      <c r="O329" s="130" t="str">
        <f aca="false">IF(ISERROR(VLOOKUP(P329,Member_Tab,3,FALSE())),"",VLOOKUP(P329,Member_Tab,3,FALSE()))</f>
        <v/>
      </c>
      <c r="P329" s="148" t="n">
        <f aca="false">Site!I85</f>
        <v>0</v>
      </c>
      <c r="Q329" s="128"/>
      <c r="R329" s="131"/>
      <c r="S329" s="150" t="n">
        <f aca="false">(1-ProdFac)*S466</f>
        <v>0</v>
      </c>
      <c r="T329" s="150" t="n">
        <f aca="false">(1-ProdFac)*T466</f>
        <v>0</v>
      </c>
      <c r="U329" s="150" t="n">
        <f aca="false">(1-ProdFac)*U466</f>
        <v>0</v>
      </c>
      <c r="V329" s="150" t="n">
        <f aca="false">(1-ProdFac)*V466</f>
        <v>0</v>
      </c>
      <c r="W329" s="150" t="n">
        <f aca="false">(1-ProdFac)*W466</f>
        <v>0</v>
      </c>
      <c r="X329" s="150" t="n">
        <f aca="false">(1-ProdFac)*X466</f>
        <v>0</v>
      </c>
      <c r="Y329" s="150" t="n">
        <f aca="false">(1-ProdFac)*Y466</f>
        <v>0</v>
      </c>
      <c r="Z329" s="150" t="n">
        <f aca="false">(1-ProdFac)*Z466</f>
        <v>0</v>
      </c>
      <c r="AA329" s="150" t="n">
        <f aca="false">(1-ProdFac)*AA466</f>
        <v>0</v>
      </c>
      <c r="AB329" s="150" t="n">
        <f aca="false">(1-ProdFac)*AB466</f>
        <v>0</v>
      </c>
      <c r="AC329" s="150" t="n">
        <f aca="false">(1-ProdFac)*AC466</f>
        <v>0</v>
      </c>
      <c r="AD329" s="150" t="n">
        <f aca="false">(1-ProdFac)*AD466</f>
        <v>0</v>
      </c>
      <c r="AE329" s="150" t="n">
        <f aca="false">(1-ProdFac)*AE466</f>
        <v>0</v>
      </c>
      <c r="AF329" s="150" t="n">
        <f aca="false">(1-ProdFac)*AF466</f>
        <v>0</v>
      </c>
      <c r="AG329" s="150" t="n">
        <f aca="false">(1-ProdFac)*AG466</f>
        <v>0</v>
      </c>
      <c r="AH329" s="150" t="n">
        <f aca="false">(1-ProdFac)*AH466</f>
        <v>0</v>
      </c>
      <c r="AI329" s="150" t="n">
        <f aca="false">(1-ProdFac)*AI466</f>
        <v>0</v>
      </c>
      <c r="AJ329" s="150" t="n">
        <f aca="false">(1-ProdFac)*AJ466</f>
        <v>0</v>
      </c>
      <c r="AK329" s="150" t="n">
        <f aca="false">(1-ProdFac)*AK466</f>
        <v>0</v>
      </c>
      <c r="AL329" s="150" t="n">
        <f aca="false">(1-ProdFac)*AL466</f>
        <v>0</v>
      </c>
      <c r="AM329" s="150" t="n">
        <f aca="false">(1-ProdFac)*AM466</f>
        <v>0</v>
      </c>
      <c r="AN329" s="150" t="n">
        <f aca="false">(1-ProdFac)*AN466</f>
        <v>0</v>
      </c>
      <c r="AO329" s="150" t="n">
        <f aca="false">(1-ProdFac)*AO466</f>
        <v>0</v>
      </c>
      <c r="AP329" s="150" t="n">
        <f aca="false">(1-ProdFac)*AP466</f>
        <v>0</v>
      </c>
      <c r="AQ329" s="150" t="n">
        <f aca="false">(1-ProdFac)*AQ466</f>
        <v>0</v>
      </c>
      <c r="AR329" s="150" t="n">
        <f aca="false">(1-ProdFac)*AR466</f>
        <v>0</v>
      </c>
      <c r="AS329" s="150" t="n">
        <f aca="false">(1-ProdFac)*AS466</f>
        <v>0</v>
      </c>
      <c r="AT329" s="150" t="n">
        <f aca="false">(1-ProdFac)*AT466</f>
        <v>0</v>
      </c>
      <c r="AU329" s="150" t="n">
        <f aca="false">(1-ProdFac)*AU466</f>
        <v>0</v>
      </c>
      <c r="AV329" s="150" t="n">
        <f aca="false">(1-ProdFac)*AV466</f>
        <v>0</v>
      </c>
      <c r="AW329" s="150" t="n">
        <f aca="false">(1-ProdFac)*AW466</f>
        <v>0</v>
      </c>
      <c r="AX329" s="150" t="n">
        <f aca="false">(1-ProdFac)*AX466</f>
        <v>0</v>
      </c>
      <c r="AY329" s="150" t="n">
        <f aca="false">(1-ProdFac)*AY466</f>
        <v>0</v>
      </c>
      <c r="AZ329" s="150" t="n">
        <f aca="false">(1-ProdFac)*AZ466</f>
        <v>0</v>
      </c>
      <c r="BA329" s="150" t="n">
        <f aca="false">(1-ProdFac)*BA466</f>
        <v>0</v>
      </c>
      <c r="BB329" s="150" t="n">
        <f aca="false">(1-ProdFac)*BB466</f>
        <v>0</v>
      </c>
    </row>
    <row r="330" customFormat="false" ht="15" hidden="true" customHeight="false" outlineLevel="1" collapsed="false">
      <c r="B330" s="82" t="s">
        <v>212</v>
      </c>
      <c r="C330" s="128" t="s">
        <v>213</v>
      </c>
      <c r="D330" s="128" t="s">
        <v>59</v>
      </c>
      <c r="E330" s="128"/>
      <c r="F330" s="128" t="s">
        <v>59</v>
      </c>
      <c r="G330" s="75"/>
      <c r="H330" s="128"/>
      <c r="I330" s="128"/>
      <c r="J330" s="128"/>
      <c r="K330" s="128"/>
      <c r="L330" s="78" t="n">
        <f aca="false">SUM(S330:BB330)</f>
        <v>0</v>
      </c>
      <c r="M330" s="128"/>
      <c r="N330" s="130" t="str">
        <f aca="false">IF(ISERROR(VLOOKUP(P330,Member_Tab,2,FALSE())),"",VLOOKUP(P330,Member_Tab,2,FALSE()))</f>
        <v/>
      </c>
      <c r="O330" s="130" t="str">
        <f aca="false">IF(ISERROR(VLOOKUP(P330,Member_Tab,3,FALSE())),"",VLOOKUP(P330,Member_Tab,3,FALSE()))</f>
        <v/>
      </c>
      <c r="P330" s="148" t="n">
        <f aca="false">Site!I86</f>
        <v>0</v>
      </c>
      <c r="Q330" s="128"/>
      <c r="R330" s="131"/>
      <c r="S330" s="150" t="n">
        <f aca="false">(1-ProdFac)*S467</f>
        <v>0</v>
      </c>
      <c r="T330" s="150" t="n">
        <f aca="false">(1-ProdFac)*T467</f>
        <v>0</v>
      </c>
      <c r="U330" s="150" t="n">
        <f aca="false">(1-ProdFac)*U467</f>
        <v>0</v>
      </c>
      <c r="V330" s="150" t="n">
        <f aca="false">(1-ProdFac)*V467</f>
        <v>0</v>
      </c>
      <c r="W330" s="150" t="n">
        <f aca="false">(1-ProdFac)*W467</f>
        <v>0</v>
      </c>
      <c r="X330" s="150" t="n">
        <f aca="false">(1-ProdFac)*X467</f>
        <v>0</v>
      </c>
      <c r="Y330" s="150" t="n">
        <f aca="false">(1-ProdFac)*Y467</f>
        <v>0</v>
      </c>
      <c r="Z330" s="150" t="n">
        <f aca="false">(1-ProdFac)*Z467</f>
        <v>0</v>
      </c>
      <c r="AA330" s="150" t="n">
        <f aca="false">(1-ProdFac)*AA467</f>
        <v>0</v>
      </c>
      <c r="AB330" s="150" t="n">
        <f aca="false">(1-ProdFac)*AB467</f>
        <v>0</v>
      </c>
      <c r="AC330" s="150" t="n">
        <f aca="false">(1-ProdFac)*AC467</f>
        <v>0</v>
      </c>
      <c r="AD330" s="150" t="n">
        <f aca="false">(1-ProdFac)*AD467</f>
        <v>0</v>
      </c>
      <c r="AE330" s="150" t="n">
        <f aca="false">(1-ProdFac)*AE467</f>
        <v>0</v>
      </c>
      <c r="AF330" s="150" t="n">
        <f aca="false">(1-ProdFac)*AF467</f>
        <v>0</v>
      </c>
      <c r="AG330" s="150" t="n">
        <f aca="false">(1-ProdFac)*AG467</f>
        <v>0</v>
      </c>
      <c r="AH330" s="150" t="n">
        <f aca="false">(1-ProdFac)*AH467</f>
        <v>0</v>
      </c>
      <c r="AI330" s="150" t="n">
        <f aca="false">(1-ProdFac)*AI467</f>
        <v>0</v>
      </c>
      <c r="AJ330" s="150" t="n">
        <f aca="false">(1-ProdFac)*AJ467</f>
        <v>0</v>
      </c>
      <c r="AK330" s="150" t="n">
        <f aca="false">(1-ProdFac)*AK467</f>
        <v>0</v>
      </c>
      <c r="AL330" s="150" t="n">
        <f aca="false">(1-ProdFac)*AL467</f>
        <v>0</v>
      </c>
      <c r="AM330" s="150" t="n">
        <f aca="false">(1-ProdFac)*AM467</f>
        <v>0</v>
      </c>
      <c r="AN330" s="150" t="n">
        <f aca="false">(1-ProdFac)*AN467</f>
        <v>0</v>
      </c>
      <c r="AO330" s="150" t="n">
        <f aca="false">(1-ProdFac)*AO467</f>
        <v>0</v>
      </c>
      <c r="AP330" s="150" t="n">
        <f aca="false">(1-ProdFac)*AP467</f>
        <v>0</v>
      </c>
      <c r="AQ330" s="150" t="n">
        <f aca="false">(1-ProdFac)*AQ467</f>
        <v>0</v>
      </c>
      <c r="AR330" s="150" t="n">
        <f aca="false">(1-ProdFac)*AR467</f>
        <v>0</v>
      </c>
      <c r="AS330" s="150" t="n">
        <f aca="false">(1-ProdFac)*AS467</f>
        <v>0</v>
      </c>
      <c r="AT330" s="150" t="n">
        <f aca="false">(1-ProdFac)*AT467</f>
        <v>0</v>
      </c>
      <c r="AU330" s="150" t="n">
        <f aca="false">(1-ProdFac)*AU467</f>
        <v>0</v>
      </c>
      <c r="AV330" s="150" t="n">
        <f aca="false">(1-ProdFac)*AV467</f>
        <v>0</v>
      </c>
      <c r="AW330" s="150" t="n">
        <f aca="false">(1-ProdFac)*AW467</f>
        <v>0</v>
      </c>
      <c r="AX330" s="150" t="n">
        <f aca="false">(1-ProdFac)*AX467</f>
        <v>0</v>
      </c>
      <c r="AY330" s="150" t="n">
        <f aca="false">(1-ProdFac)*AY467</f>
        <v>0</v>
      </c>
      <c r="AZ330" s="150" t="n">
        <f aca="false">(1-ProdFac)*AZ467</f>
        <v>0</v>
      </c>
      <c r="BA330" s="150" t="n">
        <f aca="false">(1-ProdFac)*BA467</f>
        <v>0</v>
      </c>
      <c r="BB330" s="150" t="n">
        <f aca="false">(1-ProdFac)*BB467</f>
        <v>0</v>
      </c>
    </row>
    <row r="331" customFormat="false" ht="15" hidden="true" customHeight="false" outlineLevel="1" collapsed="false">
      <c r="B331" s="82" t="s">
        <v>212</v>
      </c>
      <c r="C331" s="128" t="s">
        <v>213</v>
      </c>
      <c r="D331" s="128" t="s">
        <v>59</v>
      </c>
      <c r="E331" s="128"/>
      <c r="F331" s="128" t="s">
        <v>59</v>
      </c>
      <c r="G331" s="75"/>
      <c r="H331" s="128"/>
      <c r="I331" s="128"/>
      <c r="J331" s="128"/>
      <c r="K331" s="128"/>
      <c r="L331" s="78" t="n">
        <f aca="false">SUM(S331:BB331)</f>
        <v>0</v>
      </c>
      <c r="M331" s="128"/>
      <c r="N331" s="130" t="str">
        <f aca="false">IF(ISERROR(VLOOKUP(P331,Member_Tab,2,FALSE())),"",VLOOKUP(P331,Member_Tab,2,FALSE()))</f>
        <v/>
      </c>
      <c r="O331" s="130" t="str">
        <f aca="false">IF(ISERROR(VLOOKUP(P331,Member_Tab,3,FALSE())),"",VLOOKUP(P331,Member_Tab,3,FALSE()))</f>
        <v/>
      </c>
      <c r="P331" s="148" t="n">
        <f aca="false">Site!I87</f>
        <v>0</v>
      </c>
      <c r="Q331" s="128"/>
      <c r="R331" s="131"/>
      <c r="S331" s="150" t="n">
        <f aca="false">(1-ProdFac)*S468</f>
        <v>0</v>
      </c>
      <c r="T331" s="150" t="n">
        <f aca="false">(1-ProdFac)*T468</f>
        <v>0</v>
      </c>
      <c r="U331" s="150" t="n">
        <f aca="false">(1-ProdFac)*U468</f>
        <v>0</v>
      </c>
      <c r="V331" s="150" t="n">
        <f aca="false">(1-ProdFac)*V468</f>
        <v>0</v>
      </c>
      <c r="W331" s="150" t="n">
        <f aca="false">(1-ProdFac)*W468</f>
        <v>0</v>
      </c>
      <c r="X331" s="150" t="n">
        <f aca="false">(1-ProdFac)*X468</f>
        <v>0</v>
      </c>
      <c r="Y331" s="150" t="n">
        <f aca="false">(1-ProdFac)*Y468</f>
        <v>0</v>
      </c>
      <c r="Z331" s="150" t="n">
        <f aca="false">(1-ProdFac)*Z468</f>
        <v>0</v>
      </c>
      <c r="AA331" s="150" t="n">
        <f aca="false">(1-ProdFac)*AA468</f>
        <v>0</v>
      </c>
      <c r="AB331" s="150" t="n">
        <f aca="false">(1-ProdFac)*AB468</f>
        <v>0</v>
      </c>
      <c r="AC331" s="150" t="n">
        <f aca="false">(1-ProdFac)*AC468</f>
        <v>0</v>
      </c>
      <c r="AD331" s="150" t="n">
        <f aca="false">(1-ProdFac)*AD468</f>
        <v>0</v>
      </c>
      <c r="AE331" s="150" t="n">
        <f aca="false">(1-ProdFac)*AE468</f>
        <v>0</v>
      </c>
      <c r="AF331" s="150" t="n">
        <f aca="false">(1-ProdFac)*AF468</f>
        <v>0</v>
      </c>
      <c r="AG331" s="150" t="n">
        <f aca="false">(1-ProdFac)*AG468</f>
        <v>0</v>
      </c>
      <c r="AH331" s="150" t="n">
        <f aca="false">(1-ProdFac)*AH468</f>
        <v>0</v>
      </c>
      <c r="AI331" s="150" t="n">
        <f aca="false">(1-ProdFac)*AI468</f>
        <v>0</v>
      </c>
      <c r="AJ331" s="150" t="n">
        <f aca="false">(1-ProdFac)*AJ468</f>
        <v>0</v>
      </c>
      <c r="AK331" s="150" t="n">
        <f aca="false">(1-ProdFac)*AK468</f>
        <v>0</v>
      </c>
      <c r="AL331" s="150" t="n">
        <f aca="false">(1-ProdFac)*AL468</f>
        <v>0</v>
      </c>
      <c r="AM331" s="150" t="n">
        <f aca="false">(1-ProdFac)*AM468</f>
        <v>0</v>
      </c>
      <c r="AN331" s="150" t="n">
        <f aca="false">(1-ProdFac)*AN468</f>
        <v>0</v>
      </c>
      <c r="AO331" s="150" t="n">
        <f aca="false">(1-ProdFac)*AO468</f>
        <v>0</v>
      </c>
      <c r="AP331" s="150" t="n">
        <f aca="false">(1-ProdFac)*AP468</f>
        <v>0</v>
      </c>
      <c r="AQ331" s="150" t="n">
        <f aca="false">(1-ProdFac)*AQ468</f>
        <v>0</v>
      </c>
      <c r="AR331" s="150" t="n">
        <f aca="false">(1-ProdFac)*AR468</f>
        <v>0</v>
      </c>
      <c r="AS331" s="150" t="n">
        <f aca="false">(1-ProdFac)*AS468</f>
        <v>0</v>
      </c>
      <c r="AT331" s="150" t="n">
        <f aca="false">(1-ProdFac)*AT468</f>
        <v>0</v>
      </c>
      <c r="AU331" s="150" t="n">
        <f aca="false">(1-ProdFac)*AU468</f>
        <v>0</v>
      </c>
      <c r="AV331" s="150" t="n">
        <f aca="false">(1-ProdFac)*AV468</f>
        <v>0</v>
      </c>
      <c r="AW331" s="150" t="n">
        <f aca="false">(1-ProdFac)*AW468</f>
        <v>0</v>
      </c>
      <c r="AX331" s="150" t="n">
        <f aca="false">(1-ProdFac)*AX468</f>
        <v>0</v>
      </c>
      <c r="AY331" s="150" t="n">
        <f aca="false">(1-ProdFac)*AY468</f>
        <v>0</v>
      </c>
      <c r="AZ331" s="150" t="n">
        <f aca="false">(1-ProdFac)*AZ468</f>
        <v>0</v>
      </c>
      <c r="BA331" s="150" t="n">
        <f aca="false">(1-ProdFac)*BA468</f>
        <v>0</v>
      </c>
      <c r="BB331" s="150" t="n">
        <f aca="false">(1-ProdFac)*BB468</f>
        <v>0</v>
      </c>
    </row>
    <row r="332" customFormat="false" ht="15" hidden="true" customHeight="false" outlineLevel="1" collapsed="false">
      <c r="B332" s="82" t="s">
        <v>212</v>
      </c>
      <c r="C332" s="128" t="s">
        <v>213</v>
      </c>
      <c r="D332" s="128" t="s">
        <v>59</v>
      </c>
      <c r="E332" s="128"/>
      <c r="F332" s="128" t="s">
        <v>59</v>
      </c>
      <c r="G332" s="75"/>
      <c r="H332" s="128"/>
      <c r="I332" s="128"/>
      <c r="J332" s="128"/>
      <c r="K332" s="128"/>
      <c r="L332" s="78" t="n">
        <f aca="false">SUM(S332:BB332)</f>
        <v>0</v>
      </c>
      <c r="M332" s="128"/>
      <c r="N332" s="130" t="str">
        <f aca="false">IF(ISERROR(VLOOKUP(P332,Member_Tab,2,FALSE())),"",VLOOKUP(P332,Member_Tab,2,FALSE()))</f>
        <v/>
      </c>
      <c r="O332" s="130" t="str">
        <f aca="false">IF(ISERROR(VLOOKUP(P332,Member_Tab,3,FALSE())),"",VLOOKUP(P332,Member_Tab,3,FALSE()))</f>
        <v/>
      </c>
      <c r="P332" s="148" t="n">
        <f aca="false">Site!I88</f>
        <v>0</v>
      </c>
      <c r="Q332" s="128"/>
      <c r="R332" s="131"/>
      <c r="S332" s="150" t="n">
        <f aca="false">(1-ProdFac)*S469</f>
        <v>0</v>
      </c>
      <c r="T332" s="150" t="n">
        <f aca="false">(1-ProdFac)*T469</f>
        <v>0</v>
      </c>
      <c r="U332" s="150" t="n">
        <f aca="false">(1-ProdFac)*U469</f>
        <v>0</v>
      </c>
      <c r="V332" s="150" t="n">
        <f aca="false">(1-ProdFac)*V469</f>
        <v>0</v>
      </c>
      <c r="W332" s="150" t="n">
        <f aca="false">(1-ProdFac)*W469</f>
        <v>0</v>
      </c>
      <c r="X332" s="150" t="n">
        <f aca="false">(1-ProdFac)*X469</f>
        <v>0</v>
      </c>
      <c r="Y332" s="150" t="n">
        <f aca="false">(1-ProdFac)*Y469</f>
        <v>0</v>
      </c>
      <c r="Z332" s="150" t="n">
        <f aca="false">(1-ProdFac)*Z469</f>
        <v>0</v>
      </c>
      <c r="AA332" s="150" t="n">
        <f aca="false">(1-ProdFac)*AA469</f>
        <v>0</v>
      </c>
      <c r="AB332" s="150" t="n">
        <f aca="false">(1-ProdFac)*AB469</f>
        <v>0</v>
      </c>
      <c r="AC332" s="150" t="n">
        <f aca="false">(1-ProdFac)*AC469</f>
        <v>0</v>
      </c>
      <c r="AD332" s="150" t="n">
        <f aca="false">(1-ProdFac)*AD469</f>
        <v>0</v>
      </c>
      <c r="AE332" s="150" t="n">
        <f aca="false">(1-ProdFac)*AE469</f>
        <v>0</v>
      </c>
      <c r="AF332" s="150" t="n">
        <f aca="false">(1-ProdFac)*AF469</f>
        <v>0</v>
      </c>
      <c r="AG332" s="150" t="n">
        <f aca="false">(1-ProdFac)*AG469</f>
        <v>0</v>
      </c>
      <c r="AH332" s="150" t="n">
        <f aca="false">(1-ProdFac)*AH469</f>
        <v>0</v>
      </c>
      <c r="AI332" s="150" t="n">
        <f aca="false">(1-ProdFac)*AI469</f>
        <v>0</v>
      </c>
      <c r="AJ332" s="150" t="n">
        <f aca="false">(1-ProdFac)*AJ469</f>
        <v>0</v>
      </c>
      <c r="AK332" s="150" t="n">
        <f aca="false">(1-ProdFac)*AK469</f>
        <v>0</v>
      </c>
      <c r="AL332" s="150" t="n">
        <f aca="false">(1-ProdFac)*AL469</f>
        <v>0</v>
      </c>
      <c r="AM332" s="150" t="n">
        <f aca="false">(1-ProdFac)*AM469</f>
        <v>0</v>
      </c>
      <c r="AN332" s="150" t="n">
        <f aca="false">(1-ProdFac)*AN469</f>
        <v>0</v>
      </c>
      <c r="AO332" s="150" t="n">
        <f aca="false">(1-ProdFac)*AO469</f>
        <v>0</v>
      </c>
      <c r="AP332" s="150" t="n">
        <f aca="false">(1-ProdFac)*AP469</f>
        <v>0</v>
      </c>
      <c r="AQ332" s="150" t="n">
        <f aca="false">(1-ProdFac)*AQ469</f>
        <v>0</v>
      </c>
      <c r="AR332" s="150" t="n">
        <f aca="false">(1-ProdFac)*AR469</f>
        <v>0</v>
      </c>
      <c r="AS332" s="150" t="n">
        <f aca="false">(1-ProdFac)*AS469</f>
        <v>0</v>
      </c>
      <c r="AT332" s="150" t="n">
        <f aca="false">(1-ProdFac)*AT469</f>
        <v>0</v>
      </c>
      <c r="AU332" s="150" t="n">
        <f aca="false">(1-ProdFac)*AU469</f>
        <v>0</v>
      </c>
      <c r="AV332" s="150" t="n">
        <f aca="false">(1-ProdFac)*AV469</f>
        <v>0</v>
      </c>
      <c r="AW332" s="150" t="n">
        <f aca="false">(1-ProdFac)*AW469</f>
        <v>0</v>
      </c>
      <c r="AX332" s="150" t="n">
        <f aca="false">(1-ProdFac)*AX469</f>
        <v>0</v>
      </c>
      <c r="AY332" s="150" t="n">
        <f aca="false">(1-ProdFac)*AY469</f>
        <v>0</v>
      </c>
      <c r="AZ332" s="150" t="n">
        <f aca="false">(1-ProdFac)*AZ469</f>
        <v>0</v>
      </c>
      <c r="BA332" s="150" t="n">
        <f aca="false">(1-ProdFac)*BA469</f>
        <v>0</v>
      </c>
      <c r="BB332" s="150" t="n">
        <f aca="false">(1-ProdFac)*BB469</f>
        <v>0</v>
      </c>
    </row>
    <row r="333" customFormat="false" ht="15" hidden="true" customHeight="false" outlineLevel="1" collapsed="false">
      <c r="B333" s="82" t="s">
        <v>212</v>
      </c>
      <c r="C333" s="128" t="s">
        <v>213</v>
      </c>
      <c r="D333" s="128" t="s">
        <v>59</v>
      </c>
      <c r="E333" s="128"/>
      <c r="F333" s="128" t="s">
        <v>59</v>
      </c>
      <c r="G333" s="75"/>
      <c r="H333" s="128"/>
      <c r="I333" s="128"/>
      <c r="J333" s="128"/>
      <c r="K333" s="128"/>
      <c r="L333" s="78" t="n">
        <f aca="false">SUM(S333:BB333)</f>
        <v>0</v>
      </c>
      <c r="M333" s="128"/>
      <c r="N333" s="130" t="str">
        <f aca="false">IF(ISERROR(VLOOKUP(P333,Member_Tab,2,FALSE())),"",VLOOKUP(P333,Member_Tab,2,FALSE()))</f>
        <v/>
      </c>
      <c r="O333" s="130" t="str">
        <f aca="false">IF(ISERROR(VLOOKUP(P333,Member_Tab,3,FALSE())),"",VLOOKUP(P333,Member_Tab,3,FALSE()))</f>
        <v/>
      </c>
      <c r="P333" s="148" t="n">
        <f aca="false">Site!I89</f>
        <v>0</v>
      </c>
      <c r="Q333" s="128"/>
      <c r="R333" s="131"/>
      <c r="S333" s="150" t="n">
        <f aca="false">(1-ProdFac)*S470</f>
        <v>0</v>
      </c>
      <c r="T333" s="150" t="n">
        <f aca="false">(1-ProdFac)*T470</f>
        <v>0</v>
      </c>
      <c r="U333" s="150" t="n">
        <f aca="false">(1-ProdFac)*U470</f>
        <v>0</v>
      </c>
      <c r="V333" s="150" t="n">
        <f aca="false">(1-ProdFac)*V470</f>
        <v>0</v>
      </c>
      <c r="W333" s="150" t="n">
        <f aca="false">(1-ProdFac)*W470</f>
        <v>0</v>
      </c>
      <c r="X333" s="150" t="n">
        <f aca="false">(1-ProdFac)*X470</f>
        <v>0</v>
      </c>
      <c r="Y333" s="150" t="n">
        <f aca="false">(1-ProdFac)*Y470</f>
        <v>0</v>
      </c>
      <c r="Z333" s="150" t="n">
        <f aca="false">(1-ProdFac)*Z470</f>
        <v>0</v>
      </c>
      <c r="AA333" s="150" t="n">
        <f aca="false">(1-ProdFac)*AA470</f>
        <v>0</v>
      </c>
      <c r="AB333" s="150" t="n">
        <f aca="false">(1-ProdFac)*AB470</f>
        <v>0</v>
      </c>
      <c r="AC333" s="150" t="n">
        <f aca="false">(1-ProdFac)*AC470</f>
        <v>0</v>
      </c>
      <c r="AD333" s="150" t="n">
        <f aca="false">(1-ProdFac)*AD470</f>
        <v>0</v>
      </c>
      <c r="AE333" s="150" t="n">
        <f aca="false">(1-ProdFac)*AE470</f>
        <v>0</v>
      </c>
      <c r="AF333" s="150" t="n">
        <f aca="false">(1-ProdFac)*AF470</f>
        <v>0</v>
      </c>
      <c r="AG333" s="150" t="n">
        <f aca="false">(1-ProdFac)*AG470</f>
        <v>0</v>
      </c>
      <c r="AH333" s="150" t="n">
        <f aca="false">(1-ProdFac)*AH470</f>
        <v>0</v>
      </c>
      <c r="AI333" s="150" t="n">
        <f aca="false">(1-ProdFac)*AI470</f>
        <v>0</v>
      </c>
      <c r="AJ333" s="150" t="n">
        <f aca="false">(1-ProdFac)*AJ470</f>
        <v>0</v>
      </c>
      <c r="AK333" s="150" t="n">
        <f aca="false">(1-ProdFac)*AK470</f>
        <v>0</v>
      </c>
      <c r="AL333" s="150" t="n">
        <f aca="false">(1-ProdFac)*AL470</f>
        <v>0</v>
      </c>
      <c r="AM333" s="150" t="n">
        <f aca="false">(1-ProdFac)*AM470</f>
        <v>0</v>
      </c>
      <c r="AN333" s="150" t="n">
        <f aca="false">(1-ProdFac)*AN470</f>
        <v>0</v>
      </c>
      <c r="AO333" s="150" t="n">
        <f aca="false">(1-ProdFac)*AO470</f>
        <v>0</v>
      </c>
      <c r="AP333" s="150" t="n">
        <f aca="false">(1-ProdFac)*AP470</f>
        <v>0</v>
      </c>
      <c r="AQ333" s="150" t="n">
        <f aca="false">(1-ProdFac)*AQ470</f>
        <v>0</v>
      </c>
      <c r="AR333" s="150" t="n">
        <f aca="false">(1-ProdFac)*AR470</f>
        <v>0</v>
      </c>
      <c r="AS333" s="150" t="n">
        <f aca="false">(1-ProdFac)*AS470</f>
        <v>0</v>
      </c>
      <c r="AT333" s="150" t="n">
        <f aca="false">(1-ProdFac)*AT470</f>
        <v>0</v>
      </c>
      <c r="AU333" s="150" t="n">
        <f aca="false">(1-ProdFac)*AU470</f>
        <v>0</v>
      </c>
      <c r="AV333" s="150" t="n">
        <f aca="false">(1-ProdFac)*AV470</f>
        <v>0</v>
      </c>
      <c r="AW333" s="150" t="n">
        <f aca="false">(1-ProdFac)*AW470</f>
        <v>0</v>
      </c>
      <c r="AX333" s="150" t="n">
        <f aca="false">(1-ProdFac)*AX470</f>
        <v>0</v>
      </c>
      <c r="AY333" s="150" t="n">
        <f aca="false">(1-ProdFac)*AY470</f>
        <v>0</v>
      </c>
      <c r="AZ333" s="150" t="n">
        <f aca="false">(1-ProdFac)*AZ470</f>
        <v>0</v>
      </c>
      <c r="BA333" s="150" t="n">
        <f aca="false">(1-ProdFac)*BA470</f>
        <v>0</v>
      </c>
      <c r="BB333" s="150" t="n">
        <f aca="false">(1-ProdFac)*BB470</f>
        <v>0</v>
      </c>
    </row>
    <row r="334" customFormat="false" ht="15" hidden="true" customHeight="false" outlineLevel="1" collapsed="false">
      <c r="B334" s="82" t="s">
        <v>212</v>
      </c>
      <c r="C334" s="128" t="s">
        <v>213</v>
      </c>
      <c r="D334" s="128" t="s">
        <v>59</v>
      </c>
      <c r="E334" s="128"/>
      <c r="F334" s="128" t="s">
        <v>59</v>
      </c>
      <c r="G334" s="75"/>
      <c r="H334" s="128"/>
      <c r="I334" s="128"/>
      <c r="J334" s="128"/>
      <c r="K334" s="128"/>
      <c r="L334" s="78" t="n">
        <f aca="false">SUM(S334:BB334)</f>
        <v>0</v>
      </c>
      <c r="M334" s="128"/>
      <c r="N334" s="130" t="str">
        <f aca="false">IF(ISERROR(VLOOKUP(P334,Member_Tab,2,FALSE())),"",VLOOKUP(P334,Member_Tab,2,FALSE()))</f>
        <v/>
      </c>
      <c r="O334" s="130" t="str">
        <f aca="false">IF(ISERROR(VLOOKUP(P334,Member_Tab,3,FALSE())),"",VLOOKUP(P334,Member_Tab,3,FALSE()))</f>
        <v/>
      </c>
      <c r="P334" s="148" t="n">
        <f aca="false">Site!I90</f>
        <v>0</v>
      </c>
      <c r="Q334" s="128"/>
      <c r="R334" s="131"/>
      <c r="S334" s="150" t="n">
        <f aca="false">(1-ProdFac)*S471</f>
        <v>0</v>
      </c>
      <c r="T334" s="150" t="n">
        <f aca="false">(1-ProdFac)*T471</f>
        <v>0</v>
      </c>
      <c r="U334" s="150" t="n">
        <f aca="false">(1-ProdFac)*U471</f>
        <v>0</v>
      </c>
      <c r="V334" s="150" t="n">
        <f aca="false">(1-ProdFac)*V471</f>
        <v>0</v>
      </c>
      <c r="W334" s="150" t="n">
        <f aca="false">(1-ProdFac)*W471</f>
        <v>0</v>
      </c>
      <c r="X334" s="150" t="n">
        <f aca="false">(1-ProdFac)*X471</f>
        <v>0</v>
      </c>
      <c r="Y334" s="150" t="n">
        <f aca="false">(1-ProdFac)*Y471</f>
        <v>0</v>
      </c>
      <c r="Z334" s="150" t="n">
        <f aca="false">(1-ProdFac)*Z471</f>
        <v>0</v>
      </c>
      <c r="AA334" s="150" t="n">
        <f aca="false">(1-ProdFac)*AA471</f>
        <v>0</v>
      </c>
      <c r="AB334" s="150" t="n">
        <f aca="false">(1-ProdFac)*AB471</f>
        <v>0</v>
      </c>
      <c r="AC334" s="150" t="n">
        <f aca="false">(1-ProdFac)*AC471</f>
        <v>0</v>
      </c>
      <c r="AD334" s="150" t="n">
        <f aca="false">(1-ProdFac)*AD471</f>
        <v>0</v>
      </c>
      <c r="AE334" s="150" t="n">
        <f aca="false">(1-ProdFac)*AE471</f>
        <v>0</v>
      </c>
      <c r="AF334" s="150" t="n">
        <f aca="false">(1-ProdFac)*AF471</f>
        <v>0</v>
      </c>
      <c r="AG334" s="150" t="n">
        <f aca="false">(1-ProdFac)*AG471</f>
        <v>0</v>
      </c>
      <c r="AH334" s="150" t="n">
        <f aca="false">(1-ProdFac)*AH471</f>
        <v>0</v>
      </c>
      <c r="AI334" s="150" t="n">
        <f aca="false">(1-ProdFac)*AI471</f>
        <v>0</v>
      </c>
      <c r="AJ334" s="150" t="n">
        <f aca="false">(1-ProdFac)*AJ471</f>
        <v>0</v>
      </c>
      <c r="AK334" s="150" t="n">
        <f aca="false">(1-ProdFac)*AK471</f>
        <v>0</v>
      </c>
      <c r="AL334" s="150" t="n">
        <f aca="false">(1-ProdFac)*AL471</f>
        <v>0</v>
      </c>
      <c r="AM334" s="150" t="n">
        <f aca="false">(1-ProdFac)*AM471</f>
        <v>0</v>
      </c>
      <c r="AN334" s="150" t="n">
        <f aca="false">(1-ProdFac)*AN471</f>
        <v>0</v>
      </c>
      <c r="AO334" s="150" t="n">
        <f aca="false">(1-ProdFac)*AO471</f>
        <v>0</v>
      </c>
      <c r="AP334" s="150" t="n">
        <f aca="false">(1-ProdFac)*AP471</f>
        <v>0</v>
      </c>
      <c r="AQ334" s="150" t="n">
        <f aca="false">(1-ProdFac)*AQ471</f>
        <v>0</v>
      </c>
      <c r="AR334" s="150" t="n">
        <f aca="false">(1-ProdFac)*AR471</f>
        <v>0</v>
      </c>
      <c r="AS334" s="150" t="n">
        <f aca="false">(1-ProdFac)*AS471</f>
        <v>0</v>
      </c>
      <c r="AT334" s="150" t="n">
        <f aca="false">(1-ProdFac)*AT471</f>
        <v>0</v>
      </c>
      <c r="AU334" s="150" t="n">
        <f aca="false">(1-ProdFac)*AU471</f>
        <v>0</v>
      </c>
      <c r="AV334" s="150" t="n">
        <f aca="false">(1-ProdFac)*AV471</f>
        <v>0</v>
      </c>
      <c r="AW334" s="150" t="n">
        <f aca="false">(1-ProdFac)*AW471</f>
        <v>0</v>
      </c>
      <c r="AX334" s="150" t="n">
        <f aca="false">(1-ProdFac)*AX471</f>
        <v>0</v>
      </c>
      <c r="AY334" s="150" t="n">
        <f aca="false">(1-ProdFac)*AY471</f>
        <v>0</v>
      </c>
      <c r="AZ334" s="150" t="n">
        <f aca="false">(1-ProdFac)*AZ471</f>
        <v>0</v>
      </c>
      <c r="BA334" s="150" t="n">
        <f aca="false">(1-ProdFac)*BA471</f>
        <v>0</v>
      </c>
      <c r="BB334" s="150" t="n">
        <f aca="false">(1-ProdFac)*BB471</f>
        <v>0</v>
      </c>
    </row>
    <row r="335" customFormat="false" ht="15" hidden="true" customHeight="false" outlineLevel="1" collapsed="false">
      <c r="B335" s="82" t="s">
        <v>212</v>
      </c>
      <c r="C335" s="128" t="s">
        <v>213</v>
      </c>
      <c r="D335" s="128" t="s">
        <v>59</v>
      </c>
      <c r="E335" s="128"/>
      <c r="F335" s="128" t="s">
        <v>59</v>
      </c>
      <c r="G335" s="75"/>
      <c r="H335" s="128"/>
      <c r="I335" s="128"/>
      <c r="J335" s="128"/>
      <c r="K335" s="128"/>
      <c r="L335" s="78" t="n">
        <f aca="false">SUM(S335:BB335)</f>
        <v>0</v>
      </c>
      <c r="M335" s="128"/>
      <c r="N335" s="130" t="str">
        <f aca="false">IF(ISERROR(VLOOKUP(P335,Member_Tab,2,FALSE())),"",VLOOKUP(P335,Member_Tab,2,FALSE()))</f>
        <v/>
      </c>
      <c r="O335" s="130" t="str">
        <f aca="false">IF(ISERROR(VLOOKUP(P335,Member_Tab,3,FALSE())),"",VLOOKUP(P335,Member_Tab,3,FALSE()))</f>
        <v/>
      </c>
      <c r="P335" s="148" t="n">
        <f aca="false">Site!I91</f>
        <v>0</v>
      </c>
      <c r="Q335" s="128"/>
      <c r="R335" s="131"/>
      <c r="S335" s="150" t="n">
        <f aca="false">(1-ProdFac)*S472</f>
        <v>0</v>
      </c>
      <c r="T335" s="150" t="n">
        <f aca="false">(1-ProdFac)*T472</f>
        <v>0</v>
      </c>
      <c r="U335" s="150" t="n">
        <f aca="false">(1-ProdFac)*U472</f>
        <v>0</v>
      </c>
      <c r="V335" s="150" t="n">
        <f aca="false">(1-ProdFac)*V472</f>
        <v>0</v>
      </c>
      <c r="W335" s="150" t="n">
        <f aca="false">(1-ProdFac)*W472</f>
        <v>0</v>
      </c>
      <c r="X335" s="150" t="n">
        <f aca="false">(1-ProdFac)*X472</f>
        <v>0</v>
      </c>
      <c r="Y335" s="150" t="n">
        <f aca="false">(1-ProdFac)*Y472</f>
        <v>0</v>
      </c>
      <c r="Z335" s="150" t="n">
        <f aca="false">(1-ProdFac)*Z472</f>
        <v>0</v>
      </c>
      <c r="AA335" s="150" t="n">
        <f aca="false">(1-ProdFac)*AA472</f>
        <v>0</v>
      </c>
      <c r="AB335" s="150" t="n">
        <f aca="false">(1-ProdFac)*AB472</f>
        <v>0</v>
      </c>
      <c r="AC335" s="150" t="n">
        <f aca="false">(1-ProdFac)*AC472</f>
        <v>0</v>
      </c>
      <c r="AD335" s="150" t="n">
        <f aca="false">(1-ProdFac)*AD472</f>
        <v>0</v>
      </c>
      <c r="AE335" s="150" t="n">
        <f aca="false">(1-ProdFac)*AE472</f>
        <v>0</v>
      </c>
      <c r="AF335" s="150" t="n">
        <f aca="false">(1-ProdFac)*AF472</f>
        <v>0</v>
      </c>
      <c r="AG335" s="150" t="n">
        <f aca="false">(1-ProdFac)*AG472</f>
        <v>0</v>
      </c>
      <c r="AH335" s="150" t="n">
        <f aca="false">(1-ProdFac)*AH472</f>
        <v>0</v>
      </c>
      <c r="AI335" s="150" t="n">
        <f aca="false">(1-ProdFac)*AI472</f>
        <v>0</v>
      </c>
      <c r="AJ335" s="150" t="n">
        <f aca="false">(1-ProdFac)*AJ472</f>
        <v>0</v>
      </c>
      <c r="AK335" s="150" t="n">
        <f aca="false">(1-ProdFac)*AK472</f>
        <v>0</v>
      </c>
      <c r="AL335" s="150" t="n">
        <f aca="false">(1-ProdFac)*AL472</f>
        <v>0</v>
      </c>
      <c r="AM335" s="150" t="n">
        <f aca="false">(1-ProdFac)*AM472</f>
        <v>0</v>
      </c>
      <c r="AN335" s="150" t="n">
        <f aca="false">(1-ProdFac)*AN472</f>
        <v>0</v>
      </c>
      <c r="AO335" s="150" t="n">
        <f aca="false">(1-ProdFac)*AO472</f>
        <v>0</v>
      </c>
      <c r="AP335" s="150" t="n">
        <f aca="false">(1-ProdFac)*AP472</f>
        <v>0</v>
      </c>
      <c r="AQ335" s="150" t="n">
        <f aca="false">(1-ProdFac)*AQ472</f>
        <v>0</v>
      </c>
      <c r="AR335" s="150" t="n">
        <f aca="false">(1-ProdFac)*AR472</f>
        <v>0</v>
      </c>
      <c r="AS335" s="150" t="n">
        <f aca="false">(1-ProdFac)*AS472</f>
        <v>0</v>
      </c>
      <c r="AT335" s="150" t="n">
        <f aca="false">(1-ProdFac)*AT472</f>
        <v>0</v>
      </c>
      <c r="AU335" s="150" t="n">
        <f aca="false">(1-ProdFac)*AU472</f>
        <v>0</v>
      </c>
      <c r="AV335" s="150" t="n">
        <f aca="false">(1-ProdFac)*AV472</f>
        <v>0</v>
      </c>
      <c r="AW335" s="150" t="n">
        <f aca="false">(1-ProdFac)*AW472</f>
        <v>0</v>
      </c>
      <c r="AX335" s="150" t="n">
        <f aca="false">(1-ProdFac)*AX472</f>
        <v>0</v>
      </c>
      <c r="AY335" s="150" t="n">
        <f aca="false">(1-ProdFac)*AY472</f>
        <v>0</v>
      </c>
      <c r="AZ335" s="150" t="n">
        <f aca="false">(1-ProdFac)*AZ472</f>
        <v>0</v>
      </c>
      <c r="BA335" s="150" t="n">
        <f aca="false">(1-ProdFac)*BA472</f>
        <v>0</v>
      </c>
      <c r="BB335" s="150" t="n">
        <f aca="false">(1-ProdFac)*BB472</f>
        <v>0</v>
      </c>
    </row>
    <row r="336" customFormat="false" ht="15" hidden="true" customHeight="false" outlineLevel="1" collapsed="false">
      <c r="B336" s="82" t="s">
        <v>212</v>
      </c>
      <c r="C336" s="128" t="s">
        <v>213</v>
      </c>
      <c r="D336" s="128" t="s">
        <v>59</v>
      </c>
      <c r="E336" s="128"/>
      <c r="F336" s="128" t="s">
        <v>59</v>
      </c>
      <c r="G336" s="75"/>
      <c r="H336" s="128"/>
      <c r="I336" s="128"/>
      <c r="J336" s="128"/>
      <c r="K336" s="128"/>
      <c r="L336" s="78" t="n">
        <f aca="false">SUM(S336:BB336)</f>
        <v>0</v>
      </c>
      <c r="M336" s="128"/>
      <c r="N336" s="130" t="str">
        <f aca="false">IF(ISERROR(VLOOKUP(P336,Member_Tab,2,FALSE())),"",VLOOKUP(P336,Member_Tab,2,FALSE()))</f>
        <v/>
      </c>
      <c r="O336" s="130" t="str">
        <f aca="false">IF(ISERROR(VLOOKUP(P336,Member_Tab,3,FALSE())),"",VLOOKUP(P336,Member_Tab,3,FALSE()))</f>
        <v/>
      </c>
      <c r="P336" s="148" t="n">
        <f aca="false">Site!I92</f>
        <v>0</v>
      </c>
      <c r="Q336" s="128"/>
      <c r="R336" s="131"/>
      <c r="S336" s="150" t="n">
        <f aca="false">(1-ProdFac)*S473</f>
        <v>0</v>
      </c>
      <c r="T336" s="150" t="n">
        <f aca="false">(1-ProdFac)*T473</f>
        <v>0</v>
      </c>
      <c r="U336" s="150" t="n">
        <f aca="false">(1-ProdFac)*U473</f>
        <v>0</v>
      </c>
      <c r="V336" s="150" t="n">
        <f aca="false">(1-ProdFac)*V473</f>
        <v>0</v>
      </c>
      <c r="W336" s="150" t="n">
        <f aca="false">(1-ProdFac)*W473</f>
        <v>0</v>
      </c>
      <c r="X336" s="150" t="n">
        <f aca="false">(1-ProdFac)*X473</f>
        <v>0</v>
      </c>
      <c r="Y336" s="150" t="n">
        <f aca="false">(1-ProdFac)*Y473</f>
        <v>0</v>
      </c>
      <c r="Z336" s="150" t="n">
        <f aca="false">(1-ProdFac)*Z473</f>
        <v>0</v>
      </c>
      <c r="AA336" s="150" t="n">
        <f aca="false">(1-ProdFac)*AA473</f>
        <v>0</v>
      </c>
      <c r="AB336" s="150" t="n">
        <f aca="false">(1-ProdFac)*AB473</f>
        <v>0</v>
      </c>
      <c r="AC336" s="150" t="n">
        <f aca="false">(1-ProdFac)*AC473</f>
        <v>0</v>
      </c>
      <c r="AD336" s="150" t="n">
        <f aca="false">(1-ProdFac)*AD473</f>
        <v>0</v>
      </c>
      <c r="AE336" s="150" t="n">
        <f aca="false">(1-ProdFac)*AE473</f>
        <v>0</v>
      </c>
      <c r="AF336" s="150" t="n">
        <f aca="false">(1-ProdFac)*AF473</f>
        <v>0</v>
      </c>
      <c r="AG336" s="150" t="n">
        <f aca="false">(1-ProdFac)*AG473</f>
        <v>0</v>
      </c>
      <c r="AH336" s="150" t="n">
        <f aca="false">(1-ProdFac)*AH473</f>
        <v>0</v>
      </c>
      <c r="AI336" s="150" t="n">
        <f aca="false">(1-ProdFac)*AI473</f>
        <v>0</v>
      </c>
      <c r="AJ336" s="150" t="n">
        <f aca="false">(1-ProdFac)*AJ473</f>
        <v>0</v>
      </c>
      <c r="AK336" s="150" t="n">
        <f aca="false">(1-ProdFac)*AK473</f>
        <v>0</v>
      </c>
      <c r="AL336" s="150" t="n">
        <f aca="false">(1-ProdFac)*AL473</f>
        <v>0</v>
      </c>
      <c r="AM336" s="150" t="n">
        <f aca="false">(1-ProdFac)*AM473</f>
        <v>0</v>
      </c>
      <c r="AN336" s="150" t="n">
        <f aca="false">(1-ProdFac)*AN473</f>
        <v>0</v>
      </c>
      <c r="AO336" s="150" t="n">
        <f aca="false">(1-ProdFac)*AO473</f>
        <v>0</v>
      </c>
      <c r="AP336" s="150" t="n">
        <f aca="false">(1-ProdFac)*AP473</f>
        <v>0</v>
      </c>
      <c r="AQ336" s="150" t="n">
        <f aca="false">(1-ProdFac)*AQ473</f>
        <v>0</v>
      </c>
      <c r="AR336" s="150" t="n">
        <f aca="false">(1-ProdFac)*AR473</f>
        <v>0</v>
      </c>
      <c r="AS336" s="150" t="n">
        <f aca="false">(1-ProdFac)*AS473</f>
        <v>0</v>
      </c>
      <c r="AT336" s="150" t="n">
        <f aca="false">(1-ProdFac)*AT473</f>
        <v>0</v>
      </c>
      <c r="AU336" s="150" t="n">
        <f aca="false">(1-ProdFac)*AU473</f>
        <v>0</v>
      </c>
      <c r="AV336" s="150" t="n">
        <f aca="false">(1-ProdFac)*AV473</f>
        <v>0</v>
      </c>
      <c r="AW336" s="150" t="n">
        <f aca="false">(1-ProdFac)*AW473</f>
        <v>0</v>
      </c>
      <c r="AX336" s="150" t="n">
        <f aca="false">(1-ProdFac)*AX473</f>
        <v>0</v>
      </c>
      <c r="AY336" s="150" t="n">
        <f aca="false">(1-ProdFac)*AY473</f>
        <v>0</v>
      </c>
      <c r="AZ336" s="150" t="n">
        <f aca="false">(1-ProdFac)*AZ473</f>
        <v>0</v>
      </c>
      <c r="BA336" s="150" t="n">
        <f aca="false">(1-ProdFac)*BA473</f>
        <v>0</v>
      </c>
      <c r="BB336" s="150" t="n">
        <f aca="false">(1-ProdFac)*BB473</f>
        <v>0</v>
      </c>
    </row>
    <row r="337" customFormat="false" ht="15" hidden="true" customHeight="false" outlineLevel="1" collapsed="false">
      <c r="B337" s="82" t="s">
        <v>212</v>
      </c>
      <c r="C337" s="128" t="s">
        <v>213</v>
      </c>
      <c r="D337" s="128" t="s">
        <v>59</v>
      </c>
      <c r="E337" s="128"/>
      <c r="F337" s="128" t="s">
        <v>59</v>
      </c>
      <c r="G337" s="75"/>
      <c r="H337" s="128"/>
      <c r="I337" s="128"/>
      <c r="J337" s="128"/>
      <c r="K337" s="128"/>
      <c r="L337" s="78" t="n">
        <f aca="false">SUM(S337:BB337)</f>
        <v>0</v>
      </c>
      <c r="M337" s="128"/>
      <c r="N337" s="130" t="str">
        <f aca="false">IF(ISERROR(VLOOKUP(P337,Member_Tab,2,FALSE())),"",VLOOKUP(P337,Member_Tab,2,FALSE()))</f>
        <v/>
      </c>
      <c r="O337" s="130" t="str">
        <f aca="false">IF(ISERROR(VLOOKUP(P337,Member_Tab,3,FALSE())),"",VLOOKUP(P337,Member_Tab,3,FALSE()))</f>
        <v/>
      </c>
      <c r="P337" s="148" t="n">
        <f aca="false">Site!I93</f>
        <v>0</v>
      </c>
      <c r="Q337" s="128"/>
      <c r="R337" s="131"/>
      <c r="S337" s="150" t="n">
        <f aca="false">(1-ProdFac)*S474</f>
        <v>0</v>
      </c>
      <c r="T337" s="150" t="n">
        <f aca="false">(1-ProdFac)*T474</f>
        <v>0</v>
      </c>
      <c r="U337" s="150" t="n">
        <f aca="false">(1-ProdFac)*U474</f>
        <v>0</v>
      </c>
      <c r="V337" s="150" t="n">
        <f aca="false">(1-ProdFac)*V474</f>
        <v>0</v>
      </c>
      <c r="W337" s="150" t="n">
        <f aca="false">(1-ProdFac)*W474</f>
        <v>0</v>
      </c>
      <c r="X337" s="150" t="n">
        <f aca="false">(1-ProdFac)*X474</f>
        <v>0</v>
      </c>
      <c r="Y337" s="150" t="n">
        <f aca="false">(1-ProdFac)*Y474</f>
        <v>0</v>
      </c>
      <c r="Z337" s="150" t="n">
        <f aca="false">(1-ProdFac)*Z474</f>
        <v>0</v>
      </c>
      <c r="AA337" s="150" t="n">
        <f aca="false">(1-ProdFac)*AA474</f>
        <v>0</v>
      </c>
      <c r="AB337" s="150" t="n">
        <f aca="false">(1-ProdFac)*AB474</f>
        <v>0</v>
      </c>
      <c r="AC337" s="150" t="n">
        <f aca="false">(1-ProdFac)*AC474</f>
        <v>0</v>
      </c>
      <c r="AD337" s="150" t="n">
        <f aca="false">(1-ProdFac)*AD474</f>
        <v>0</v>
      </c>
      <c r="AE337" s="150" t="n">
        <f aca="false">(1-ProdFac)*AE474</f>
        <v>0</v>
      </c>
      <c r="AF337" s="150" t="n">
        <f aca="false">(1-ProdFac)*AF474</f>
        <v>0</v>
      </c>
      <c r="AG337" s="150" t="n">
        <f aca="false">(1-ProdFac)*AG474</f>
        <v>0</v>
      </c>
      <c r="AH337" s="150" t="n">
        <f aca="false">(1-ProdFac)*AH474</f>
        <v>0</v>
      </c>
      <c r="AI337" s="150" t="n">
        <f aca="false">(1-ProdFac)*AI474</f>
        <v>0</v>
      </c>
      <c r="AJ337" s="150" t="n">
        <f aca="false">(1-ProdFac)*AJ474</f>
        <v>0</v>
      </c>
      <c r="AK337" s="150" t="n">
        <f aca="false">(1-ProdFac)*AK474</f>
        <v>0</v>
      </c>
      <c r="AL337" s="150" t="n">
        <f aca="false">(1-ProdFac)*AL474</f>
        <v>0</v>
      </c>
      <c r="AM337" s="150" t="n">
        <f aca="false">(1-ProdFac)*AM474</f>
        <v>0</v>
      </c>
      <c r="AN337" s="150" t="n">
        <f aca="false">(1-ProdFac)*AN474</f>
        <v>0</v>
      </c>
      <c r="AO337" s="150" t="n">
        <f aca="false">(1-ProdFac)*AO474</f>
        <v>0</v>
      </c>
      <c r="AP337" s="150" t="n">
        <f aca="false">(1-ProdFac)*AP474</f>
        <v>0</v>
      </c>
      <c r="AQ337" s="150" t="n">
        <f aca="false">(1-ProdFac)*AQ474</f>
        <v>0</v>
      </c>
      <c r="AR337" s="150" t="n">
        <f aca="false">(1-ProdFac)*AR474</f>
        <v>0</v>
      </c>
      <c r="AS337" s="150" t="n">
        <f aca="false">(1-ProdFac)*AS474</f>
        <v>0</v>
      </c>
      <c r="AT337" s="150" t="n">
        <f aca="false">(1-ProdFac)*AT474</f>
        <v>0</v>
      </c>
      <c r="AU337" s="150" t="n">
        <f aca="false">(1-ProdFac)*AU474</f>
        <v>0</v>
      </c>
      <c r="AV337" s="150" t="n">
        <f aca="false">(1-ProdFac)*AV474</f>
        <v>0</v>
      </c>
      <c r="AW337" s="150" t="n">
        <f aca="false">(1-ProdFac)*AW474</f>
        <v>0</v>
      </c>
      <c r="AX337" s="150" t="n">
        <f aca="false">(1-ProdFac)*AX474</f>
        <v>0</v>
      </c>
      <c r="AY337" s="150" t="n">
        <f aca="false">(1-ProdFac)*AY474</f>
        <v>0</v>
      </c>
      <c r="AZ337" s="150" t="n">
        <f aca="false">(1-ProdFac)*AZ474</f>
        <v>0</v>
      </c>
      <c r="BA337" s="150" t="n">
        <f aca="false">(1-ProdFac)*BA474</f>
        <v>0</v>
      </c>
      <c r="BB337" s="150" t="n">
        <f aca="false">(1-ProdFac)*BB474</f>
        <v>0</v>
      </c>
    </row>
    <row r="338" customFormat="false" ht="15" hidden="true" customHeight="false" outlineLevel="1" collapsed="false">
      <c r="B338" s="82" t="s">
        <v>212</v>
      </c>
      <c r="C338" s="128" t="s">
        <v>213</v>
      </c>
      <c r="D338" s="128" t="s">
        <v>59</v>
      </c>
      <c r="E338" s="128"/>
      <c r="F338" s="128" t="s">
        <v>59</v>
      </c>
      <c r="G338" s="75"/>
      <c r="H338" s="128"/>
      <c r="I338" s="128"/>
      <c r="J338" s="128"/>
      <c r="K338" s="128"/>
      <c r="L338" s="78" t="n">
        <f aca="false">SUM(S338:BB338)</f>
        <v>0</v>
      </c>
      <c r="M338" s="128"/>
      <c r="N338" s="130" t="str">
        <f aca="false">IF(ISERROR(VLOOKUP(P338,Member_Tab,2,FALSE())),"",VLOOKUP(P338,Member_Tab,2,FALSE()))</f>
        <v/>
      </c>
      <c r="O338" s="130" t="str">
        <f aca="false">IF(ISERROR(VLOOKUP(P338,Member_Tab,3,FALSE())),"",VLOOKUP(P338,Member_Tab,3,FALSE()))</f>
        <v/>
      </c>
      <c r="P338" s="148" t="n">
        <f aca="false">Site!I94</f>
        <v>0</v>
      </c>
      <c r="Q338" s="128"/>
      <c r="R338" s="131"/>
      <c r="S338" s="150" t="n">
        <f aca="false">(1-ProdFac)*S475</f>
        <v>0</v>
      </c>
      <c r="T338" s="150" t="n">
        <f aca="false">(1-ProdFac)*T475</f>
        <v>0</v>
      </c>
      <c r="U338" s="150" t="n">
        <f aca="false">(1-ProdFac)*U475</f>
        <v>0</v>
      </c>
      <c r="V338" s="150" t="n">
        <f aca="false">(1-ProdFac)*V475</f>
        <v>0</v>
      </c>
      <c r="W338" s="150" t="n">
        <f aca="false">(1-ProdFac)*W475</f>
        <v>0</v>
      </c>
      <c r="X338" s="150" t="n">
        <f aca="false">(1-ProdFac)*X475</f>
        <v>0</v>
      </c>
      <c r="Y338" s="150" t="n">
        <f aca="false">(1-ProdFac)*Y475</f>
        <v>0</v>
      </c>
      <c r="Z338" s="150" t="n">
        <f aca="false">(1-ProdFac)*Z475</f>
        <v>0</v>
      </c>
      <c r="AA338" s="150" t="n">
        <f aca="false">(1-ProdFac)*AA475</f>
        <v>0</v>
      </c>
      <c r="AB338" s="150" t="n">
        <f aca="false">(1-ProdFac)*AB475</f>
        <v>0</v>
      </c>
      <c r="AC338" s="150" t="n">
        <f aca="false">(1-ProdFac)*AC475</f>
        <v>0</v>
      </c>
      <c r="AD338" s="150" t="n">
        <f aca="false">(1-ProdFac)*AD475</f>
        <v>0</v>
      </c>
      <c r="AE338" s="150" t="n">
        <f aca="false">(1-ProdFac)*AE475</f>
        <v>0</v>
      </c>
      <c r="AF338" s="150" t="n">
        <f aca="false">(1-ProdFac)*AF475</f>
        <v>0</v>
      </c>
      <c r="AG338" s="150" t="n">
        <f aca="false">(1-ProdFac)*AG475</f>
        <v>0</v>
      </c>
      <c r="AH338" s="150" t="n">
        <f aca="false">(1-ProdFac)*AH475</f>
        <v>0</v>
      </c>
      <c r="AI338" s="150" t="n">
        <f aca="false">(1-ProdFac)*AI475</f>
        <v>0</v>
      </c>
      <c r="AJ338" s="150" t="n">
        <f aca="false">(1-ProdFac)*AJ475</f>
        <v>0</v>
      </c>
      <c r="AK338" s="150" t="n">
        <f aca="false">(1-ProdFac)*AK475</f>
        <v>0</v>
      </c>
      <c r="AL338" s="150" t="n">
        <f aca="false">(1-ProdFac)*AL475</f>
        <v>0</v>
      </c>
      <c r="AM338" s="150" t="n">
        <f aca="false">(1-ProdFac)*AM475</f>
        <v>0</v>
      </c>
      <c r="AN338" s="150" t="n">
        <f aca="false">(1-ProdFac)*AN475</f>
        <v>0</v>
      </c>
      <c r="AO338" s="150" t="n">
        <f aca="false">(1-ProdFac)*AO475</f>
        <v>0</v>
      </c>
      <c r="AP338" s="150" t="n">
        <f aca="false">(1-ProdFac)*AP475</f>
        <v>0</v>
      </c>
      <c r="AQ338" s="150" t="n">
        <f aca="false">(1-ProdFac)*AQ475</f>
        <v>0</v>
      </c>
      <c r="AR338" s="150" t="n">
        <f aca="false">(1-ProdFac)*AR475</f>
        <v>0</v>
      </c>
      <c r="AS338" s="150" t="n">
        <f aca="false">(1-ProdFac)*AS475</f>
        <v>0</v>
      </c>
      <c r="AT338" s="150" t="n">
        <f aca="false">(1-ProdFac)*AT475</f>
        <v>0</v>
      </c>
      <c r="AU338" s="150" t="n">
        <f aca="false">(1-ProdFac)*AU475</f>
        <v>0</v>
      </c>
      <c r="AV338" s="150" t="n">
        <f aca="false">(1-ProdFac)*AV475</f>
        <v>0</v>
      </c>
      <c r="AW338" s="150" t="n">
        <f aca="false">(1-ProdFac)*AW475</f>
        <v>0</v>
      </c>
      <c r="AX338" s="150" t="n">
        <f aca="false">(1-ProdFac)*AX475</f>
        <v>0</v>
      </c>
      <c r="AY338" s="150" t="n">
        <f aca="false">(1-ProdFac)*AY475</f>
        <v>0</v>
      </c>
      <c r="AZ338" s="150" t="n">
        <f aca="false">(1-ProdFac)*AZ475</f>
        <v>0</v>
      </c>
      <c r="BA338" s="150" t="n">
        <f aca="false">(1-ProdFac)*BA475</f>
        <v>0</v>
      </c>
      <c r="BB338" s="150" t="n">
        <f aca="false">(1-ProdFac)*BB475</f>
        <v>0</v>
      </c>
    </row>
    <row r="339" customFormat="false" ht="15" hidden="true" customHeight="false" outlineLevel="1" collapsed="false">
      <c r="B339" s="82" t="s">
        <v>212</v>
      </c>
      <c r="C339" s="128" t="s">
        <v>213</v>
      </c>
      <c r="D339" s="128" t="s">
        <v>59</v>
      </c>
      <c r="E339" s="128"/>
      <c r="F339" s="128" t="s">
        <v>59</v>
      </c>
      <c r="G339" s="75"/>
      <c r="H339" s="128"/>
      <c r="I339" s="128"/>
      <c r="J339" s="128"/>
      <c r="K339" s="128"/>
      <c r="L339" s="78" t="n">
        <f aca="false">SUM(S339:BB339)</f>
        <v>0</v>
      </c>
      <c r="M339" s="128"/>
      <c r="N339" s="130" t="str">
        <f aca="false">IF(ISERROR(VLOOKUP(P339,Member_Tab,2,FALSE())),"",VLOOKUP(P339,Member_Tab,2,FALSE()))</f>
        <v/>
      </c>
      <c r="O339" s="130" t="str">
        <f aca="false">IF(ISERROR(VLOOKUP(P339,Member_Tab,3,FALSE())),"",VLOOKUP(P339,Member_Tab,3,FALSE()))</f>
        <v/>
      </c>
      <c r="P339" s="148" t="n">
        <f aca="false">Site!I95</f>
        <v>0</v>
      </c>
      <c r="Q339" s="128"/>
      <c r="R339" s="131"/>
      <c r="S339" s="150" t="n">
        <f aca="false">(1-ProdFac)*S476</f>
        <v>0</v>
      </c>
      <c r="T339" s="150" t="n">
        <f aca="false">(1-ProdFac)*T476</f>
        <v>0</v>
      </c>
      <c r="U339" s="150" t="n">
        <f aca="false">(1-ProdFac)*U476</f>
        <v>0</v>
      </c>
      <c r="V339" s="150" t="n">
        <f aca="false">(1-ProdFac)*V476</f>
        <v>0</v>
      </c>
      <c r="W339" s="150" t="n">
        <f aca="false">(1-ProdFac)*W476</f>
        <v>0</v>
      </c>
      <c r="X339" s="150" t="n">
        <f aca="false">(1-ProdFac)*X476</f>
        <v>0</v>
      </c>
      <c r="Y339" s="150" t="n">
        <f aca="false">(1-ProdFac)*Y476</f>
        <v>0</v>
      </c>
      <c r="Z339" s="150" t="n">
        <f aca="false">(1-ProdFac)*Z476</f>
        <v>0</v>
      </c>
      <c r="AA339" s="150" t="n">
        <f aca="false">(1-ProdFac)*AA476</f>
        <v>0</v>
      </c>
      <c r="AB339" s="150" t="n">
        <f aca="false">(1-ProdFac)*AB476</f>
        <v>0</v>
      </c>
      <c r="AC339" s="150" t="n">
        <f aca="false">(1-ProdFac)*AC476</f>
        <v>0</v>
      </c>
      <c r="AD339" s="150" t="n">
        <f aca="false">(1-ProdFac)*AD476</f>
        <v>0</v>
      </c>
      <c r="AE339" s="150" t="n">
        <f aca="false">(1-ProdFac)*AE476</f>
        <v>0</v>
      </c>
      <c r="AF339" s="150" t="n">
        <f aca="false">(1-ProdFac)*AF476</f>
        <v>0</v>
      </c>
      <c r="AG339" s="150" t="n">
        <f aca="false">(1-ProdFac)*AG476</f>
        <v>0</v>
      </c>
      <c r="AH339" s="150" t="n">
        <f aca="false">(1-ProdFac)*AH476</f>
        <v>0</v>
      </c>
      <c r="AI339" s="150" t="n">
        <f aca="false">(1-ProdFac)*AI476</f>
        <v>0</v>
      </c>
      <c r="AJ339" s="150" t="n">
        <f aca="false">(1-ProdFac)*AJ476</f>
        <v>0</v>
      </c>
      <c r="AK339" s="150" t="n">
        <f aca="false">(1-ProdFac)*AK476</f>
        <v>0</v>
      </c>
      <c r="AL339" s="150" t="n">
        <f aca="false">(1-ProdFac)*AL476</f>
        <v>0</v>
      </c>
      <c r="AM339" s="150" t="n">
        <f aca="false">(1-ProdFac)*AM476</f>
        <v>0</v>
      </c>
      <c r="AN339" s="150" t="n">
        <f aca="false">(1-ProdFac)*AN476</f>
        <v>0</v>
      </c>
      <c r="AO339" s="150" t="n">
        <f aca="false">(1-ProdFac)*AO476</f>
        <v>0</v>
      </c>
      <c r="AP339" s="150" t="n">
        <f aca="false">(1-ProdFac)*AP476</f>
        <v>0</v>
      </c>
      <c r="AQ339" s="150" t="n">
        <f aca="false">(1-ProdFac)*AQ476</f>
        <v>0</v>
      </c>
      <c r="AR339" s="150" t="n">
        <f aca="false">(1-ProdFac)*AR476</f>
        <v>0</v>
      </c>
      <c r="AS339" s="150" t="n">
        <f aca="false">(1-ProdFac)*AS476</f>
        <v>0</v>
      </c>
      <c r="AT339" s="150" t="n">
        <f aca="false">(1-ProdFac)*AT476</f>
        <v>0</v>
      </c>
      <c r="AU339" s="150" t="n">
        <f aca="false">(1-ProdFac)*AU476</f>
        <v>0</v>
      </c>
      <c r="AV339" s="150" t="n">
        <f aca="false">(1-ProdFac)*AV476</f>
        <v>0</v>
      </c>
      <c r="AW339" s="150" t="n">
        <f aca="false">(1-ProdFac)*AW476</f>
        <v>0</v>
      </c>
      <c r="AX339" s="150" t="n">
        <f aca="false">(1-ProdFac)*AX476</f>
        <v>0</v>
      </c>
      <c r="AY339" s="150" t="n">
        <f aca="false">(1-ProdFac)*AY476</f>
        <v>0</v>
      </c>
      <c r="AZ339" s="150" t="n">
        <f aca="false">(1-ProdFac)*AZ476</f>
        <v>0</v>
      </c>
      <c r="BA339" s="150" t="n">
        <f aca="false">(1-ProdFac)*BA476</f>
        <v>0</v>
      </c>
      <c r="BB339" s="150" t="n">
        <f aca="false">(1-ProdFac)*BB476</f>
        <v>0</v>
      </c>
    </row>
    <row r="340" customFormat="false" ht="15" hidden="true" customHeight="false" outlineLevel="1" collapsed="false">
      <c r="B340" s="82" t="s">
        <v>212</v>
      </c>
      <c r="C340" s="128" t="s">
        <v>213</v>
      </c>
      <c r="D340" s="128" t="s">
        <v>59</v>
      </c>
      <c r="E340" s="128"/>
      <c r="F340" s="128" t="s">
        <v>59</v>
      </c>
      <c r="G340" s="75"/>
      <c r="H340" s="128"/>
      <c r="I340" s="128"/>
      <c r="J340" s="128"/>
      <c r="K340" s="128"/>
      <c r="L340" s="78" t="n">
        <f aca="false">SUM(S340:BB340)</f>
        <v>0</v>
      </c>
      <c r="M340" s="128"/>
      <c r="N340" s="130" t="str">
        <f aca="false">IF(ISERROR(VLOOKUP(P340,Member_Tab,2,FALSE())),"",VLOOKUP(P340,Member_Tab,2,FALSE()))</f>
        <v/>
      </c>
      <c r="O340" s="130" t="str">
        <f aca="false">IF(ISERROR(VLOOKUP(P340,Member_Tab,3,FALSE())),"",VLOOKUP(P340,Member_Tab,3,FALSE()))</f>
        <v/>
      </c>
      <c r="P340" s="148" t="n">
        <f aca="false">Site!I96</f>
        <v>0</v>
      </c>
      <c r="Q340" s="128"/>
      <c r="R340" s="131"/>
      <c r="S340" s="150" t="n">
        <f aca="false">(1-ProdFac)*S477</f>
        <v>0</v>
      </c>
      <c r="T340" s="150" t="n">
        <f aca="false">(1-ProdFac)*T477</f>
        <v>0</v>
      </c>
      <c r="U340" s="150" t="n">
        <f aca="false">(1-ProdFac)*U477</f>
        <v>0</v>
      </c>
      <c r="V340" s="150" t="n">
        <f aca="false">(1-ProdFac)*V477</f>
        <v>0</v>
      </c>
      <c r="W340" s="150" t="n">
        <f aca="false">(1-ProdFac)*W477</f>
        <v>0</v>
      </c>
      <c r="X340" s="150" t="n">
        <f aca="false">(1-ProdFac)*X477</f>
        <v>0</v>
      </c>
      <c r="Y340" s="150" t="n">
        <f aca="false">(1-ProdFac)*Y477</f>
        <v>0</v>
      </c>
      <c r="Z340" s="150" t="n">
        <f aca="false">(1-ProdFac)*Z477</f>
        <v>0</v>
      </c>
      <c r="AA340" s="150" t="n">
        <f aca="false">(1-ProdFac)*AA477</f>
        <v>0</v>
      </c>
      <c r="AB340" s="150" t="n">
        <f aca="false">(1-ProdFac)*AB477</f>
        <v>0</v>
      </c>
      <c r="AC340" s="150" t="n">
        <f aca="false">(1-ProdFac)*AC477</f>
        <v>0</v>
      </c>
      <c r="AD340" s="150" t="n">
        <f aca="false">(1-ProdFac)*AD477</f>
        <v>0</v>
      </c>
      <c r="AE340" s="150" t="n">
        <f aca="false">(1-ProdFac)*AE477</f>
        <v>0</v>
      </c>
      <c r="AF340" s="150" t="n">
        <f aca="false">(1-ProdFac)*AF477</f>
        <v>0</v>
      </c>
      <c r="AG340" s="150" t="n">
        <f aca="false">(1-ProdFac)*AG477</f>
        <v>0</v>
      </c>
      <c r="AH340" s="150" t="n">
        <f aca="false">(1-ProdFac)*AH477</f>
        <v>0</v>
      </c>
      <c r="AI340" s="150" t="n">
        <f aca="false">(1-ProdFac)*AI477</f>
        <v>0</v>
      </c>
      <c r="AJ340" s="150" t="n">
        <f aca="false">(1-ProdFac)*AJ477</f>
        <v>0</v>
      </c>
      <c r="AK340" s="150" t="n">
        <f aca="false">(1-ProdFac)*AK477</f>
        <v>0</v>
      </c>
      <c r="AL340" s="150" t="n">
        <f aca="false">(1-ProdFac)*AL477</f>
        <v>0</v>
      </c>
      <c r="AM340" s="150" t="n">
        <f aca="false">(1-ProdFac)*AM477</f>
        <v>0</v>
      </c>
      <c r="AN340" s="150" t="n">
        <f aca="false">(1-ProdFac)*AN477</f>
        <v>0</v>
      </c>
      <c r="AO340" s="150" t="n">
        <f aca="false">(1-ProdFac)*AO477</f>
        <v>0</v>
      </c>
      <c r="AP340" s="150" t="n">
        <f aca="false">(1-ProdFac)*AP477</f>
        <v>0</v>
      </c>
      <c r="AQ340" s="150" t="n">
        <f aca="false">(1-ProdFac)*AQ477</f>
        <v>0</v>
      </c>
      <c r="AR340" s="150" t="n">
        <f aca="false">(1-ProdFac)*AR477</f>
        <v>0</v>
      </c>
      <c r="AS340" s="150" t="n">
        <f aca="false">(1-ProdFac)*AS477</f>
        <v>0</v>
      </c>
      <c r="AT340" s="150" t="n">
        <f aca="false">(1-ProdFac)*AT477</f>
        <v>0</v>
      </c>
      <c r="AU340" s="150" t="n">
        <f aca="false">(1-ProdFac)*AU477</f>
        <v>0</v>
      </c>
      <c r="AV340" s="150" t="n">
        <f aca="false">(1-ProdFac)*AV477</f>
        <v>0</v>
      </c>
      <c r="AW340" s="150" t="n">
        <f aca="false">(1-ProdFac)*AW477</f>
        <v>0</v>
      </c>
      <c r="AX340" s="150" t="n">
        <f aca="false">(1-ProdFac)*AX477</f>
        <v>0</v>
      </c>
      <c r="AY340" s="150" t="n">
        <f aca="false">(1-ProdFac)*AY477</f>
        <v>0</v>
      </c>
      <c r="AZ340" s="150" t="n">
        <f aca="false">(1-ProdFac)*AZ477</f>
        <v>0</v>
      </c>
      <c r="BA340" s="150" t="n">
        <f aca="false">(1-ProdFac)*BA477</f>
        <v>0</v>
      </c>
      <c r="BB340" s="150" t="n">
        <f aca="false">(1-ProdFac)*BB477</f>
        <v>0</v>
      </c>
    </row>
    <row r="341" customFormat="false" ht="15" hidden="true" customHeight="false" outlineLevel="1" collapsed="false">
      <c r="B341" s="82" t="s">
        <v>212</v>
      </c>
      <c r="C341" s="128" t="s">
        <v>213</v>
      </c>
      <c r="D341" s="128" t="s">
        <v>59</v>
      </c>
      <c r="E341" s="128"/>
      <c r="F341" s="128" t="s">
        <v>59</v>
      </c>
      <c r="G341" s="75"/>
      <c r="H341" s="128"/>
      <c r="I341" s="128"/>
      <c r="J341" s="128"/>
      <c r="K341" s="128"/>
      <c r="L341" s="78" t="n">
        <f aca="false">SUM(S341:BB341)</f>
        <v>0</v>
      </c>
      <c r="M341" s="128"/>
      <c r="N341" s="130" t="str">
        <f aca="false">IF(ISERROR(VLOOKUP(P341,Member_Tab,2,FALSE())),"",VLOOKUP(P341,Member_Tab,2,FALSE()))</f>
        <v/>
      </c>
      <c r="O341" s="130" t="str">
        <f aca="false">IF(ISERROR(VLOOKUP(P341,Member_Tab,3,FALSE())),"",VLOOKUP(P341,Member_Tab,3,FALSE()))</f>
        <v/>
      </c>
      <c r="P341" s="148" t="n">
        <f aca="false">Site!I97</f>
        <v>0</v>
      </c>
      <c r="Q341" s="128"/>
      <c r="R341" s="131"/>
      <c r="S341" s="150" t="n">
        <f aca="false">(1-ProdFac)*S478</f>
        <v>0</v>
      </c>
      <c r="T341" s="150" t="n">
        <f aca="false">(1-ProdFac)*T478</f>
        <v>0</v>
      </c>
      <c r="U341" s="150" t="n">
        <f aca="false">(1-ProdFac)*U478</f>
        <v>0</v>
      </c>
      <c r="V341" s="150" t="n">
        <f aca="false">(1-ProdFac)*V478</f>
        <v>0</v>
      </c>
      <c r="W341" s="150" t="n">
        <f aca="false">(1-ProdFac)*W478</f>
        <v>0</v>
      </c>
      <c r="X341" s="150" t="n">
        <f aca="false">(1-ProdFac)*X478</f>
        <v>0</v>
      </c>
      <c r="Y341" s="150" t="n">
        <f aca="false">(1-ProdFac)*Y478</f>
        <v>0</v>
      </c>
      <c r="Z341" s="150" t="n">
        <f aca="false">(1-ProdFac)*Z478</f>
        <v>0</v>
      </c>
      <c r="AA341" s="150" t="n">
        <f aca="false">(1-ProdFac)*AA478</f>
        <v>0</v>
      </c>
      <c r="AB341" s="150" t="n">
        <f aca="false">(1-ProdFac)*AB478</f>
        <v>0</v>
      </c>
      <c r="AC341" s="150" t="n">
        <f aca="false">(1-ProdFac)*AC478</f>
        <v>0</v>
      </c>
      <c r="AD341" s="150" t="n">
        <f aca="false">(1-ProdFac)*AD478</f>
        <v>0</v>
      </c>
      <c r="AE341" s="150" t="n">
        <f aca="false">(1-ProdFac)*AE478</f>
        <v>0</v>
      </c>
      <c r="AF341" s="150" t="n">
        <f aca="false">(1-ProdFac)*AF478</f>
        <v>0</v>
      </c>
      <c r="AG341" s="150" t="n">
        <f aca="false">(1-ProdFac)*AG478</f>
        <v>0</v>
      </c>
      <c r="AH341" s="150" t="n">
        <f aca="false">(1-ProdFac)*AH478</f>
        <v>0</v>
      </c>
      <c r="AI341" s="150" t="n">
        <f aca="false">(1-ProdFac)*AI478</f>
        <v>0</v>
      </c>
      <c r="AJ341" s="150" t="n">
        <f aca="false">(1-ProdFac)*AJ478</f>
        <v>0</v>
      </c>
      <c r="AK341" s="150" t="n">
        <f aca="false">(1-ProdFac)*AK478</f>
        <v>0</v>
      </c>
      <c r="AL341" s="150" t="n">
        <f aca="false">(1-ProdFac)*AL478</f>
        <v>0</v>
      </c>
      <c r="AM341" s="150" t="n">
        <f aca="false">(1-ProdFac)*AM478</f>
        <v>0</v>
      </c>
      <c r="AN341" s="150" t="n">
        <f aca="false">(1-ProdFac)*AN478</f>
        <v>0</v>
      </c>
      <c r="AO341" s="150" t="n">
        <f aca="false">(1-ProdFac)*AO478</f>
        <v>0</v>
      </c>
      <c r="AP341" s="150" t="n">
        <f aca="false">(1-ProdFac)*AP478</f>
        <v>0</v>
      </c>
      <c r="AQ341" s="150" t="n">
        <f aca="false">(1-ProdFac)*AQ478</f>
        <v>0</v>
      </c>
      <c r="AR341" s="150" t="n">
        <f aca="false">(1-ProdFac)*AR478</f>
        <v>0</v>
      </c>
      <c r="AS341" s="150" t="n">
        <f aca="false">(1-ProdFac)*AS478</f>
        <v>0</v>
      </c>
      <c r="AT341" s="150" t="n">
        <f aca="false">(1-ProdFac)*AT478</f>
        <v>0</v>
      </c>
      <c r="AU341" s="150" t="n">
        <f aca="false">(1-ProdFac)*AU478</f>
        <v>0</v>
      </c>
      <c r="AV341" s="150" t="n">
        <f aca="false">(1-ProdFac)*AV478</f>
        <v>0</v>
      </c>
      <c r="AW341" s="150" t="n">
        <f aca="false">(1-ProdFac)*AW478</f>
        <v>0</v>
      </c>
      <c r="AX341" s="150" t="n">
        <f aca="false">(1-ProdFac)*AX478</f>
        <v>0</v>
      </c>
      <c r="AY341" s="150" t="n">
        <f aca="false">(1-ProdFac)*AY478</f>
        <v>0</v>
      </c>
      <c r="AZ341" s="150" t="n">
        <f aca="false">(1-ProdFac)*AZ478</f>
        <v>0</v>
      </c>
      <c r="BA341" s="150" t="n">
        <f aca="false">(1-ProdFac)*BA478</f>
        <v>0</v>
      </c>
      <c r="BB341" s="150" t="n">
        <f aca="false">(1-ProdFac)*BB478</f>
        <v>0</v>
      </c>
    </row>
    <row r="342" customFormat="false" ht="15" hidden="true" customHeight="false" outlineLevel="1" collapsed="false">
      <c r="B342" s="82" t="s">
        <v>212</v>
      </c>
      <c r="C342" s="128" t="s">
        <v>213</v>
      </c>
      <c r="D342" s="128" t="s">
        <v>59</v>
      </c>
      <c r="E342" s="128"/>
      <c r="F342" s="128" t="s">
        <v>59</v>
      </c>
      <c r="G342" s="75"/>
      <c r="H342" s="128"/>
      <c r="I342" s="128"/>
      <c r="J342" s="128"/>
      <c r="K342" s="128"/>
      <c r="L342" s="78" t="n">
        <f aca="false">SUM(S342:BB342)</f>
        <v>0</v>
      </c>
      <c r="M342" s="128"/>
      <c r="N342" s="130" t="str">
        <f aca="false">IF(ISERROR(VLOOKUP(P342,Member_Tab,2,FALSE())),"",VLOOKUP(P342,Member_Tab,2,FALSE()))</f>
        <v/>
      </c>
      <c r="O342" s="130" t="str">
        <f aca="false">IF(ISERROR(VLOOKUP(P342,Member_Tab,3,FALSE())),"",VLOOKUP(P342,Member_Tab,3,FALSE()))</f>
        <v/>
      </c>
      <c r="P342" s="148" t="n">
        <f aca="false">Site!I98</f>
        <v>0</v>
      </c>
      <c r="Q342" s="128"/>
      <c r="R342" s="131"/>
      <c r="S342" s="150" t="n">
        <f aca="false">(1-ProdFac)*S479</f>
        <v>0</v>
      </c>
      <c r="T342" s="150" t="n">
        <f aca="false">(1-ProdFac)*T479</f>
        <v>0</v>
      </c>
      <c r="U342" s="150" t="n">
        <f aca="false">(1-ProdFac)*U479</f>
        <v>0</v>
      </c>
      <c r="V342" s="150" t="n">
        <f aca="false">(1-ProdFac)*V479</f>
        <v>0</v>
      </c>
      <c r="W342" s="150" t="n">
        <f aca="false">(1-ProdFac)*W479</f>
        <v>0</v>
      </c>
      <c r="X342" s="150" t="n">
        <f aca="false">(1-ProdFac)*X479</f>
        <v>0</v>
      </c>
      <c r="Y342" s="150" t="n">
        <f aca="false">(1-ProdFac)*Y479</f>
        <v>0</v>
      </c>
      <c r="Z342" s="150" t="n">
        <f aca="false">(1-ProdFac)*Z479</f>
        <v>0</v>
      </c>
      <c r="AA342" s="150" t="n">
        <f aca="false">(1-ProdFac)*AA479</f>
        <v>0</v>
      </c>
      <c r="AB342" s="150" t="n">
        <f aca="false">(1-ProdFac)*AB479</f>
        <v>0</v>
      </c>
      <c r="AC342" s="150" t="n">
        <f aca="false">(1-ProdFac)*AC479</f>
        <v>0</v>
      </c>
      <c r="AD342" s="150" t="n">
        <f aca="false">(1-ProdFac)*AD479</f>
        <v>0</v>
      </c>
      <c r="AE342" s="150" t="n">
        <f aca="false">(1-ProdFac)*AE479</f>
        <v>0</v>
      </c>
      <c r="AF342" s="150" t="n">
        <f aca="false">(1-ProdFac)*AF479</f>
        <v>0</v>
      </c>
      <c r="AG342" s="150" t="n">
        <f aca="false">(1-ProdFac)*AG479</f>
        <v>0</v>
      </c>
      <c r="AH342" s="150" t="n">
        <f aca="false">(1-ProdFac)*AH479</f>
        <v>0</v>
      </c>
      <c r="AI342" s="150" t="n">
        <f aca="false">(1-ProdFac)*AI479</f>
        <v>0</v>
      </c>
      <c r="AJ342" s="150" t="n">
        <f aca="false">(1-ProdFac)*AJ479</f>
        <v>0</v>
      </c>
      <c r="AK342" s="150" t="n">
        <f aca="false">(1-ProdFac)*AK479</f>
        <v>0</v>
      </c>
      <c r="AL342" s="150" t="n">
        <f aca="false">(1-ProdFac)*AL479</f>
        <v>0</v>
      </c>
      <c r="AM342" s="150" t="n">
        <f aca="false">(1-ProdFac)*AM479</f>
        <v>0</v>
      </c>
      <c r="AN342" s="150" t="n">
        <f aca="false">(1-ProdFac)*AN479</f>
        <v>0</v>
      </c>
      <c r="AO342" s="150" t="n">
        <f aca="false">(1-ProdFac)*AO479</f>
        <v>0</v>
      </c>
      <c r="AP342" s="150" t="n">
        <f aca="false">(1-ProdFac)*AP479</f>
        <v>0</v>
      </c>
      <c r="AQ342" s="150" t="n">
        <f aca="false">(1-ProdFac)*AQ479</f>
        <v>0</v>
      </c>
      <c r="AR342" s="150" t="n">
        <f aca="false">(1-ProdFac)*AR479</f>
        <v>0</v>
      </c>
      <c r="AS342" s="150" t="n">
        <f aca="false">(1-ProdFac)*AS479</f>
        <v>0</v>
      </c>
      <c r="AT342" s="150" t="n">
        <f aca="false">(1-ProdFac)*AT479</f>
        <v>0</v>
      </c>
      <c r="AU342" s="150" t="n">
        <f aca="false">(1-ProdFac)*AU479</f>
        <v>0</v>
      </c>
      <c r="AV342" s="150" t="n">
        <f aca="false">(1-ProdFac)*AV479</f>
        <v>0</v>
      </c>
      <c r="AW342" s="150" t="n">
        <f aca="false">(1-ProdFac)*AW479</f>
        <v>0</v>
      </c>
      <c r="AX342" s="150" t="n">
        <f aca="false">(1-ProdFac)*AX479</f>
        <v>0</v>
      </c>
      <c r="AY342" s="150" t="n">
        <f aca="false">(1-ProdFac)*AY479</f>
        <v>0</v>
      </c>
      <c r="AZ342" s="150" t="n">
        <f aca="false">(1-ProdFac)*AZ479</f>
        <v>0</v>
      </c>
      <c r="BA342" s="150" t="n">
        <f aca="false">(1-ProdFac)*BA479</f>
        <v>0</v>
      </c>
      <c r="BB342" s="150" t="n">
        <f aca="false">(1-ProdFac)*BB479</f>
        <v>0</v>
      </c>
    </row>
    <row r="343" customFormat="false" ht="15" hidden="true" customHeight="false" outlineLevel="1" collapsed="false">
      <c r="B343" s="82" t="s">
        <v>212</v>
      </c>
      <c r="C343" s="128" t="s">
        <v>213</v>
      </c>
      <c r="D343" s="128" t="s">
        <v>59</v>
      </c>
      <c r="E343" s="128"/>
      <c r="F343" s="128" t="s">
        <v>59</v>
      </c>
      <c r="G343" s="75"/>
      <c r="H343" s="128"/>
      <c r="I343" s="128"/>
      <c r="J343" s="128"/>
      <c r="K343" s="128"/>
      <c r="L343" s="78" t="n">
        <f aca="false">SUM(S343:BB343)</f>
        <v>0</v>
      </c>
      <c r="M343" s="128"/>
      <c r="N343" s="130" t="str">
        <f aca="false">IF(ISERROR(VLOOKUP(P343,Member_Tab,2,FALSE())),"",VLOOKUP(P343,Member_Tab,2,FALSE()))</f>
        <v/>
      </c>
      <c r="O343" s="130" t="str">
        <f aca="false">IF(ISERROR(VLOOKUP(P343,Member_Tab,3,FALSE())),"",VLOOKUP(P343,Member_Tab,3,FALSE()))</f>
        <v/>
      </c>
      <c r="P343" s="148" t="n">
        <f aca="false">Site!I99</f>
        <v>0</v>
      </c>
      <c r="Q343" s="128"/>
      <c r="R343" s="131"/>
      <c r="S343" s="150" t="n">
        <f aca="false">(1-ProdFac)*S480</f>
        <v>0</v>
      </c>
      <c r="T343" s="150" t="n">
        <f aca="false">(1-ProdFac)*T480</f>
        <v>0</v>
      </c>
      <c r="U343" s="150" t="n">
        <f aca="false">(1-ProdFac)*U480</f>
        <v>0</v>
      </c>
      <c r="V343" s="150" t="n">
        <f aca="false">(1-ProdFac)*V480</f>
        <v>0</v>
      </c>
      <c r="W343" s="150" t="n">
        <f aca="false">(1-ProdFac)*W480</f>
        <v>0</v>
      </c>
      <c r="X343" s="150" t="n">
        <f aca="false">(1-ProdFac)*X480</f>
        <v>0</v>
      </c>
      <c r="Y343" s="150" t="n">
        <f aca="false">(1-ProdFac)*Y480</f>
        <v>0</v>
      </c>
      <c r="Z343" s="150" t="n">
        <f aca="false">(1-ProdFac)*Z480</f>
        <v>0</v>
      </c>
      <c r="AA343" s="150" t="n">
        <f aca="false">(1-ProdFac)*AA480</f>
        <v>0</v>
      </c>
      <c r="AB343" s="150" t="n">
        <f aca="false">(1-ProdFac)*AB480</f>
        <v>0</v>
      </c>
      <c r="AC343" s="150" t="n">
        <f aca="false">(1-ProdFac)*AC480</f>
        <v>0</v>
      </c>
      <c r="AD343" s="150" t="n">
        <f aca="false">(1-ProdFac)*AD480</f>
        <v>0</v>
      </c>
      <c r="AE343" s="150" t="n">
        <f aca="false">(1-ProdFac)*AE480</f>
        <v>0</v>
      </c>
      <c r="AF343" s="150" t="n">
        <f aca="false">(1-ProdFac)*AF480</f>
        <v>0</v>
      </c>
      <c r="AG343" s="150" t="n">
        <f aca="false">(1-ProdFac)*AG480</f>
        <v>0</v>
      </c>
      <c r="AH343" s="150" t="n">
        <f aca="false">(1-ProdFac)*AH480</f>
        <v>0</v>
      </c>
      <c r="AI343" s="150" t="n">
        <f aca="false">(1-ProdFac)*AI480</f>
        <v>0</v>
      </c>
      <c r="AJ343" s="150" t="n">
        <f aca="false">(1-ProdFac)*AJ480</f>
        <v>0</v>
      </c>
      <c r="AK343" s="150" t="n">
        <f aca="false">(1-ProdFac)*AK480</f>
        <v>0</v>
      </c>
      <c r="AL343" s="150" t="n">
        <f aca="false">(1-ProdFac)*AL480</f>
        <v>0</v>
      </c>
      <c r="AM343" s="150" t="n">
        <f aca="false">(1-ProdFac)*AM480</f>
        <v>0</v>
      </c>
      <c r="AN343" s="150" t="n">
        <f aca="false">(1-ProdFac)*AN480</f>
        <v>0</v>
      </c>
      <c r="AO343" s="150" t="n">
        <f aca="false">(1-ProdFac)*AO480</f>
        <v>0</v>
      </c>
      <c r="AP343" s="150" t="n">
        <f aca="false">(1-ProdFac)*AP480</f>
        <v>0</v>
      </c>
      <c r="AQ343" s="150" t="n">
        <f aca="false">(1-ProdFac)*AQ480</f>
        <v>0</v>
      </c>
      <c r="AR343" s="150" t="n">
        <f aca="false">(1-ProdFac)*AR480</f>
        <v>0</v>
      </c>
      <c r="AS343" s="150" t="n">
        <f aca="false">(1-ProdFac)*AS480</f>
        <v>0</v>
      </c>
      <c r="AT343" s="150" t="n">
        <f aca="false">(1-ProdFac)*AT480</f>
        <v>0</v>
      </c>
      <c r="AU343" s="150" t="n">
        <f aca="false">(1-ProdFac)*AU480</f>
        <v>0</v>
      </c>
      <c r="AV343" s="150" t="n">
        <f aca="false">(1-ProdFac)*AV480</f>
        <v>0</v>
      </c>
      <c r="AW343" s="150" t="n">
        <f aca="false">(1-ProdFac)*AW480</f>
        <v>0</v>
      </c>
      <c r="AX343" s="150" t="n">
        <f aca="false">(1-ProdFac)*AX480</f>
        <v>0</v>
      </c>
      <c r="AY343" s="150" t="n">
        <f aca="false">(1-ProdFac)*AY480</f>
        <v>0</v>
      </c>
      <c r="AZ343" s="150" t="n">
        <f aca="false">(1-ProdFac)*AZ480</f>
        <v>0</v>
      </c>
      <c r="BA343" s="150" t="n">
        <f aca="false">(1-ProdFac)*BA480</f>
        <v>0</v>
      </c>
      <c r="BB343" s="150" t="n">
        <f aca="false">(1-ProdFac)*BB480</f>
        <v>0</v>
      </c>
    </row>
    <row r="344" customFormat="false" ht="15" hidden="true" customHeight="false" outlineLevel="1" collapsed="false">
      <c r="B344" s="82" t="s">
        <v>212</v>
      </c>
      <c r="C344" s="128" t="s">
        <v>213</v>
      </c>
      <c r="D344" s="128" t="s">
        <v>59</v>
      </c>
      <c r="E344" s="128"/>
      <c r="F344" s="128" t="s">
        <v>59</v>
      </c>
      <c r="G344" s="75"/>
      <c r="H344" s="128"/>
      <c r="I344" s="128"/>
      <c r="J344" s="128"/>
      <c r="K344" s="128"/>
      <c r="L344" s="78" t="n">
        <f aca="false">SUM(S344:BB344)</f>
        <v>0</v>
      </c>
      <c r="M344" s="128"/>
      <c r="N344" s="130" t="str">
        <f aca="false">IF(ISERROR(VLOOKUP(P344,Member_Tab,2,FALSE())),"",VLOOKUP(P344,Member_Tab,2,FALSE()))</f>
        <v/>
      </c>
      <c r="O344" s="130" t="str">
        <f aca="false">IF(ISERROR(VLOOKUP(P344,Member_Tab,3,FALSE())),"",VLOOKUP(P344,Member_Tab,3,FALSE()))</f>
        <v/>
      </c>
      <c r="P344" s="148" t="n">
        <f aca="false">Site!I100</f>
        <v>0</v>
      </c>
      <c r="Q344" s="128"/>
      <c r="R344" s="131"/>
      <c r="S344" s="150" t="n">
        <f aca="false">(1-ProdFac)*S481</f>
        <v>0</v>
      </c>
      <c r="T344" s="150" t="n">
        <f aca="false">(1-ProdFac)*T481</f>
        <v>0</v>
      </c>
      <c r="U344" s="150" t="n">
        <f aca="false">(1-ProdFac)*U481</f>
        <v>0</v>
      </c>
      <c r="V344" s="150" t="n">
        <f aca="false">(1-ProdFac)*V481</f>
        <v>0</v>
      </c>
      <c r="W344" s="150" t="n">
        <f aca="false">(1-ProdFac)*W481</f>
        <v>0</v>
      </c>
      <c r="X344" s="150" t="n">
        <f aca="false">(1-ProdFac)*X481</f>
        <v>0</v>
      </c>
      <c r="Y344" s="150" t="n">
        <f aca="false">(1-ProdFac)*Y481</f>
        <v>0</v>
      </c>
      <c r="Z344" s="150" t="n">
        <f aca="false">(1-ProdFac)*Z481</f>
        <v>0</v>
      </c>
      <c r="AA344" s="150" t="n">
        <f aca="false">(1-ProdFac)*AA481</f>
        <v>0</v>
      </c>
      <c r="AB344" s="150" t="n">
        <f aca="false">(1-ProdFac)*AB481</f>
        <v>0</v>
      </c>
      <c r="AC344" s="150" t="n">
        <f aca="false">(1-ProdFac)*AC481</f>
        <v>0</v>
      </c>
      <c r="AD344" s="150" t="n">
        <f aca="false">(1-ProdFac)*AD481</f>
        <v>0</v>
      </c>
      <c r="AE344" s="150" t="n">
        <f aca="false">(1-ProdFac)*AE481</f>
        <v>0</v>
      </c>
      <c r="AF344" s="150" t="n">
        <f aca="false">(1-ProdFac)*AF481</f>
        <v>0</v>
      </c>
      <c r="AG344" s="150" t="n">
        <f aca="false">(1-ProdFac)*AG481</f>
        <v>0</v>
      </c>
      <c r="AH344" s="150" t="n">
        <f aca="false">(1-ProdFac)*AH481</f>
        <v>0</v>
      </c>
      <c r="AI344" s="150" t="n">
        <f aca="false">(1-ProdFac)*AI481</f>
        <v>0</v>
      </c>
      <c r="AJ344" s="150" t="n">
        <f aca="false">(1-ProdFac)*AJ481</f>
        <v>0</v>
      </c>
      <c r="AK344" s="150" t="n">
        <f aca="false">(1-ProdFac)*AK481</f>
        <v>0</v>
      </c>
      <c r="AL344" s="150" t="n">
        <f aca="false">(1-ProdFac)*AL481</f>
        <v>0</v>
      </c>
      <c r="AM344" s="150" t="n">
        <f aca="false">(1-ProdFac)*AM481</f>
        <v>0</v>
      </c>
      <c r="AN344" s="150" t="n">
        <f aca="false">(1-ProdFac)*AN481</f>
        <v>0</v>
      </c>
      <c r="AO344" s="150" t="n">
        <f aca="false">(1-ProdFac)*AO481</f>
        <v>0</v>
      </c>
      <c r="AP344" s="150" t="n">
        <f aca="false">(1-ProdFac)*AP481</f>
        <v>0</v>
      </c>
      <c r="AQ344" s="150" t="n">
        <f aca="false">(1-ProdFac)*AQ481</f>
        <v>0</v>
      </c>
      <c r="AR344" s="150" t="n">
        <f aca="false">(1-ProdFac)*AR481</f>
        <v>0</v>
      </c>
      <c r="AS344" s="150" t="n">
        <f aca="false">(1-ProdFac)*AS481</f>
        <v>0</v>
      </c>
      <c r="AT344" s="150" t="n">
        <f aca="false">(1-ProdFac)*AT481</f>
        <v>0</v>
      </c>
      <c r="AU344" s="150" t="n">
        <f aca="false">(1-ProdFac)*AU481</f>
        <v>0</v>
      </c>
      <c r="AV344" s="150" t="n">
        <f aca="false">(1-ProdFac)*AV481</f>
        <v>0</v>
      </c>
      <c r="AW344" s="150" t="n">
        <f aca="false">(1-ProdFac)*AW481</f>
        <v>0</v>
      </c>
      <c r="AX344" s="150" t="n">
        <f aca="false">(1-ProdFac)*AX481</f>
        <v>0</v>
      </c>
      <c r="AY344" s="150" t="n">
        <f aca="false">(1-ProdFac)*AY481</f>
        <v>0</v>
      </c>
      <c r="AZ344" s="150" t="n">
        <f aca="false">(1-ProdFac)*AZ481</f>
        <v>0</v>
      </c>
      <c r="BA344" s="150" t="n">
        <f aca="false">(1-ProdFac)*BA481</f>
        <v>0</v>
      </c>
      <c r="BB344" s="150" t="n">
        <f aca="false">(1-ProdFac)*BB481</f>
        <v>0</v>
      </c>
    </row>
    <row r="345" customFormat="false" ht="15" hidden="true" customHeight="false" outlineLevel="1" collapsed="false">
      <c r="B345" s="82" t="s">
        <v>212</v>
      </c>
      <c r="C345" s="128" t="s">
        <v>213</v>
      </c>
      <c r="D345" s="128" t="s">
        <v>59</v>
      </c>
      <c r="E345" s="128"/>
      <c r="F345" s="128" t="s">
        <v>59</v>
      </c>
      <c r="G345" s="75"/>
      <c r="H345" s="128"/>
      <c r="I345" s="128"/>
      <c r="J345" s="128"/>
      <c r="K345" s="128"/>
      <c r="L345" s="78" t="n">
        <f aca="false">SUM(S345:BB345)</f>
        <v>0</v>
      </c>
      <c r="M345" s="128"/>
      <c r="N345" s="130" t="str">
        <f aca="false">IF(ISERROR(VLOOKUP(P345,Member_Tab,2,FALSE())),"",VLOOKUP(P345,Member_Tab,2,FALSE()))</f>
        <v/>
      </c>
      <c r="O345" s="130" t="str">
        <f aca="false">IF(ISERROR(VLOOKUP(P345,Member_Tab,3,FALSE())),"",VLOOKUP(P345,Member_Tab,3,FALSE()))</f>
        <v/>
      </c>
      <c r="P345" s="148" t="n">
        <f aca="false">Site!I101</f>
        <v>0</v>
      </c>
      <c r="Q345" s="128"/>
      <c r="R345" s="131"/>
      <c r="S345" s="150" t="n">
        <f aca="false">(1-ProdFac)*S482</f>
        <v>0</v>
      </c>
      <c r="T345" s="150" t="n">
        <f aca="false">(1-ProdFac)*T482</f>
        <v>0</v>
      </c>
      <c r="U345" s="150" t="n">
        <f aca="false">(1-ProdFac)*U482</f>
        <v>0</v>
      </c>
      <c r="V345" s="150" t="n">
        <f aca="false">(1-ProdFac)*V482</f>
        <v>0</v>
      </c>
      <c r="W345" s="150" t="n">
        <f aca="false">(1-ProdFac)*W482</f>
        <v>0</v>
      </c>
      <c r="X345" s="150" t="n">
        <f aca="false">(1-ProdFac)*X482</f>
        <v>0</v>
      </c>
      <c r="Y345" s="150" t="n">
        <f aca="false">(1-ProdFac)*Y482</f>
        <v>0</v>
      </c>
      <c r="Z345" s="150" t="n">
        <f aca="false">(1-ProdFac)*Z482</f>
        <v>0</v>
      </c>
      <c r="AA345" s="150" t="n">
        <f aca="false">(1-ProdFac)*AA482</f>
        <v>0</v>
      </c>
      <c r="AB345" s="150" t="n">
        <f aca="false">(1-ProdFac)*AB482</f>
        <v>0</v>
      </c>
      <c r="AC345" s="150" t="n">
        <f aca="false">(1-ProdFac)*AC482</f>
        <v>0</v>
      </c>
      <c r="AD345" s="150" t="n">
        <f aca="false">(1-ProdFac)*AD482</f>
        <v>0</v>
      </c>
      <c r="AE345" s="150" t="n">
        <f aca="false">(1-ProdFac)*AE482</f>
        <v>0</v>
      </c>
      <c r="AF345" s="150" t="n">
        <f aca="false">(1-ProdFac)*AF482</f>
        <v>0</v>
      </c>
      <c r="AG345" s="150" t="n">
        <f aca="false">(1-ProdFac)*AG482</f>
        <v>0</v>
      </c>
      <c r="AH345" s="150" t="n">
        <f aca="false">(1-ProdFac)*AH482</f>
        <v>0</v>
      </c>
      <c r="AI345" s="150" t="n">
        <f aca="false">(1-ProdFac)*AI482</f>
        <v>0</v>
      </c>
      <c r="AJ345" s="150" t="n">
        <f aca="false">(1-ProdFac)*AJ482</f>
        <v>0</v>
      </c>
      <c r="AK345" s="150" t="n">
        <f aca="false">(1-ProdFac)*AK482</f>
        <v>0</v>
      </c>
      <c r="AL345" s="150" t="n">
        <f aca="false">(1-ProdFac)*AL482</f>
        <v>0</v>
      </c>
      <c r="AM345" s="150" t="n">
        <f aca="false">(1-ProdFac)*AM482</f>
        <v>0</v>
      </c>
      <c r="AN345" s="150" t="n">
        <f aca="false">(1-ProdFac)*AN482</f>
        <v>0</v>
      </c>
      <c r="AO345" s="150" t="n">
        <f aca="false">(1-ProdFac)*AO482</f>
        <v>0</v>
      </c>
      <c r="AP345" s="150" t="n">
        <f aca="false">(1-ProdFac)*AP482</f>
        <v>0</v>
      </c>
      <c r="AQ345" s="150" t="n">
        <f aca="false">(1-ProdFac)*AQ482</f>
        <v>0</v>
      </c>
      <c r="AR345" s="150" t="n">
        <f aca="false">(1-ProdFac)*AR482</f>
        <v>0</v>
      </c>
      <c r="AS345" s="150" t="n">
        <f aca="false">(1-ProdFac)*AS482</f>
        <v>0</v>
      </c>
      <c r="AT345" s="150" t="n">
        <f aca="false">(1-ProdFac)*AT482</f>
        <v>0</v>
      </c>
      <c r="AU345" s="150" t="n">
        <f aca="false">(1-ProdFac)*AU482</f>
        <v>0</v>
      </c>
      <c r="AV345" s="150" t="n">
        <f aca="false">(1-ProdFac)*AV482</f>
        <v>0</v>
      </c>
      <c r="AW345" s="150" t="n">
        <f aca="false">(1-ProdFac)*AW482</f>
        <v>0</v>
      </c>
      <c r="AX345" s="150" t="n">
        <f aca="false">(1-ProdFac)*AX482</f>
        <v>0</v>
      </c>
      <c r="AY345" s="150" t="n">
        <f aca="false">(1-ProdFac)*AY482</f>
        <v>0</v>
      </c>
      <c r="AZ345" s="150" t="n">
        <f aca="false">(1-ProdFac)*AZ482</f>
        <v>0</v>
      </c>
      <c r="BA345" s="150" t="n">
        <f aca="false">(1-ProdFac)*BA482</f>
        <v>0</v>
      </c>
      <c r="BB345" s="150" t="n">
        <f aca="false">(1-ProdFac)*BB482</f>
        <v>0</v>
      </c>
    </row>
    <row r="346" customFormat="false" ht="15" hidden="true" customHeight="false" outlineLevel="1" collapsed="false">
      <c r="B346" s="82" t="s">
        <v>212</v>
      </c>
      <c r="C346" s="128" t="s">
        <v>213</v>
      </c>
      <c r="D346" s="128" t="s">
        <v>59</v>
      </c>
      <c r="E346" s="128"/>
      <c r="F346" s="128" t="s">
        <v>59</v>
      </c>
      <c r="G346" s="75"/>
      <c r="H346" s="128"/>
      <c r="I346" s="128"/>
      <c r="J346" s="128"/>
      <c r="K346" s="128"/>
      <c r="L346" s="78" t="n">
        <f aca="false">SUM(S346:BB346)</f>
        <v>0</v>
      </c>
      <c r="M346" s="128"/>
      <c r="N346" s="130" t="str">
        <f aca="false">IF(ISERROR(VLOOKUP(P346,Member_Tab,2,FALSE())),"",VLOOKUP(P346,Member_Tab,2,FALSE()))</f>
        <v/>
      </c>
      <c r="O346" s="130" t="str">
        <f aca="false">IF(ISERROR(VLOOKUP(P346,Member_Tab,3,FALSE())),"",VLOOKUP(P346,Member_Tab,3,FALSE()))</f>
        <v/>
      </c>
      <c r="P346" s="148" t="n">
        <f aca="false">Site!I102</f>
        <v>0</v>
      </c>
      <c r="Q346" s="128"/>
      <c r="R346" s="131"/>
      <c r="S346" s="150" t="n">
        <f aca="false">(1-ProdFac)*S483</f>
        <v>0</v>
      </c>
      <c r="T346" s="150" t="n">
        <f aca="false">(1-ProdFac)*T483</f>
        <v>0</v>
      </c>
      <c r="U346" s="150" t="n">
        <f aca="false">(1-ProdFac)*U483</f>
        <v>0</v>
      </c>
      <c r="V346" s="150" t="n">
        <f aca="false">(1-ProdFac)*V483</f>
        <v>0</v>
      </c>
      <c r="W346" s="150" t="n">
        <f aca="false">(1-ProdFac)*W483</f>
        <v>0</v>
      </c>
      <c r="X346" s="150" t="n">
        <f aca="false">(1-ProdFac)*X483</f>
        <v>0</v>
      </c>
      <c r="Y346" s="150" t="n">
        <f aca="false">(1-ProdFac)*Y483</f>
        <v>0</v>
      </c>
      <c r="Z346" s="150" t="n">
        <f aca="false">(1-ProdFac)*Z483</f>
        <v>0</v>
      </c>
      <c r="AA346" s="150" t="n">
        <f aca="false">(1-ProdFac)*AA483</f>
        <v>0</v>
      </c>
      <c r="AB346" s="150" t="n">
        <f aca="false">(1-ProdFac)*AB483</f>
        <v>0</v>
      </c>
      <c r="AC346" s="150" t="n">
        <f aca="false">(1-ProdFac)*AC483</f>
        <v>0</v>
      </c>
      <c r="AD346" s="150" t="n">
        <f aca="false">(1-ProdFac)*AD483</f>
        <v>0</v>
      </c>
      <c r="AE346" s="150" t="n">
        <f aca="false">(1-ProdFac)*AE483</f>
        <v>0</v>
      </c>
      <c r="AF346" s="150" t="n">
        <f aca="false">(1-ProdFac)*AF483</f>
        <v>0</v>
      </c>
      <c r="AG346" s="150" t="n">
        <f aca="false">(1-ProdFac)*AG483</f>
        <v>0</v>
      </c>
      <c r="AH346" s="150" t="n">
        <f aca="false">(1-ProdFac)*AH483</f>
        <v>0</v>
      </c>
      <c r="AI346" s="150" t="n">
        <f aca="false">(1-ProdFac)*AI483</f>
        <v>0</v>
      </c>
      <c r="AJ346" s="150" t="n">
        <f aca="false">(1-ProdFac)*AJ483</f>
        <v>0</v>
      </c>
      <c r="AK346" s="150" t="n">
        <f aca="false">(1-ProdFac)*AK483</f>
        <v>0</v>
      </c>
      <c r="AL346" s="150" t="n">
        <f aca="false">(1-ProdFac)*AL483</f>
        <v>0</v>
      </c>
      <c r="AM346" s="150" t="n">
        <f aca="false">(1-ProdFac)*AM483</f>
        <v>0</v>
      </c>
      <c r="AN346" s="150" t="n">
        <f aca="false">(1-ProdFac)*AN483</f>
        <v>0</v>
      </c>
      <c r="AO346" s="150" t="n">
        <f aca="false">(1-ProdFac)*AO483</f>
        <v>0</v>
      </c>
      <c r="AP346" s="150" t="n">
        <f aca="false">(1-ProdFac)*AP483</f>
        <v>0</v>
      </c>
      <c r="AQ346" s="150" t="n">
        <f aca="false">(1-ProdFac)*AQ483</f>
        <v>0</v>
      </c>
      <c r="AR346" s="150" t="n">
        <f aca="false">(1-ProdFac)*AR483</f>
        <v>0</v>
      </c>
      <c r="AS346" s="150" t="n">
        <f aca="false">(1-ProdFac)*AS483</f>
        <v>0</v>
      </c>
      <c r="AT346" s="150" t="n">
        <f aca="false">(1-ProdFac)*AT483</f>
        <v>0</v>
      </c>
      <c r="AU346" s="150" t="n">
        <f aca="false">(1-ProdFac)*AU483</f>
        <v>0</v>
      </c>
      <c r="AV346" s="150" t="n">
        <f aca="false">(1-ProdFac)*AV483</f>
        <v>0</v>
      </c>
      <c r="AW346" s="150" t="n">
        <f aca="false">(1-ProdFac)*AW483</f>
        <v>0</v>
      </c>
      <c r="AX346" s="150" t="n">
        <f aca="false">(1-ProdFac)*AX483</f>
        <v>0</v>
      </c>
      <c r="AY346" s="150" t="n">
        <f aca="false">(1-ProdFac)*AY483</f>
        <v>0</v>
      </c>
      <c r="AZ346" s="150" t="n">
        <f aca="false">(1-ProdFac)*AZ483</f>
        <v>0</v>
      </c>
      <c r="BA346" s="150" t="n">
        <f aca="false">(1-ProdFac)*BA483</f>
        <v>0</v>
      </c>
      <c r="BB346" s="150" t="n">
        <f aca="false">(1-ProdFac)*BB483</f>
        <v>0</v>
      </c>
    </row>
    <row r="347" customFormat="false" ht="15" hidden="true" customHeight="false" outlineLevel="1" collapsed="false">
      <c r="B347" s="82" t="s">
        <v>212</v>
      </c>
      <c r="C347" s="128" t="s">
        <v>213</v>
      </c>
      <c r="D347" s="128" t="s">
        <v>59</v>
      </c>
      <c r="E347" s="128"/>
      <c r="F347" s="128" t="s">
        <v>59</v>
      </c>
      <c r="G347" s="75"/>
      <c r="H347" s="128"/>
      <c r="I347" s="128"/>
      <c r="J347" s="128"/>
      <c r="K347" s="128"/>
      <c r="L347" s="78" t="n">
        <f aca="false">SUM(S347:BB347)</f>
        <v>0</v>
      </c>
      <c r="M347" s="128"/>
      <c r="N347" s="130" t="str">
        <f aca="false">IF(ISERROR(VLOOKUP(P347,Member_Tab,2,FALSE())),"",VLOOKUP(P347,Member_Tab,2,FALSE()))</f>
        <v/>
      </c>
      <c r="O347" s="130" t="str">
        <f aca="false">IF(ISERROR(VLOOKUP(P347,Member_Tab,3,FALSE())),"",VLOOKUP(P347,Member_Tab,3,FALSE()))</f>
        <v/>
      </c>
      <c r="P347" s="148" t="n">
        <f aca="false">Site!I103</f>
        <v>0</v>
      </c>
      <c r="Q347" s="128"/>
      <c r="R347" s="131"/>
      <c r="S347" s="150" t="n">
        <f aca="false">(1-ProdFac)*S484</f>
        <v>0</v>
      </c>
      <c r="T347" s="150" t="n">
        <f aca="false">(1-ProdFac)*T484</f>
        <v>0</v>
      </c>
      <c r="U347" s="150" t="n">
        <f aca="false">(1-ProdFac)*U484</f>
        <v>0</v>
      </c>
      <c r="V347" s="150" t="n">
        <f aca="false">(1-ProdFac)*V484</f>
        <v>0</v>
      </c>
      <c r="W347" s="150" t="n">
        <f aca="false">(1-ProdFac)*W484</f>
        <v>0</v>
      </c>
      <c r="X347" s="150" t="n">
        <f aca="false">(1-ProdFac)*X484</f>
        <v>0</v>
      </c>
      <c r="Y347" s="150" t="n">
        <f aca="false">(1-ProdFac)*Y484</f>
        <v>0</v>
      </c>
      <c r="Z347" s="150" t="n">
        <f aca="false">(1-ProdFac)*Z484</f>
        <v>0</v>
      </c>
      <c r="AA347" s="150" t="n">
        <f aca="false">(1-ProdFac)*AA484</f>
        <v>0</v>
      </c>
      <c r="AB347" s="150" t="n">
        <f aca="false">(1-ProdFac)*AB484</f>
        <v>0</v>
      </c>
      <c r="AC347" s="150" t="n">
        <f aca="false">(1-ProdFac)*AC484</f>
        <v>0</v>
      </c>
      <c r="AD347" s="150" t="n">
        <f aca="false">(1-ProdFac)*AD484</f>
        <v>0</v>
      </c>
      <c r="AE347" s="150" t="n">
        <f aca="false">(1-ProdFac)*AE484</f>
        <v>0</v>
      </c>
      <c r="AF347" s="150" t="n">
        <f aca="false">(1-ProdFac)*AF484</f>
        <v>0</v>
      </c>
      <c r="AG347" s="150" t="n">
        <f aca="false">(1-ProdFac)*AG484</f>
        <v>0</v>
      </c>
      <c r="AH347" s="150" t="n">
        <f aca="false">(1-ProdFac)*AH484</f>
        <v>0</v>
      </c>
      <c r="AI347" s="150" t="n">
        <f aca="false">(1-ProdFac)*AI484</f>
        <v>0</v>
      </c>
      <c r="AJ347" s="150" t="n">
        <f aca="false">(1-ProdFac)*AJ484</f>
        <v>0</v>
      </c>
      <c r="AK347" s="150" t="n">
        <f aca="false">(1-ProdFac)*AK484</f>
        <v>0</v>
      </c>
      <c r="AL347" s="150" t="n">
        <f aca="false">(1-ProdFac)*AL484</f>
        <v>0</v>
      </c>
      <c r="AM347" s="150" t="n">
        <f aca="false">(1-ProdFac)*AM484</f>
        <v>0</v>
      </c>
      <c r="AN347" s="150" t="n">
        <f aca="false">(1-ProdFac)*AN484</f>
        <v>0</v>
      </c>
      <c r="AO347" s="150" t="n">
        <f aca="false">(1-ProdFac)*AO484</f>
        <v>0</v>
      </c>
      <c r="AP347" s="150" t="n">
        <f aca="false">(1-ProdFac)*AP484</f>
        <v>0</v>
      </c>
      <c r="AQ347" s="150" t="n">
        <f aca="false">(1-ProdFac)*AQ484</f>
        <v>0</v>
      </c>
      <c r="AR347" s="150" t="n">
        <f aca="false">(1-ProdFac)*AR484</f>
        <v>0</v>
      </c>
      <c r="AS347" s="150" t="n">
        <f aca="false">(1-ProdFac)*AS484</f>
        <v>0</v>
      </c>
      <c r="AT347" s="150" t="n">
        <f aca="false">(1-ProdFac)*AT484</f>
        <v>0</v>
      </c>
      <c r="AU347" s="150" t="n">
        <f aca="false">(1-ProdFac)*AU484</f>
        <v>0</v>
      </c>
      <c r="AV347" s="150" t="n">
        <f aca="false">(1-ProdFac)*AV484</f>
        <v>0</v>
      </c>
      <c r="AW347" s="150" t="n">
        <f aca="false">(1-ProdFac)*AW484</f>
        <v>0</v>
      </c>
      <c r="AX347" s="150" t="n">
        <f aca="false">(1-ProdFac)*AX484</f>
        <v>0</v>
      </c>
      <c r="AY347" s="150" t="n">
        <f aca="false">(1-ProdFac)*AY484</f>
        <v>0</v>
      </c>
      <c r="AZ347" s="150" t="n">
        <f aca="false">(1-ProdFac)*AZ484</f>
        <v>0</v>
      </c>
      <c r="BA347" s="150" t="n">
        <f aca="false">(1-ProdFac)*BA484</f>
        <v>0</v>
      </c>
      <c r="BB347" s="150" t="n">
        <f aca="false">(1-ProdFac)*BB484</f>
        <v>0</v>
      </c>
    </row>
    <row r="348" customFormat="false" ht="15" hidden="true" customHeight="false" outlineLevel="1" collapsed="false">
      <c r="B348" s="82" t="s">
        <v>212</v>
      </c>
      <c r="C348" s="128" t="s">
        <v>213</v>
      </c>
      <c r="D348" s="128" t="s">
        <v>59</v>
      </c>
      <c r="E348" s="128"/>
      <c r="F348" s="128" t="s">
        <v>59</v>
      </c>
      <c r="G348" s="75"/>
      <c r="H348" s="128"/>
      <c r="I348" s="128"/>
      <c r="J348" s="128"/>
      <c r="K348" s="128"/>
      <c r="L348" s="78" t="n">
        <f aca="false">SUM(S348:BB348)</f>
        <v>0</v>
      </c>
      <c r="M348" s="128"/>
      <c r="N348" s="130" t="str">
        <f aca="false">IF(ISERROR(VLOOKUP(P348,Member_Tab,2,FALSE())),"",VLOOKUP(P348,Member_Tab,2,FALSE()))</f>
        <v/>
      </c>
      <c r="O348" s="130" t="str">
        <f aca="false">IF(ISERROR(VLOOKUP(P348,Member_Tab,3,FALSE())),"",VLOOKUP(P348,Member_Tab,3,FALSE()))</f>
        <v/>
      </c>
      <c r="P348" s="148" t="n">
        <f aca="false">Site!I104</f>
        <v>0</v>
      </c>
      <c r="Q348" s="128"/>
      <c r="R348" s="131"/>
      <c r="S348" s="150" t="n">
        <f aca="false">(1-ProdFac)*S485</f>
        <v>0</v>
      </c>
      <c r="T348" s="150" t="n">
        <f aca="false">(1-ProdFac)*T485</f>
        <v>0</v>
      </c>
      <c r="U348" s="150" t="n">
        <f aca="false">(1-ProdFac)*U485</f>
        <v>0</v>
      </c>
      <c r="V348" s="150" t="n">
        <f aca="false">(1-ProdFac)*V485</f>
        <v>0</v>
      </c>
      <c r="W348" s="150" t="n">
        <f aca="false">(1-ProdFac)*W485</f>
        <v>0</v>
      </c>
      <c r="X348" s="150" t="n">
        <f aca="false">(1-ProdFac)*X485</f>
        <v>0</v>
      </c>
      <c r="Y348" s="150" t="n">
        <f aca="false">(1-ProdFac)*Y485</f>
        <v>0</v>
      </c>
      <c r="Z348" s="150" t="n">
        <f aca="false">(1-ProdFac)*Z485</f>
        <v>0</v>
      </c>
      <c r="AA348" s="150" t="n">
        <f aca="false">(1-ProdFac)*AA485</f>
        <v>0</v>
      </c>
      <c r="AB348" s="150" t="n">
        <f aca="false">(1-ProdFac)*AB485</f>
        <v>0</v>
      </c>
      <c r="AC348" s="150" t="n">
        <f aca="false">(1-ProdFac)*AC485</f>
        <v>0</v>
      </c>
      <c r="AD348" s="150" t="n">
        <f aca="false">(1-ProdFac)*AD485</f>
        <v>0</v>
      </c>
      <c r="AE348" s="150" t="n">
        <f aca="false">(1-ProdFac)*AE485</f>
        <v>0</v>
      </c>
      <c r="AF348" s="150" t="n">
        <f aca="false">(1-ProdFac)*AF485</f>
        <v>0</v>
      </c>
      <c r="AG348" s="150" t="n">
        <f aca="false">(1-ProdFac)*AG485</f>
        <v>0</v>
      </c>
      <c r="AH348" s="150" t="n">
        <f aca="false">(1-ProdFac)*AH485</f>
        <v>0</v>
      </c>
      <c r="AI348" s="150" t="n">
        <f aca="false">(1-ProdFac)*AI485</f>
        <v>0</v>
      </c>
      <c r="AJ348" s="150" t="n">
        <f aca="false">(1-ProdFac)*AJ485</f>
        <v>0</v>
      </c>
      <c r="AK348" s="150" t="n">
        <f aca="false">(1-ProdFac)*AK485</f>
        <v>0</v>
      </c>
      <c r="AL348" s="150" t="n">
        <f aca="false">(1-ProdFac)*AL485</f>
        <v>0</v>
      </c>
      <c r="AM348" s="150" t="n">
        <f aca="false">(1-ProdFac)*AM485</f>
        <v>0</v>
      </c>
      <c r="AN348" s="150" t="n">
        <f aca="false">(1-ProdFac)*AN485</f>
        <v>0</v>
      </c>
      <c r="AO348" s="150" t="n">
        <f aca="false">(1-ProdFac)*AO485</f>
        <v>0</v>
      </c>
      <c r="AP348" s="150" t="n">
        <f aca="false">(1-ProdFac)*AP485</f>
        <v>0</v>
      </c>
      <c r="AQ348" s="150" t="n">
        <f aca="false">(1-ProdFac)*AQ485</f>
        <v>0</v>
      </c>
      <c r="AR348" s="150" t="n">
        <f aca="false">(1-ProdFac)*AR485</f>
        <v>0</v>
      </c>
      <c r="AS348" s="150" t="n">
        <f aca="false">(1-ProdFac)*AS485</f>
        <v>0</v>
      </c>
      <c r="AT348" s="150" t="n">
        <f aca="false">(1-ProdFac)*AT485</f>
        <v>0</v>
      </c>
      <c r="AU348" s="150" t="n">
        <f aca="false">(1-ProdFac)*AU485</f>
        <v>0</v>
      </c>
      <c r="AV348" s="150" t="n">
        <f aca="false">(1-ProdFac)*AV485</f>
        <v>0</v>
      </c>
      <c r="AW348" s="150" t="n">
        <f aca="false">(1-ProdFac)*AW485</f>
        <v>0</v>
      </c>
      <c r="AX348" s="150" t="n">
        <f aca="false">(1-ProdFac)*AX485</f>
        <v>0</v>
      </c>
      <c r="AY348" s="150" t="n">
        <f aca="false">(1-ProdFac)*AY485</f>
        <v>0</v>
      </c>
      <c r="AZ348" s="150" t="n">
        <f aca="false">(1-ProdFac)*AZ485</f>
        <v>0</v>
      </c>
      <c r="BA348" s="150" t="n">
        <f aca="false">(1-ProdFac)*BA485</f>
        <v>0</v>
      </c>
      <c r="BB348" s="150" t="n">
        <f aca="false">(1-ProdFac)*BB485</f>
        <v>0</v>
      </c>
    </row>
    <row r="349" customFormat="false" ht="15" hidden="true" customHeight="false" outlineLevel="1" collapsed="false">
      <c r="B349" s="82" t="s">
        <v>212</v>
      </c>
      <c r="C349" s="128" t="s">
        <v>213</v>
      </c>
      <c r="D349" s="128" t="s">
        <v>59</v>
      </c>
      <c r="E349" s="128"/>
      <c r="F349" s="128" t="s">
        <v>59</v>
      </c>
      <c r="G349" s="75"/>
      <c r="H349" s="128"/>
      <c r="I349" s="128"/>
      <c r="J349" s="128"/>
      <c r="K349" s="128"/>
      <c r="L349" s="78" t="n">
        <f aca="false">SUM(S349:BB349)</f>
        <v>0</v>
      </c>
      <c r="M349" s="128"/>
      <c r="N349" s="130" t="str">
        <f aca="false">IF(ISERROR(VLOOKUP(P349,Member_Tab,2,FALSE())),"",VLOOKUP(P349,Member_Tab,2,FALSE()))</f>
        <v/>
      </c>
      <c r="O349" s="130" t="str">
        <f aca="false">IF(ISERROR(VLOOKUP(P349,Member_Tab,3,FALSE())),"",VLOOKUP(P349,Member_Tab,3,FALSE()))</f>
        <v/>
      </c>
      <c r="P349" s="148" t="n">
        <f aca="false">Site!I105</f>
        <v>0</v>
      </c>
      <c r="Q349" s="128"/>
      <c r="R349" s="131"/>
      <c r="S349" s="150" t="n">
        <f aca="false">(1-ProdFac)*S486</f>
        <v>0</v>
      </c>
      <c r="T349" s="150" t="n">
        <f aca="false">(1-ProdFac)*T486</f>
        <v>0</v>
      </c>
      <c r="U349" s="150" t="n">
        <f aca="false">(1-ProdFac)*U486</f>
        <v>0</v>
      </c>
      <c r="V349" s="150" t="n">
        <f aca="false">(1-ProdFac)*V486</f>
        <v>0</v>
      </c>
      <c r="W349" s="150" t="n">
        <f aca="false">(1-ProdFac)*W486</f>
        <v>0</v>
      </c>
      <c r="X349" s="150" t="n">
        <f aca="false">(1-ProdFac)*X486</f>
        <v>0</v>
      </c>
      <c r="Y349" s="150" t="n">
        <f aca="false">(1-ProdFac)*Y486</f>
        <v>0</v>
      </c>
      <c r="Z349" s="150" t="n">
        <f aca="false">(1-ProdFac)*Z486</f>
        <v>0</v>
      </c>
      <c r="AA349" s="150" t="n">
        <f aca="false">(1-ProdFac)*AA486</f>
        <v>0</v>
      </c>
      <c r="AB349" s="150" t="n">
        <f aca="false">(1-ProdFac)*AB486</f>
        <v>0</v>
      </c>
      <c r="AC349" s="150" t="n">
        <f aca="false">(1-ProdFac)*AC486</f>
        <v>0</v>
      </c>
      <c r="AD349" s="150" t="n">
        <f aca="false">(1-ProdFac)*AD486</f>
        <v>0</v>
      </c>
      <c r="AE349" s="150" t="n">
        <f aca="false">(1-ProdFac)*AE486</f>
        <v>0</v>
      </c>
      <c r="AF349" s="150" t="n">
        <f aca="false">(1-ProdFac)*AF486</f>
        <v>0</v>
      </c>
      <c r="AG349" s="150" t="n">
        <f aca="false">(1-ProdFac)*AG486</f>
        <v>0</v>
      </c>
      <c r="AH349" s="150" t="n">
        <f aca="false">(1-ProdFac)*AH486</f>
        <v>0</v>
      </c>
      <c r="AI349" s="150" t="n">
        <f aca="false">(1-ProdFac)*AI486</f>
        <v>0</v>
      </c>
      <c r="AJ349" s="150" t="n">
        <f aca="false">(1-ProdFac)*AJ486</f>
        <v>0</v>
      </c>
      <c r="AK349" s="150" t="n">
        <f aca="false">(1-ProdFac)*AK486</f>
        <v>0</v>
      </c>
      <c r="AL349" s="150" t="n">
        <f aca="false">(1-ProdFac)*AL486</f>
        <v>0</v>
      </c>
      <c r="AM349" s="150" t="n">
        <f aca="false">(1-ProdFac)*AM486</f>
        <v>0</v>
      </c>
      <c r="AN349" s="150" t="n">
        <f aca="false">(1-ProdFac)*AN486</f>
        <v>0</v>
      </c>
      <c r="AO349" s="150" t="n">
        <f aca="false">(1-ProdFac)*AO486</f>
        <v>0</v>
      </c>
      <c r="AP349" s="150" t="n">
        <f aca="false">(1-ProdFac)*AP486</f>
        <v>0</v>
      </c>
      <c r="AQ349" s="150" t="n">
        <f aca="false">(1-ProdFac)*AQ486</f>
        <v>0</v>
      </c>
      <c r="AR349" s="150" t="n">
        <f aca="false">(1-ProdFac)*AR486</f>
        <v>0</v>
      </c>
      <c r="AS349" s="150" t="n">
        <f aca="false">(1-ProdFac)*AS486</f>
        <v>0</v>
      </c>
      <c r="AT349" s="150" t="n">
        <f aca="false">(1-ProdFac)*AT486</f>
        <v>0</v>
      </c>
      <c r="AU349" s="150" t="n">
        <f aca="false">(1-ProdFac)*AU486</f>
        <v>0</v>
      </c>
      <c r="AV349" s="150" t="n">
        <f aca="false">(1-ProdFac)*AV486</f>
        <v>0</v>
      </c>
      <c r="AW349" s="150" t="n">
        <f aca="false">(1-ProdFac)*AW486</f>
        <v>0</v>
      </c>
      <c r="AX349" s="150" t="n">
        <f aca="false">(1-ProdFac)*AX486</f>
        <v>0</v>
      </c>
      <c r="AY349" s="150" t="n">
        <f aca="false">(1-ProdFac)*AY486</f>
        <v>0</v>
      </c>
      <c r="AZ349" s="150" t="n">
        <f aca="false">(1-ProdFac)*AZ486</f>
        <v>0</v>
      </c>
      <c r="BA349" s="150" t="n">
        <f aca="false">(1-ProdFac)*BA486</f>
        <v>0</v>
      </c>
      <c r="BB349" s="150" t="n">
        <f aca="false">(1-ProdFac)*BB486</f>
        <v>0</v>
      </c>
    </row>
    <row r="350" customFormat="false" ht="15" hidden="true" customHeight="false" outlineLevel="1" collapsed="false">
      <c r="B350" s="82" t="s">
        <v>212</v>
      </c>
      <c r="C350" s="128" t="s">
        <v>213</v>
      </c>
      <c r="D350" s="128" t="s">
        <v>59</v>
      </c>
      <c r="E350" s="128"/>
      <c r="F350" s="128" t="s">
        <v>59</v>
      </c>
      <c r="G350" s="75"/>
      <c r="H350" s="128"/>
      <c r="I350" s="128"/>
      <c r="J350" s="128"/>
      <c r="K350" s="128"/>
      <c r="L350" s="78" t="n">
        <f aca="false">SUM(S350:BB350)</f>
        <v>0</v>
      </c>
      <c r="M350" s="128"/>
      <c r="N350" s="130" t="str">
        <f aca="false">IF(ISERROR(VLOOKUP(P350,Member_Tab,2,FALSE())),"",VLOOKUP(P350,Member_Tab,2,FALSE()))</f>
        <v/>
      </c>
      <c r="O350" s="130" t="str">
        <f aca="false">IF(ISERROR(VLOOKUP(P350,Member_Tab,3,FALSE())),"",VLOOKUP(P350,Member_Tab,3,FALSE()))</f>
        <v/>
      </c>
      <c r="P350" s="148" t="n">
        <f aca="false">Site!I106</f>
        <v>0</v>
      </c>
      <c r="Q350" s="128"/>
      <c r="R350" s="131"/>
      <c r="S350" s="150" t="n">
        <f aca="false">(1-ProdFac)*S487</f>
        <v>0</v>
      </c>
      <c r="T350" s="150" t="n">
        <f aca="false">(1-ProdFac)*T487</f>
        <v>0</v>
      </c>
      <c r="U350" s="150" t="n">
        <f aca="false">(1-ProdFac)*U487</f>
        <v>0</v>
      </c>
      <c r="V350" s="150" t="n">
        <f aca="false">(1-ProdFac)*V487</f>
        <v>0</v>
      </c>
      <c r="W350" s="150" t="n">
        <f aca="false">(1-ProdFac)*W487</f>
        <v>0</v>
      </c>
      <c r="X350" s="150" t="n">
        <f aca="false">(1-ProdFac)*X487</f>
        <v>0</v>
      </c>
      <c r="Y350" s="150" t="n">
        <f aca="false">(1-ProdFac)*Y487</f>
        <v>0</v>
      </c>
      <c r="Z350" s="150" t="n">
        <f aca="false">(1-ProdFac)*Z487</f>
        <v>0</v>
      </c>
      <c r="AA350" s="150" t="n">
        <f aca="false">(1-ProdFac)*AA487</f>
        <v>0</v>
      </c>
      <c r="AB350" s="150" t="n">
        <f aca="false">(1-ProdFac)*AB487</f>
        <v>0</v>
      </c>
      <c r="AC350" s="150" t="n">
        <f aca="false">(1-ProdFac)*AC487</f>
        <v>0</v>
      </c>
      <c r="AD350" s="150" t="n">
        <f aca="false">(1-ProdFac)*AD487</f>
        <v>0</v>
      </c>
      <c r="AE350" s="150" t="n">
        <f aca="false">(1-ProdFac)*AE487</f>
        <v>0</v>
      </c>
      <c r="AF350" s="150" t="n">
        <f aca="false">(1-ProdFac)*AF487</f>
        <v>0</v>
      </c>
      <c r="AG350" s="150" t="n">
        <f aca="false">(1-ProdFac)*AG487</f>
        <v>0</v>
      </c>
      <c r="AH350" s="150" t="n">
        <f aca="false">(1-ProdFac)*AH487</f>
        <v>0</v>
      </c>
      <c r="AI350" s="150" t="n">
        <f aca="false">(1-ProdFac)*AI487</f>
        <v>0</v>
      </c>
      <c r="AJ350" s="150" t="n">
        <f aca="false">(1-ProdFac)*AJ487</f>
        <v>0</v>
      </c>
      <c r="AK350" s="150" t="n">
        <f aca="false">(1-ProdFac)*AK487</f>
        <v>0</v>
      </c>
      <c r="AL350" s="150" t="n">
        <f aca="false">(1-ProdFac)*AL487</f>
        <v>0</v>
      </c>
      <c r="AM350" s="150" t="n">
        <f aca="false">(1-ProdFac)*AM487</f>
        <v>0</v>
      </c>
      <c r="AN350" s="150" t="n">
        <f aca="false">(1-ProdFac)*AN487</f>
        <v>0</v>
      </c>
      <c r="AO350" s="150" t="n">
        <f aca="false">(1-ProdFac)*AO487</f>
        <v>0</v>
      </c>
      <c r="AP350" s="150" t="n">
        <f aca="false">(1-ProdFac)*AP487</f>
        <v>0</v>
      </c>
      <c r="AQ350" s="150" t="n">
        <f aca="false">(1-ProdFac)*AQ487</f>
        <v>0</v>
      </c>
      <c r="AR350" s="150" t="n">
        <f aca="false">(1-ProdFac)*AR487</f>
        <v>0</v>
      </c>
      <c r="AS350" s="150" t="n">
        <f aca="false">(1-ProdFac)*AS487</f>
        <v>0</v>
      </c>
      <c r="AT350" s="150" t="n">
        <f aca="false">(1-ProdFac)*AT487</f>
        <v>0</v>
      </c>
      <c r="AU350" s="150" t="n">
        <f aca="false">(1-ProdFac)*AU487</f>
        <v>0</v>
      </c>
      <c r="AV350" s="150" t="n">
        <f aca="false">(1-ProdFac)*AV487</f>
        <v>0</v>
      </c>
      <c r="AW350" s="150" t="n">
        <f aca="false">(1-ProdFac)*AW487</f>
        <v>0</v>
      </c>
      <c r="AX350" s="150" t="n">
        <f aca="false">(1-ProdFac)*AX487</f>
        <v>0</v>
      </c>
      <c r="AY350" s="150" t="n">
        <f aca="false">(1-ProdFac)*AY487</f>
        <v>0</v>
      </c>
      <c r="AZ350" s="150" t="n">
        <f aca="false">(1-ProdFac)*AZ487</f>
        <v>0</v>
      </c>
      <c r="BA350" s="150" t="n">
        <f aca="false">(1-ProdFac)*BA487</f>
        <v>0</v>
      </c>
      <c r="BB350" s="150" t="n">
        <f aca="false">(1-ProdFac)*BB487</f>
        <v>0</v>
      </c>
    </row>
    <row r="351" customFormat="false" ht="15" hidden="true" customHeight="false" outlineLevel="1" collapsed="false">
      <c r="B351" s="82" t="s">
        <v>212</v>
      </c>
      <c r="C351" s="128" t="s">
        <v>213</v>
      </c>
      <c r="D351" s="128" t="s">
        <v>59</v>
      </c>
      <c r="E351" s="128"/>
      <c r="F351" s="128" t="s">
        <v>59</v>
      </c>
      <c r="G351" s="75"/>
      <c r="H351" s="128"/>
      <c r="I351" s="128"/>
      <c r="J351" s="128"/>
      <c r="K351" s="128"/>
      <c r="L351" s="78" t="n">
        <f aca="false">SUM(S351:BB351)</f>
        <v>0</v>
      </c>
      <c r="M351" s="128"/>
      <c r="N351" s="130" t="str">
        <f aca="false">IF(ISERROR(VLOOKUP(P351,Member_Tab,2,FALSE())),"",VLOOKUP(P351,Member_Tab,2,FALSE()))</f>
        <v/>
      </c>
      <c r="O351" s="130" t="str">
        <f aca="false">IF(ISERROR(VLOOKUP(P351,Member_Tab,3,FALSE())),"",VLOOKUP(P351,Member_Tab,3,FALSE()))</f>
        <v/>
      </c>
      <c r="P351" s="148" t="n">
        <f aca="false">Site!I107</f>
        <v>0</v>
      </c>
      <c r="Q351" s="128"/>
      <c r="R351" s="131"/>
      <c r="S351" s="150" t="n">
        <f aca="false">(1-ProdFac)*S488</f>
        <v>0</v>
      </c>
      <c r="T351" s="150" t="n">
        <f aca="false">(1-ProdFac)*T488</f>
        <v>0</v>
      </c>
      <c r="U351" s="150" t="n">
        <f aca="false">(1-ProdFac)*U488</f>
        <v>0</v>
      </c>
      <c r="V351" s="150" t="n">
        <f aca="false">(1-ProdFac)*V488</f>
        <v>0</v>
      </c>
      <c r="W351" s="150" t="n">
        <f aca="false">(1-ProdFac)*W488</f>
        <v>0</v>
      </c>
      <c r="X351" s="150" t="n">
        <f aca="false">(1-ProdFac)*X488</f>
        <v>0</v>
      </c>
      <c r="Y351" s="150" t="n">
        <f aca="false">(1-ProdFac)*Y488</f>
        <v>0</v>
      </c>
      <c r="Z351" s="150" t="n">
        <f aca="false">(1-ProdFac)*Z488</f>
        <v>0</v>
      </c>
      <c r="AA351" s="150" t="n">
        <f aca="false">(1-ProdFac)*AA488</f>
        <v>0</v>
      </c>
      <c r="AB351" s="150" t="n">
        <f aca="false">(1-ProdFac)*AB488</f>
        <v>0</v>
      </c>
      <c r="AC351" s="150" t="n">
        <f aca="false">(1-ProdFac)*AC488</f>
        <v>0</v>
      </c>
      <c r="AD351" s="150" t="n">
        <f aca="false">(1-ProdFac)*AD488</f>
        <v>0</v>
      </c>
      <c r="AE351" s="150" t="n">
        <f aca="false">(1-ProdFac)*AE488</f>
        <v>0</v>
      </c>
      <c r="AF351" s="150" t="n">
        <f aca="false">(1-ProdFac)*AF488</f>
        <v>0</v>
      </c>
      <c r="AG351" s="150" t="n">
        <f aca="false">(1-ProdFac)*AG488</f>
        <v>0</v>
      </c>
      <c r="AH351" s="150" t="n">
        <f aca="false">(1-ProdFac)*AH488</f>
        <v>0</v>
      </c>
      <c r="AI351" s="150" t="n">
        <f aca="false">(1-ProdFac)*AI488</f>
        <v>0</v>
      </c>
      <c r="AJ351" s="150" t="n">
        <f aca="false">(1-ProdFac)*AJ488</f>
        <v>0</v>
      </c>
      <c r="AK351" s="150" t="n">
        <f aca="false">(1-ProdFac)*AK488</f>
        <v>0</v>
      </c>
      <c r="AL351" s="150" t="n">
        <f aca="false">(1-ProdFac)*AL488</f>
        <v>0</v>
      </c>
      <c r="AM351" s="150" t="n">
        <f aca="false">(1-ProdFac)*AM488</f>
        <v>0</v>
      </c>
      <c r="AN351" s="150" t="n">
        <f aca="false">(1-ProdFac)*AN488</f>
        <v>0</v>
      </c>
      <c r="AO351" s="150" t="n">
        <f aca="false">(1-ProdFac)*AO488</f>
        <v>0</v>
      </c>
      <c r="AP351" s="150" t="n">
        <f aca="false">(1-ProdFac)*AP488</f>
        <v>0</v>
      </c>
      <c r="AQ351" s="150" t="n">
        <f aca="false">(1-ProdFac)*AQ488</f>
        <v>0</v>
      </c>
      <c r="AR351" s="150" t="n">
        <f aca="false">(1-ProdFac)*AR488</f>
        <v>0</v>
      </c>
      <c r="AS351" s="150" t="n">
        <f aca="false">(1-ProdFac)*AS488</f>
        <v>0</v>
      </c>
      <c r="AT351" s="150" t="n">
        <f aca="false">(1-ProdFac)*AT488</f>
        <v>0</v>
      </c>
      <c r="AU351" s="150" t="n">
        <f aca="false">(1-ProdFac)*AU488</f>
        <v>0</v>
      </c>
      <c r="AV351" s="150" t="n">
        <f aca="false">(1-ProdFac)*AV488</f>
        <v>0</v>
      </c>
      <c r="AW351" s="150" t="n">
        <f aca="false">(1-ProdFac)*AW488</f>
        <v>0</v>
      </c>
      <c r="AX351" s="150" t="n">
        <f aca="false">(1-ProdFac)*AX488</f>
        <v>0</v>
      </c>
      <c r="AY351" s="150" t="n">
        <f aca="false">(1-ProdFac)*AY488</f>
        <v>0</v>
      </c>
      <c r="AZ351" s="150" t="n">
        <f aca="false">(1-ProdFac)*AZ488</f>
        <v>0</v>
      </c>
      <c r="BA351" s="150" t="n">
        <f aca="false">(1-ProdFac)*BA488</f>
        <v>0</v>
      </c>
      <c r="BB351" s="150" t="n">
        <f aca="false">(1-ProdFac)*BB488</f>
        <v>0</v>
      </c>
    </row>
    <row r="352" customFormat="false" ht="15" hidden="true" customHeight="false" outlineLevel="1" collapsed="false">
      <c r="B352" s="82" t="s">
        <v>212</v>
      </c>
      <c r="C352" s="128" t="s">
        <v>213</v>
      </c>
      <c r="D352" s="128" t="s">
        <v>59</v>
      </c>
      <c r="E352" s="128"/>
      <c r="F352" s="128" t="s">
        <v>59</v>
      </c>
      <c r="G352" s="75"/>
      <c r="H352" s="128"/>
      <c r="I352" s="128"/>
      <c r="J352" s="128"/>
      <c r="K352" s="128"/>
      <c r="L352" s="78" t="n">
        <f aca="false">SUM(S352:BB352)</f>
        <v>0</v>
      </c>
      <c r="M352" s="128"/>
      <c r="N352" s="130" t="str">
        <f aca="false">IF(ISERROR(VLOOKUP(P352,Member_Tab,2,FALSE())),"",VLOOKUP(P352,Member_Tab,2,FALSE()))</f>
        <v/>
      </c>
      <c r="O352" s="130" t="str">
        <f aca="false">IF(ISERROR(VLOOKUP(P352,Member_Tab,3,FALSE())),"",VLOOKUP(P352,Member_Tab,3,FALSE()))</f>
        <v/>
      </c>
      <c r="P352" s="148" t="n">
        <f aca="false">Site!I108</f>
        <v>0</v>
      </c>
      <c r="Q352" s="128"/>
      <c r="R352" s="131"/>
      <c r="S352" s="150" t="n">
        <f aca="false">(1-ProdFac)*S489</f>
        <v>0</v>
      </c>
      <c r="T352" s="150" t="n">
        <f aca="false">(1-ProdFac)*T489</f>
        <v>0</v>
      </c>
      <c r="U352" s="150" t="n">
        <f aca="false">(1-ProdFac)*U489</f>
        <v>0</v>
      </c>
      <c r="V352" s="150" t="n">
        <f aca="false">(1-ProdFac)*V489</f>
        <v>0</v>
      </c>
      <c r="W352" s="150" t="n">
        <f aca="false">(1-ProdFac)*W489</f>
        <v>0</v>
      </c>
      <c r="X352" s="150" t="n">
        <f aca="false">(1-ProdFac)*X489</f>
        <v>0</v>
      </c>
      <c r="Y352" s="150" t="n">
        <f aca="false">(1-ProdFac)*Y489</f>
        <v>0</v>
      </c>
      <c r="Z352" s="150" t="n">
        <f aca="false">(1-ProdFac)*Z489</f>
        <v>0</v>
      </c>
      <c r="AA352" s="150" t="n">
        <f aca="false">(1-ProdFac)*AA489</f>
        <v>0</v>
      </c>
      <c r="AB352" s="150" t="n">
        <f aca="false">(1-ProdFac)*AB489</f>
        <v>0</v>
      </c>
      <c r="AC352" s="150" t="n">
        <f aca="false">(1-ProdFac)*AC489</f>
        <v>0</v>
      </c>
      <c r="AD352" s="150" t="n">
        <f aca="false">(1-ProdFac)*AD489</f>
        <v>0</v>
      </c>
      <c r="AE352" s="150" t="n">
        <f aca="false">(1-ProdFac)*AE489</f>
        <v>0</v>
      </c>
      <c r="AF352" s="150" t="n">
        <f aca="false">(1-ProdFac)*AF489</f>
        <v>0</v>
      </c>
      <c r="AG352" s="150" t="n">
        <f aca="false">(1-ProdFac)*AG489</f>
        <v>0</v>
      </c>
      <c r="AH352" s="150" t="n">
        <f aca="false">(1-ProdFac)*AH489</f>
        <v>0</v>
      </c>
      <c r="AI352" s="150" t="n">
        <f aca="false">(1-ProdFac)*AI489</f>
        <v>0</v>
      </c>
      <c r="AJ352" s="150" t="n">
        <f aca="false">(1-ProdFac)*AJ489</f>
        <v>0</v>
      </c>
      <c r="AK352" s="150" t="n">
        <f aca="false">(1-ProdFac)*AK489</f>
        <v>0</v>
      </c>
      <c r="AL352" s="150" t="n">
        <f aca="false">(1-ProdFac)*AL489</f>
        <v>0</v>
      </c>
      <c r="AM352" s="150" t="n">
        <f aca="false">(1-ProdFac)*AM489</f>
        <v>0</v>
      </c>
      <c r="AN352" s="150" t="n">
        <f aca="false">(1-ProdFac)*AN489</f>
        <v>0</v>
      </c>
      <c r="AO352" s="150" t="n">
        <f aca="false">(1-ProdFac)*AO489</f>
        <v>0</v>
      </c>
      <c r="AP352" s="150" t="n">
        <f aca="false">(1-ProdFac)*AP489</f>
        <v>0</v>
      </c>
      <c r="AQ352" s="150" t="n">
        <f aca="false">(1-ProdFac)*AQ489</f>
        <v>0</v>
      </c>
      <c r="AR352" s="150" t="n">
        <f aca="false">(1-ProdFac)*AR489</f>
        <v>0</v>
      </c>
      <c r="AS352" s="150" t="n">
        <f aca="false">(1-ProdFac)*AS489</f>
        <v>0</v>
      </c>
      <c r="AT352" s="150" t="n">
        <f aca="false">(1-ProdFac)*AT489</f>
        <v>0</v>
      </c>
      <c r="AU352" s="150" t="n">
        <f aca="false">(1-ProdFac)*AU489</f>
        <v>0</v>
      </c>
      <c r="AV352" s="150" t="n">
        <f aca="false">(1-ProdFac)*AV489</f>
        <v>0</v>
      </c>
      <c r="AW352" s="150" t="n">
        <f aca="false">(1-ProdFac)*AW489</f>
        <v>0</v>
      </c>
      <c r="AX352" s="150" t="n">
        <f aca="false">(1-ProdFac)*AX489</f>
        <v>0</v>
      </c>
      <c r="AY352" s="150" t="n">
        <f aca="false">(1-ProdFac)*AY489</f>
        <v>0</v>
      </c>
      <c r="AZ352" s="150" t="n">
        <f aca="false">(1-ProdFac)*AZ489</f>
        <v>0</v>
      </c>
      <c r="BA352" s="150" t="n">
        <f aca="false">(1-ProdFac)*BA489</f>
        <v>0</v>
      </c>
      <c r="BB352" s="150" t="n">
        <f aca="false">(1-ProdFac)*BB489</f>
        <v>0</v>
      </c>
    </row>
    <row r="353" customFormat="false" ht="15" hidden="true" customHeight="false" outlineLevel="1" collapsed="false">
      <c r="B353" s="82" t="s">
        <v>212</v>
      </c>
      <c r="C353" s="128" t="s">
        <v>213</v>
      </c>
      <c r="D353" s="128" t="s">
        <v>59</v>
      </c>
      <c r="E353" s="128"/>
      <c r="F353" s="128" t="s">
        <v>59</v>
      </c>
      <c r="G353" s="75"/>
      <c r="H353" s="128"/>
      <c r="I353" s="128"/>
      <c r="J353" s="128"/>
      <c r="K353" s="128"/>
      <c r="L353" s="78" t="n">
        <f aca="false">SUM(S353:BB353)</f>
        <v>0</v>
      </c>
      <c r="M353" s="128"/>
      <c r="N353" s="130" t="str">
        <f aca="false">IF(ISERROR(VLOOKUP(P353,Member_Tab,2,FALSE())),"",VLOOKUP(P353,Member_Tab,2,FALSE()))</f>
        <v/>
      </c>
      <c r="O353" s="130" t="str">
        <f aca="false">IF(ISERROR(VLOOKUP(P353,Member_Tab,3,FALSE())),"",VLOOKUP(P353,Member_Tab,3,FALSE()))</f>
        <v/>
      </c>
      <c r="P353" s="148" t="n">
        <f aca="false">Site!I109</f>
        <v>0</v>
      </c>
      <c r="Q353" s="128"/>
      <c r="R353" s="131"/>
      <c r="S353" s="150" t="n">
        <f aca="false">(1-ProdFac)*S490</f>
        <v>0</v>
      </c>
      <c r="T353" s="150" t="n">
        <f aca="false">(1-ProdFac)*T490</f>
        <v>0</v>
      </c>
      <c r="U353" s="150" t="n">
        <f aca="false">(1-ProdFac)*U490</f>
        <v>0</v>
      </c>
      <c r="V353" s="150" t="n">
        <f aca="false">(1-ProdFac)*V490</f>
        <v>0</v>
      </c>
      <c r="W353" s="150" t="n">
        <f aca="false">(1-ProdFac)*W490</f>
        <v>0</v>
      </c>
      <c r="X353" s="150" t="n">
        <f aca="false">(1-ProdFac)*X490</f>
        <v>0</v>
      </c>
      <c r="Y353" s="150" t="n">
        <f aca="false">(1-ProdFac)*Y490</f>
        <v>0</v>
      </c>
      <c r="Z353" s="150" t="n">
        <f aca="false">(1-ProdFac)*Z490</f>
        <v>0</v>
      </c>
      <c r="AA353" s="150" t="n">
        <f aca="false">(1-ProdFac)*AA490</f>
        <v>0</v>
      </c>
      <c r="AB353" s="150" t="n">
        <f aca="false">(1-ProdFac)*AB490</f>
        <v>0</v>
      </c>
      <c r="AC353" s="150" t="n">
        <f aca="false">(1-ProdFac)*AC490</f>
        <v>0</v>
      </c>
      <c r="AD353" s="150" t="n">
        <f aca="false">(1-ProdFac)*AD490</f>
        <v>0</v>
      </c>
      <c r="AE353" s="150" t="n">
        <f aca="false">(1-ProdFac)*AE490</f>
        <v>0</v>
      </c>
      <c r="AF353" s="150" t="n">
        <f aca="false">(1-ProdFac)*AF490</f>
        <v>0</v>
      </c>
      <c r="AG353" s="150" t="n">
        <f aca="false">(1-ProdFac)*AG490</f>
        <v>0</v>
      </c>
      <c r="AH353" s="150" t="n">
        <f aca="false">(1-ProdFac)*AH490</f>
        <v>0</v>
      </c>
      <c r="AI353" s="150" t="n">
        <f aca="false">(1-ProdFac)*AI490</f>
        <v>0</v>
      </c>
      <c r="AJ353" s="150" t="n">
        <f aca="false">(1-ProdFac)*AJ490</f>
        <v>0</v>
      </c>
      <c r="AK353" s="150" t="n">
        <f aca="false">(1-ProdFac)*AK490</f>
        <v>0</v>
      </c>
      <c r="AL353" s="150" t="n">
        <f aca="false">(1-ProdFac)*AL490</f>
        <v>0</v>
      </c>
      <c r="AM353" s="150" t="n">
        <f aca="false">(1-ProdFac)*AM490</f>
        <v>0</v>
      </c>
      <c r="AN353" s="150" t="n">
        <f aca="false">(1-ProdFac)*AN490</f>
        <v>0</v>
      </c>
      <c r="AO353" s="150" t="n">
        <f aca="false">(1-ProdFac)*AO490</f>
        <v>0</v>
      </c>
      <c r="AP353" s="150" t="n">
        <f aca="false">(1-ProdFac)*AP490</f>
        <v>0</v>
      </c>
      <c r="AQ353" s="150" t="n">
        <f aca="false">(1-ProdFac)*AQ490</f>
        <v>0</v>
      </c>
      <c r="AR353" s="150" t="n">
        <f aca="false">(1-ProdFac)*AR490</f>
        <v>0</v>
      </c>
      <c r="AS353" s="150" t="n">
        <f aca="false">(1-ProdFac)*AS490</f>
        <v>0</v>
      </c>
      <c r="AT353" s="150" t="n">
        <f aca="false">(1-ProdFac)*AT490</f>
        <v>0</v>
      </c>
      <c r="AU353" s="150" t="n">
        <f aca="false">(1-ProdFac)*AU490</f>
        <v>0</v>
      </c>
      <c r="AV353" s="150" t="n">
        <f aca="false">(1-ProdFac)*AV490</f>
        <v>0</v>
      </c>
      <c r="AW353" s="150" t="n">
        <f aca="false">(1-ProdFac)*AW490</f>
        <v>0</v>
      </c>
      <c r="AX353" s="150" t="n">
        <f aca="false">(1-ProdFac)*AX490</f>
        <v>0</v>
      </c>
      <c r="AY353" s="150" t="n">
        <f aca="false">(1-ProdFac)*AY490</f>
        <v>0</v>
      </c>
      <c r="AZ353" s="150" t="n">
        <f aca="false">(1-ProdFac)*AZ490</f>
        <v>0</v>
      </c>
      <c r="BA353" s="150" t="n">
        <f aca="false">(1-ProdFac)*BA490</f>
        <v>0</v>
      </c>
      <c r="BB353" s="150" t="n">
        <f aca="false">(1-ProdFac)*BB490</f>
        <v>0</v>
      </c>
    </row>
    <row r="354" customFormat="false" ht="15" hidden="true" customHeight="false" outlineLevel="1" collapsed="false">
      <c r="B354" s="82" t="s">
        <v>212</v>
      </c>
      <c r="C354" s="128" t="s">
        <v>213</v>
      </c>
      <c r="D354" s="128" t="s">
        <v>59</v>
      </c>
      <c r="E354" s="128"/>
      <c r="F354" s="128" t="s">
        <v>59</v>
      </c>
      <c r="G354" s="75"/>
      <c r="H354" s="128"/>
      <c r="I354" s="128"/>
      <c r="J354" s="128"/>
      <c r="K354" s="128"/>
      <c r="L354" s="78" t="n">
        <f aca="false">SUM(S354:BB354)</f>
        <v>0</v>
      </c>
      <c r="M354" s="128"/>
      <c r="N354" s="130" t="str">
        <f aca="false">IF(ISERROR(VLOOKUP(P354,Member_Tab,2,FALSE())),"",VLOOKUP(P354,Member_Tab,2,FALSE()))</f>
        <v>TCD_Server_DCN4</v>
      </c>
      <c r="O354" s="130" t="str">
        <f aca="false">IF(ISERROR(VLOOKUP(P354,Member_Tab,3,FALSE())),"",VLOOKUP(P354,Member_Tab,3,FALSE()))</f>
        <v>Any Role</v>
      </c>
      <c r="P354" s="151" t="str">
        <f aca="false">Site!I110</f>
        <v>Dept_DCN4_Role</v>
      </c>
      <c r="Q354" s="128"/>
      <c r="R354" s="131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AC354" s="152"/>
      <c r="AD354" s="152"/>
      <c r="AE354" s="152"/>
      <c r="AF354" s="152"/>
      <c r="AG354" s="152"/>
      <c r="AH354" s="152"/>
      <c r="AI354" s="152"/>
      <c r="AJ354" s="152"/>
      <c r="AK354" s="152"/>
      <c r="AL354" s="152"/>
      <c r="AM354" s="152"/>
      <c r="AN354" s="152"/>
      <c r="AO354" s="152"/>
      <c r="AP354" s="152"/>
      <c r="AQ354" s="152"/>
      <c r="AR354" s="152"/>
      <c r="AS354" s="152"/>
      <c r="AT354" s="152"/>
      <c r="AU354" s="152"/>
      <c r="AV354" s="152"/>
      <c r="AW354" s="152"/>
      <c r="AX354" s="152"/>
      <c r="AY354" s="152"/>
      <c r="AZ354" s="152"/>
      <c r="BA354" s="152"/>
      <c r="BB354" s="152"/>
    </row>
    <row r="355" customFormat="false" ht="15" hidden="true" customHeight="false" outlineLevel="1" collapsed="false">
      <c r="B355" s="82" t="s">
        <v>212</v>
      </c>
      <c r="C355" s="128" t="s">
        <v>213</v>
      </c>
      <c r="D355" s="128" t="s">
        <v>59</v>
      </c>
      <c r="E355" s="128"/>
      <c r="F355" s="128" t="s">
        <v>59</v>
      </c>
      <c r="G355" s="75"/>
      <c r="H355" s="128"/>
      <c r="I355" s="128"/>
      <c r="J355" s="128"/>
      <c r="K355" s="128"/>
      <c r="L355" s="78" t="n">
        <f aca="false">SUM(S355:BB355)</f>
        <v>0</v>
      </c>
      <c r="M355" s="128"/>
      <c r="N355" s="130" t="str">
        <f aca="false">IF(ISERROR(VLOOKUP(P355,Member_Tab,2,FALSE())),"",VLOOKUP(P355,Member_Tab,2,FALSE()))</f>
        <v>TCD_Server_DCN4</v>
      </c>
      <c r="O355" s="130" t="str">
        <f aca="false">IF(ISERROR(VLOOKUP(P355,Member_Tab,3,FALSE())),"",VLOOKUP(P355,Member_Tab,3,FALSE()))</f>
        <v>Any Role</v>
      </c>
      <c r="P355" s="151" t="str">
        <f aca="false">Site!I111</f>
        <v>Dept_DCN4_Overload</v>
      </c>
      <c r="Q355" s="128"/>
      <c r="R355" s="131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AC355" s="152"/>
      <c r="AD355" s="152"/>
      <c r="AE355" s="152"/>
      <c r="AF355" s="152"/>
      <c r="AG355" s="152"/>
      <c r="AH355" s="152"/>
      <c r="AI355" s="152"/>
      <c r="AJ355" s="152"/>
      <c r="AK355" s="152"/>
      <c r="AL355" s="152"/>
      <c r="AM355" s="152"/>
      <c r="AN355" s="152"/>
      <c r="AO355" s="152"/>
      <c r="AP355" s="152"/>
      <c r="AQ355" s="152"/>
      <c r="AR355" s="152"/>
      <c r="AS355" s="152"/>
      <c r="AT355" s="152"/>
      <c r="AU355" s="152"/>
      <c r="AV355" s="152"/>
      <c r="AW355" s="152"/>
      <c r="AX355" s="152"/>
      <c r="AY355" s="152"/>
      <c r="AZ355" s="152"/>
      <c r="BA355" s="152"/>
      <c r="BB355" s="152"/>
    </row>
    <row r="356" customFormat="false" ht="7.5" hidden="false" customHeight="true" outlineLevel="0" collapsed="false">
      <c r="B356" s="153"/>
      <c r="C356" s="154"/>
      <c r="D356" s="154"/>
      <c r="E356" s="154"/>
      <c r="F356" s="154"/>
      <c r="G356" s="154"/>
      <c r="H356" s="154"/>
      <c r="I356" s="154"/>
      <c r="J356" s="154"/>
      <c r="K356" s="154"/>
      <c r="L356" s="154"/>
      <c r="M356" s="154"/>
      <c r="N356" s="154"/>
      <c r="O356" s="154"/>
      <c r="P356" s="154"/>
      <c r="Q356" s="154"/>
      <c r="R356" s="154"/>
      <c r="S356" s="154"/>
      <c r="T356" s="154"/>
      <c r="U356" s="154"/>
      <c r="V356" s="154"/>
      <c r="W356" s="154"/>
      <c r="X356" s="154"/>
      <c r="Y356" s="154"/>
      <c r="Z356" s="154"/>
      <c r="AA356" s="154"/>
      <c r="AB356" s="154"/>
      <c r="AC356" s="154"/>
      <c r="AD356" s="154"/>
      <c r="AE356" s="154"/>
      <c r="AF356" s="154"/>
      <c r="AG356" s="154"/>
      <c r="AH356" s="154"/>
      <c r="AI356" s="154"/>
      <c r="AJ356" s="154"/>
      <c r="AK356" s="154"/>
      <c r="AL356" s="154"/>
      <c r="AM356" s="154"/>
      <c r="AN356" s="154"/>
      <c r="AO356" s="154"/>
      <c r="AP356" s="154"/>
      <c r="AQ356" s="154"/>
      <c r="AR356" s="154"/>
      <c r="AS356" s="154"/>
      <c r="AT356" s="154"/>
      <c r="AU356" s="154"/>
      <c r="AV356" s="154"/>
      <c r="AW356" s="154"/>
      <c r="AX356" s="154"/>
      <c r="AY356" s="154"/>
      <c r="AZ356" s="154"/>
      <c r="BA356" s="154"/>
      <c r="BB356" s="154"/>
    </row>
    <row r="357" customFormat="false" ht="6" hidden="false" customHeight="true" outlineLevel="0" collapsed="false"/>
    <row r="358" customFormat="false" ht="6.75" hidden="false" customHeight="true" outlineLevel="0" collapsed="false"/>
    <row r="359" customFormat="false" ht="7.5" hidden="false" customHeight="true" outlineLevel="0" collapsed="false">
      <c r="B359" s="155"/>
      <c r="C359" s="155"/>
      <c r="D359" s="155"/>
      <c r="E359" s="155"/>
      <c r="F359" s="155"/>
      <c r="G359" s="155"/>
      <c r="H359" s="155"/>
      <c r="I359" s="155"/>
      <c r="J359" s="155"/>
      <c r="K359" s="155"/>
      <c r="L359" s="155"/>
      <c r="M359" s="155"/>
      <c r="N359" s="155"/>
      <c r="O359" s="155"/>
      <c r="P359" s="155"/>
      <c r="Q359" s="155"/>
      <c r="R359" s="155"/>
      <c r="S359" s="155"/>
      <c r="T359" s="155"/>
      <c r="U359" s="155"/>
      <c r="V359" s="155"/>
      <c r="W359" s="155"/>
      <c r="X359" s="155"/>
      <c r="Y359" s="155"/>
      <c r="Z359" s="155"/>
      <c r="AA359" s="155"/>
      <c r="AB359" s="155"/>
      <c r="AC359" s="155"/>
      <c r="AD359" s="155"/>
      <c r="AE359" s="155"/>
      <c r="AF359" s="155"/>
      <c r="AG359" s="155"/>
      <c r="AH359" s="155"/>
      <c r="AI359" s="155"/>
      <c r="AJ359" s="155"/>
      <c r="AK359" s="155"/>
      <c r="AL359" s="155"/>
      <c r="AM359" s="155"/>
      <c r="AN359" s="155"/>
      <c r="AO359" s="155"/>
      <c r="AP359" s="155"/>
      <c r="AQ359" s="155"/>
      <c r="AR359" s="155"/>
      <c r="AS359" s="155"/>
      <c r="AT359" s="155"/>
      <c r="AU359" s="155"/>
      <c r="AV359" s="155"/>
      <c r="AW359" s="155"/>
      <c r="AX359" s="155"/>
      <c r="AY359" s="155"/>
      <c r="AZ359" s="155"/>
      <c r="BA359" s="155"/>
      <c r="BB359" s="155"/>
    </row>
    <row r="360" s="41" customFormat="true" ht="7.5" hidden="false" customHeight="true" outlineLevel="0" collapsed="false">
      <c r="B360" s="156"/>
      <c r="C360" s="142"/>
      <c r="D360" s="142"/>
      <c r="H360" s="142"/>
      <c r="I360" s="142"/>
      <c r="J360" s="142"/>
      <c r="L360" s="143"/>
      <c r="M360" s="143"/>
      <c r="N360" s="143"/>
      <c r="O360" s="142"/>
      <c r="Q360" s="143"/>
      <c r="S360" s="157"/>
      <c r="T360" s="157"/>
      <c r="U360" s="157"/>
      <c r="V360" s="157"/>
      <c r="W360" s="157"/>
      <c r="X360" s="157"/>
      <c r="Y360" s="157"/>
      <c r="Z360" s="157"/>
      <c r="AA360" s="157"/>
      <c r="AB360" s="157"/>
      <c r="AC360" s="157"/>
      <c r="AD360" s="157"/>
      <c r="AE360" s="157"/>
      <c r="AF360" s="157"/>
      <c r="AG360" s="157"/>
      <c r="AH360" s="157"/>
      <c r="AI360" s="157"/>
      <c r="AJ360" s="157"/>
      <c r="AK360" s="157"/>
      <c r="AL360" s="157"/>
      <c r="AM360" s="157"/>
      <c r="AN360" s="157"/>
      <c r="AO360" s="157"/>
      <c r="AP360" s="157"/>
      <c r="AQ360" s="157"/>
      <c r="AR360" s="157"/>
      <c r="AS360" s="157"/>
      <c r="AT360" s="157"/>
      <c r="AU360" s="157"/>
      <c r="AV360" s="157"/>
      <c r="AW360" s="157"/>
      <c r="AX360" s="157"/>
      <c r="AY360" s="157"/>
      <c r="AZ360" s="157"/>
      <c r="BA360" s="157"/>
      <c r="BB360" s="157"/>
      <c r="BC360" s="158"/>
    </row>
    <row r="361" s="41" customFormat="true" ht="15" hidden="false" customHeight="true" outlineLevel="0" collapsed="false">
      <c r="B361" s="159" t="s">
        <v>214</v>
      </c>
      <c r="C361" s="142"/>
      <c r="D361" s="142"/>
      <c r="H361" s="142"/>
      <c r="I361" s="142"/>
      <c r="J361" s="142"/>
      <c r="L361" s="143"/>
      <c r="M361" s="143"/>
      <c r="N361" s="143"/>
      <c r="O361" s="142"/>
      <c r="Q361" s="143"/>
      <c r="S361" s="160" t="n">
        <f aca="false">SUMIFS(S$49:S$251,$P$49:$P$251,$B$373,$E$49:$E$251,"pre_alloc")</f>
        <v>0</v>
      </c>
      <c r="T361" s="160" t="n">
        <f aca="false">SUMIFS(T$49:T$251,$P$49:$P$251,$B$373,$E$49:$E$251,"pre_alloc")</f>
        <v>0</v>
      </c>
      <c r="U361" s="160" t="n">
        <f aca="false">SUMIFS(U$49:U$251,$P$49:$P$251,$B$373,$E$49:$E$251,"pre_alloc")</f>
        <v>0</v>
      </c>
      <c r="V361" s="160" t="n">
        <f aca="false">SUMIFS(V$49:V$251,$P$49:$P$251,$B$373,$E$49:$E$251,"pre_alloc")</f>
        <v>0</v>
      </c>
      <c r="W361" s="160" t="n">
        <f aca="false">SUMIFS(W$49:W$251,$P$49:$P$251,$B$373,$E$49:$E$251,"pre_alloc")</f>
        <v>0</v>
      </c>
      <c r="X361" s="160" t="n">
        <f aca="false">SUMIFS(X$49:X$251,$P$49:$P$251,$B$373,$E$49:$E$251,"pre_alloc")</f>
        <v>0</v>
      </c>
      <c r="Y361" s="160" t="n">
        <f aca="false">SUMIFS(Y$49:Y$251,$P$49:$P$251,$B$373,$E$49:$E$251,"pre_alloc")</f>
        <v>0</v>
      </c>
      <c r="Z361" s="160" t="n">
        <f aca="false">SUMIFS(Z$49:Z$251,$P$49:$P$251,$B$373,$E$49:$E$251,"pre_alloc")</f>
        <v>0</v>
      </c>
      <c r="AA361" s="160" t="n">
        <f aca="false">SUMIFS(AA$49:AA$251,$P$49:$P$251,$B$373,$E$49:$E$251,"pre_alloc")</f>
        <v>0</v>
      </c>
      <c r="AB361" s="160" t="n">
        <f aca="false">SUMIFS(AB$49:AB$251,$P$49:$P$251,$B$373,$E$49:$E$251,"pre_alloc")</f>
        <v>0</v>
      </c>
      <c r="AC361" s="160" t="n">
        <f aca="false">SUMIFS(AC$49:AC$251,$P$49:$P$251,$B$373,$E$49:$E$251,"pre_alloc")</f>
        <v>0</v>
      </c>
      <c r="AD361" s="160" t="n">
        <f aca="false">SUMIFS(AD$49:AD$251,$P$49:$P$251,$B$373,$E$49:$E$251,"pre_alloc")</f>
        <v>0</v>
      </c>
      <c r="AE361" s="160" t="n">
        <f aca="false">SUMIFS(AE$49:AE$251,$P$49:$P$251,$B$373,$E$49:$E$251,"pre_alloc")</f>
        <v>0</v>
      </c>
      <c r="AF361" s="160" t="n">
        <f aca="false">SUMIFS(AF$49:AF$251,$P$49:$P$251,$B$373,$E$49:$E$251,"pre_alloc")</f>
        <v>0</v>
      </c>
      <c r="AG361" s="160" t="n">
        <f aca="false">SUMIFS(AG$49:AG$251,$P$49:$P$251,$B$373,$E$49:$E$251,"pre_alloc")</f>
        <v>0</v>
      </c>
      <c r="AH361" s="160" t="n">
        <f aca="false">SUMIFS(AH$49:AH$251,$P$49:$P$251,$B$373,$E$49:$E$251,"pre_alloc")</f>
        <v>0</v>
      </c>
      <c r="AI361" s="160" t="n">
        <f aca="false">SUMIFS(AI$49:AI$251,$P$49:$P$251,$B$373,$E$49:$E$251,"pre_alloc")</f>
        <v>0</v>
      </c>
      <c r="AJ361" s="160" t="n">
        <f aca="false">SUMIFS(AJ$49:AJ$251,$P$49:$P$251,$B$373,$E$49:$E$251,"pre_alloc")</f>
        <v>0</v>
      </c>
      <c r="AK361" s="160" t="n">
        <f aca="false">SUMIFS(AK$49:AK$251,$P$49:$P$251,$B$373,$E$49:$E$251,"pre_alloc")</f>
        <v>0</v>
      </c>
      <c r="AL361" s="160" t="n">
        <f aca="false">SUMIFS(AL$49:AL$251,$P$49:$P$251,$B$373,$E$49:$E$251,"pre_alloc")</f>
        <v>0</v>
      </c>
      <c r="AM361" s="160" t="n">
        <f aca="false">SUMIFS(AM$49:AM$251,$P$49:$P$251,$B$373,$E$49:$E$251,"pre_alloc")</f>
        <v>0</v>
      </c>
      <c r="AN361" s="160" t="n">
        <f aca="false">SUMIFS(AN$49:AN$251,$P$49:$P$251,$B$373,$E$49:$E$251,"pre_alloc")</f>
        <v>0</v>
      </c>
      <c r="AO361" s="160" t="n">
        <f aca="false">SUMIFS(AO$49:AO$251,$P$49:$P$251,$B$373,$E$49:$E$251,"pre_alloc")</f>
        <v>0</v>
      </c>
      <c r="AP361" s="160" t="n">
        <f aca="false">SUMIFS(AP$49:AP$251,$P$49:$P$251,$B$373,$E$49:$E$251,"pre_alloc")</f>
        <v>0</v>
      </c>
      <c r="AQ361" s="160" t="n">
        <f aca="false">SUMIFS(AQ$49:AQ$251,$P$49:$P$251,$B$373,$E$49:$E$251,"pre_alloc")</f>
        <v>0</v>
      </c>
      <c r="AR361" s="160" t="n">
        <f aca="false">SUMIFS(AR$49:AR$251,$P$49:$P$251,$B$373,$E$49:$E$251,"pre_alloc")</f>
        <v>0</v>
      </c>
      <c r="AS361" s="160" t="n">
        <f aca="false">SUMIFS(AS$49:AS$251,$P$49:$P$251,$B$373,$E$49:$E$251,"pre_alloc")</f>
        <v>0</v>
      </c>
      <c r="AT361" s="160" t="n">
        <f aca="false">SUMIFS(AT$49:AT$251,$P$49:$P$251,$B$373,$E$49:$E$251,"pre_alloc")</f>
        <v>0</v>
      </c>
      <c r="AU361" s="160" t="n">
        <f aca="false">SUMIFS(AU$49:AU$251,$P$49:$P$251,$B$373,$E$49:$E$251,"pre_alloc")</f>
        <v>0</v>
      </c>
      <c r="AV361" s="160" t="n">
        <f aca="false">SUMIFS(AV$49:AV$251,$P$49:$P$251,$B$373,$E$49:$E$251,"pre_alloc")</f>
        <v>0</v>
      </c>
      <c r="AW361" s="160" t="n">
        <f aca="false">SUMIFS(AW$49:AW$251,$P$49:$P$251,$B$373,$E$49:$E$251,"pre_alloc")</f>
        <v>0</v>
      </c>
      <c r="AX361" s="160" t="n">
        <f aca="false">SUMIFS(AX$49:AX$251,$P$49:$P$251,$B$373,$E$49:$E$251,"pre_alloc")</f>
        <v>0</v>
      </c>
      <c r="AY361" s="160" t="n">
        <f aca="false">SUMIFS(AY$49:AY$251,$P$49:$P$251,$B$373,$E$49:$E$251,"pre_alloc")</f>
        <v>0</v>
      </c>
      <c r="AZ361" s="160" t="n">
        <f aca="false">SUMIFS(AZ$49:AZ$251,$P$49:$P$251,$B$373,$E$49:$E$251,"pre_alloc")</f>
        <v>0</v>
      </c>
      <c r="BA361" s="160" t="n">
        <f aca="false">SUMIFS(BA$49:BA$251,$P$49:$P$251,$B$373,$E$49:$E$251,"pre_alloc")</f>
        <v>0</v>
      </c>
      <c r="BB361" s="160" t="n">
        <f aca="false">SUMIFS(BB$49:BB$251,$P$49:$P$251,$B$373,$E$49:$E$251,"pre_alloc")</f>
        <v>0</v>
      </c>
      <c r="BC361" s="41" t="n">
        <f aca="false">SUMIF($E$49:$E$251,"pre_alloc",BC$49:BC$251)</f>
        <v>0</v>
      </c>
    </row>
    <row r="362" s="41" customFormat="true" ht="15" hidden="false" customHeight="true" outlineLevel="0" collapsed="false">
      <c r="B362" s="159" t="s">
        <v>215</v>
      </c>
      <c r="C362" s="142"/>
      <c r="D362" s="142"/>
      <c r="H362" s="142"/>
      <c r="I362" s="142"/>
      <c r="J362" s="142"/>
      <c r="L362" s="143"/>
      <c r="M362" s="143"/>
      <c r="N362" s="143"/>
      <c r="O362" s="142"/>
      <c r="Q362" s="143"/>
      <c r="S362" s="160" t="n">
        <f aca="false">SUMIF($E$49:$E$251,"pre_alloc",S$49:S$251)-S$361</f>
        <v>0</v>
      </c>
      <c r="T362" s="160" t="n">
        <f aca="false">SUMIF($E$49:$E$251,"pre_alloc",T$49:T$251)-T$361</f>
        <v>0</v>
      </c>
      <c r="U362" s="160" t="n">
        <f aca="false">SUMIF($E$49:$E$251,"pre_alloc",U$49:U$251)-U$361</f>
        <v>0</v>
      </c>
      <c r="V362" s="160" t="n">
        <f aca="false">SUMIF($E$49:$E$251,"pre_alloc",V$49:V$251)-V$361</f>
        <v>0</v>
      </c>
      <c r="W362" s="160" t="n">
        <f aca="false">SUMIF($E$49:$E$251,"pre_alloc",W$49:W$251)-W$361</f>
        <v>907.2</v>
      </c>
      <c r="X362" s="160" t="n">
        <f aca="false">SUMIF($E$49:$E$251,"pre_alloc",X$49:X$251)-X$361</f>
        <v>864</v>
      </c>
      <c r="Y362" s="160" t="n">
        <f aca="false">SUMIF($E$49:$E$251,"pre_alloc",Y$49:Y$251)-Y$361</f>
        <v>907.2</v>
      </c>
      <c r="Z362" s="160" t="n">
        <f aca="false">SUMIF($E$49:$E$251,"pre_alloc",Z$49:Z$251)-Z$361</f>
        <v>993.6</v>
      </c>
      <c r="AA362" s="160" t="n">
        <f aca="false">SUMIF($E$49:$E$251,"pre_alloc",AA$49:AA$251)-AA$361</f>
        <v>907.2</v>
      </c>
      <c r="AB362" s="160" t="n">
        <f aca="false">SUMIF($E$49:$E$251,"pre_alloc",AB$49:AB$251)-AB$361</f>
        <v>950.4</v>
      </c>
      <c r="AC362" s="160" t="n">
        <f aca="false">SUMIF($E$49:$E$251,"pre_alloc",AC$49:AC$251)-AC$361</f>
        <v>950.4</v>
      </c>
      <c r="AD362" s="160" t="n">
        <f aca="false">SUMIF($E$49:$E$251,"pre_alloc",AD$49:AD$251)-AD$361</f>
        <v>820.8</v>
      </c>
      <c r="AE362" s="160" t="n">
        <f aca="false">SUMIF($E$49:$E$251,"pre_alloc",AE$49:AE$251)-AE$361</f>
        <v>0</v>
      </c>
      <c r="AF362" s="160" t="n">
        <f aca="false">SUMIF($E$49:$E$251,"pre_alloc",AF$49:AF$251)-AF$361</f>
        <v>0</v>
      </c>
      <c r="AG362" s="160" t="n">
        <f aca="false">SUMIF($E$49:$E$251,"pre_alloc",AG$49:AG$251)-AG$361</f>
        <v>0</v>
      </c>
      <c r="AH362" s="160" t="n">
        <f aca="false">SUMIF($E$49:$E$251,"pre_alloc",AH$49:AH$251)-AH$361</f>
        <v>0</v>
      </c>
      <c r="AI362" s="160" t="n">
        <f aca="false">SUMIF($E$49:$E$251,"pre_alloc",AI$49:AI$251)-AI$361</f>
        <v>0</v>
      </c>
      <c r="AJ362" s="160" t="n">
        <f aca="false">SUMIF($E$49:$E$251,"pre_alloc",AJ$49:AJ$251)-AJ$361</f>
        <v>0</v>
      </c>
      <c r="AK362" s="160" t="n">
        <f aca="false">SUMIF($E$49:$E$251,"pre_alloc",AK$49:AK$251)-AK$361</f>
        <v>0</v>
      </c>
      <c r="AL362" s="160" t="n">
        <f aca="false">SUMIF($E$49:$E$251,"pre_alloc",AL$49:AL$251)-AL$361</f>
        <v>0</v>
      </c>
      <c r="AM362" s="160" t="n">
        <f aca="false">SUMIF($E$49:$E$251,"pre_alloc",AM$49:AM$251)-AM$361</f>
        <v>0</v>
      </c>
      <c r="AN362" s="160" t="n">
        <f aca="false">SUMIF($E$49:$E$251,"pre_alloc",AN$49:AN$251)-AN$361</f>
        <v>0</v>
      </c>
      <c r="AO362" s="160" t="n">
        <f aca="false">SUMIF($E$49:$E$251,"pre_alloc",AO$49:AO$251)-AO$361</f>
        <v>0</v>
      </c>
      <c r="AP362" s="160" t="n">
        <f aca="false">SUMIF($E$49:$E$251,"pre_alloc",AP$49:AP$251)-AP$361</f>
        <v>0</v>
      </c>
      <c r="AQ362" s="160" t="n">
        <f aca="false">SUMIF($E$49:$E$251,"pre_alloc",AQ$49:AQ$251)-AQ$361</f>
        <v>0</v>
      </c>
      <c r="AR362" s="160" t="n">
        <f aca="false">SUMIF($E$49:$E$251,"pre_alloc",AR$49:AR$251)-AR$361</f>
        <v>0</v>
      </c>
      <c r="AS362" s="160" t="n">
        <f aca="false">SUMIF($E$49:$E$251,"pre_alloc",AS$49:AS$251)-AS$361</f>
        <v>0</v>
      </c>
      <c r="AT362" s="160" t="n">
        <f aca="false">SUMIF($E$49:$E$251,"pre_alloc",AT$49:AT$251)-AT$361</f>
        <v>0</v>
      </c>
      <c r="AU362" s="160" t="n">
        <f aca="false">SUMIF($E$49:$E$251,"pre_alloc",AU$49:AU$251)-AU$361</f>
        <v>0</v>
      </c>
      <c r="AV362" s="160" t="n">
        <f aca="false">SUMIF($E$49:$E$251,"pre_alloc",AV$49:AV$251)-AV$361</f>
        <v>0</v>
      </c>
      <c r="AW362" s="160" t="n">
        <f aca="false">SUMIF($E$49:$E$251,"pre_alloc",AW$49:AW$251)-AW$361</f>
        <v>0</v>
      </c>
      <c r="AX362" s="160" t="n">
        <f aca="false">SUMIF($E$49:$E$251,"pre_alloc",AX$49:AX$251)-AX$361</f>
        <v>0</v>
      </c>
      <c r="AY362" s="160" t="n">
        <f aca="false">SUMIF($E$49:$E$251,"pre_alloc",AY$49:AY$251)-AY$361</f>
        <v>0</v>
      </c>
      <c r="AZ362" s="160" t="n">
        <f aca="false">SUMIF($E$49:$E$251,"pre_alloc",AZ$49:AZ$251)-AZ$361</f>
        <v>0</v>
      </c>
      <c r="BA362" s="160" t="n">
        <f aca="false">SUMIF($E$49:$E$251,"pre_alloc",BA$49:BA$251)-BA$361</f>
        <v>0</v>
      </c>
      <c r="BB362" s="160" t="n">
        <f aca="false">SUMIF($E$49:$E$251,"pre_alloc",BB$49:BB$251)-BB$361</f>
        <v>0</v>
      </c>
      <c r="BC362" s="41" t="n">
        <f aca="false">SUMIF($E$49:$E$251,"pre_alloc",BC$49:BC$251)</f>
        <v>0</v>
      </c>
    </row>
    <row r="363" s="41" customFormat="true" ht="15" hidden="false" customHeight="true" outlineLevel="0" collapsed="false">
      <c r="B363" s="159" t="s">
        <v>216</v>
      </c>
      <c r="C363" s="142"/>
      <c r="D363" s="142"/>
      <c r="H363" s="142"/>
      <c r="I363" s="142"/>
      <c r="J363" s="142"/>
      <c r="L363" s="143"/>
      <c r="M363" s="143"/>
      <c r="N363" s="143"/>
      <c r="O363" s="142"/>
      <c r="Q363" s="143"/>
      <c r="S363" s="160" t="n">
        <f aca="false">SUMIFS(S$49:S$251,$P$49:$P$251,$B$373,$E$49:$E$251,"upcoming")</f>
        <v>0</v>
      </c>
      <c r="T363" s="160" t="n">
        <f aca="false">SUMIFS(T$49:T$251,$P$49:$P$251,$B$373,$E$49:$E$251,"upcoming")</f>
        <v>0</v>
      </c>
      <c r="U363" s="160" t="n">
        <f aca="false">SUMIFS(U$49:U$251,$P$49:$P$251,$B$373,$E$49:$E$251,"upcoming")</f>
        <v>0</v>
      </c>
      <c r="V363" s="160" t="n">
        <f aca="false">SUMIFS(V$49:V$251,$P$49:$P$251,$B$373,$E$49:$E$251,"upcoming")</f>
        <v>0</v>
      </c>
      <c r="W363" s="160" t="n">
        <f aca="false">SUMIFS(W$49:W$251,$P$49:$P$251,$B$373,$E$49:$E$251,"upcoming")</f>
        <v>0</v>
      </c>
      <c r="X363" s="160" t="n">
        <f aca="false">SUMIFS(X$49:X$251,$P$49:$P$251,$B$373,$E$49:$E$251,"upcoming")</f>
        <v>0</v>
      </c>
      <c r="Y363" s="160" t="n">
        <f aca="false">SUMIFS(Y$49:Y$251,$P$49:$P$251,$B$373,$E$49:$E$251,"upcoming")</f>
        <v>0</v>
      </c>
      <c r="Z363" s="160" t="n">
        <f aca="false">SUMIFS(Z$49:Z$251,$P$49:$P$251,$B$373,$E$49:$E$251,"upcoming")</f>
        <v>0</v>
      </c>
      <c r="AA363" s="160" t="n">
        <f aca="false">SUMIFS(AA$49:AA$251,$P$49:$P$251,$B$373,$E$49:$E$251,"upcoming")</f>
        <v>0</v>
      </c>
      <c r="AB363" s="160" t="n">
        <f aca="false">SUMIFS(AB$49:AB$251,$P$49:$P$251,$B$373,$E$49:$E$251,"upcoming")</f>
        <v>0</v>
      </c>
      <c r="AC363" s="160" t="n">
        <f aca="false">SUMIFS(AC$49:AC$251,$P$49:$P$251,$B$373,$E$49:$E$251,"upcoming")</f>
        <v>0</v>
      </c>
      <c r="AD363" s="160" t="n">
        <f aca="false">SUMIFS(AD$49:AD$251,$P$49:$P$251,$B$373,$E$49:$E$251,"upcoming")</f>
        <v>0</v>
      </c>
      <c r="AE363" s="160" t="n">
        <f aca="false">SUMIFS(AE$49:AE$251,$P$49:$P$251,$B$373,$E$49:$E$251,"upcoming")</f>
        <v>0</v>
      </c>
      <c r="AF363" s="160" t="n">
        <f aca="false">SUMIFS(AF$49:AF$251,$P$49:$P$251,$B$373,$E$49:$E$251,"upcoming")</f>
        <v>0</v>
      </c>
      <c r="AG363" s="160" t="n">
        <f aca="false">SUMIFS(AG$49:AG$251,$P$49:$P$251,$B$373,$E$49:$E$251,"upcoming")</f>
        <v>0</v>
      </c>
      <c r="AH363" s="160" t="n">
        <f aca="false">SUMIFS(AH$49:AH$251,$P$49:$P$251,$B$373,$E$49:$E$251,"upcoming")</f>
        <v>0</v>
      </c>
      <c r="AI363" s="160" t="n">
        <f aca="false">SUMIFS(AI$49:AI$251,$P$49:$P$251,$B$373,$E$49:$E$251,"upcoming")</f>
        <v>0</v>
      </c>
      <c r="AJ363" s="160" t="n">
        <f aca="false">SUMIFS(AJ$49:AJ$251,$P$49:$P$251,$B$373,$E$49:$E$251,"upcoming")</f>
        <v>0</v>
      </c>
      <c r="AK363" s="160" t="n">
        <f aca="false">SUMIFS(AK$49:AK$251,$P$49:$P$251,$B$373,$E$49:$E$251,"upcoming")</f>
        <v>0</v>
      </c>
      <c r="AL363" s="160" t="n">
        <f aca="false">SUMIFS(AL$49:AL$251,$P$49:$P$251,$B$373,$E$49:$E$251,"upcoming")</f>
        <v>0</v>
      </c>
      <c r="AM363" s="160" t="n">
        <f aca="false">SUMIFS(AM$49:AM$251,$P$49:$P$251,$B$373,$E$49:$E$251,"upcoming")</f>
        <v>0</v>
      </c>
      <c r="AN363" s="160" t="n">
        <f aca="false">SUMIFS(AN$49:AN$251,$P$49:$P$251,$B$373,$E$49:$E$251,"upcoming")</f>
        <v>0</v>
      </c>
      <c r="AO363" s="160" t="n">
        <f aca="false">SUMIFS(AO$49:AO$251,$P$49:$P$251,$B$373,$E$49:$E$251,"upcoming")</f>
        <v>0</v>
      </c>
      <c r="AP363" s="160" t="n">
        <f aca="false">SUMIFS(AP$49:AP$251,$P$49:$P$251,$B$373,$E$49:$E$251,"upcoming")</f>
        <v>0</v>
      </c>
      <c r="AQ363" s="160" t="n">
        <f aca="false">SUMIFS(AQ$49:AQ$251,$P$49:$P$251,$B$373,$E$49:$E$251,"upcoming")</f>
        <v>0</v>
      </c>
      <c r="AR363" s="160" t="n">
        <f aca="false">SUMIFS(AR$49:AR$251,$P$49:$P$251,$B$373,$E$49:$E$251,"upcoming")</f>
        <v>0</v>
      </c>
      <c r="AS363" s="160" t="n">
        <f aca="false">SUMIFS(AS$49:AS$251,$P$49:$P$251,$B$373,$E$49:$E$251,"upcoming")</f>
        <v>0</v>
      </c>
      <c r="AT363" s="160" t="n">
        <f aca="false">SUMIFS(AT$49:AT$251,$P$49:$P$251,$B$373,$E$49:$E$251,"upcoming")</f>
        <v>0</v>
      </c>
      <c r="AU363" s="160" t="n">
        <f aca="false">SUMIFS(AU$49:AU$251,$P$49:$P$251,$B$373,$E$49:$E$251,"upcoming")</f>
        <v>0</v>
      </c>
      <c r="AV363" s="160" t="n">
        <f aca="false">SUMIFS(AV$49:AV$251,$P$49:$P$251,$B$373,$E$49:$E$251,"upcoming")</f>
        <v>0</v>
      </c>
      <c r="AW363" s="160" t="n">
        <f aca="false">SUMIFS(AW$49:AW$251,$P$49:$P$251,$B$373,$E$49:$E$251,"upcoming")</f>
        <v>0</v>
      </c>
      <c r="AX363" s="160" t="n">
        <f aca="false">SUMIFS(AX$49:AX$251,$P$49:$P$251,$B$373,$E$49:$E$251,"upcoming")</f>
        <v>0</v>
      </c>
      <c r="AY363" s="160" t="n">
        <f aca="false">SUMIFS(AY$49:AY$251,$P$49:$P$251,$B$373,$E$49:$E$251,"upcoming")</f>
        <v>0</v>
      </c>
      <c r="AZ363" s="160" t="n">
        <f aca="false">SUMIFS(AZ$49:AZ$251,$P$49:$P$251,$B$373,$E$49:$E$251,"upcoming")</f>
        <v>0</v>
      </c>
      <c r="BA363" s="160" t="n">
        <f aca="false">SUMIFS(BA$49:BA$251,$P$49:$P$251,$B$373,$E$49:$E$251,"upcoming")</f>
        <v>0</v>
      </c>
      <c r="BB363" s="160" t="n">
        <f aca="false">SUMIFS(BB$49:BB$251,$P$49:$P$251,$B$373,$E$49:$E$251,"upcoming")</f>
        <v>0</v>
      </c>
    </row>
    <row r="364" s="41" customFormat="true" ht="15" hidden="false" customHeight="true" outlineLevel="0" collapsed="false">
      <c r="B364" s="159" t="s">
        <v>217</v>
      </c>
      <c r="C364" s="142"/>
      <c r="D364" s="142"/>
      <c r="H364" s="142"/>
      <c r="I364" s="142"/>
      <c r="J364" s="142"/>
      <c r="L364" s="143"/>
      <c r="M364" s="143"/>
      <c r="N364" s="143"/>
      <c r="O364" s="142"/>
      <c r="Q364" s="143"/>
      <c r="S364" s="160" t="n">
        <f aca="false">SUMIF($E$49:$E$251,"upcoming",S$49:S$251)-S$363</f>
        <v>0</v>
      </c>
      <c r="T364" s="160" t="n">
        <f aca="false">SUMIF($E$49:$E$251,"upcoming",T$49:T$251)-T$363</f>
        <v>0</v>
      </c>
      <c r="U364" s="160" t="n">
        <f aca="false">SUMIF($E$49:$E$251,"upcoming",U$49:U$251)-U$363</f>
        <v>0</v>
      </c>
      <c r="V364" s="160" t="n">
        <f aca="false">SUMIF($E$49:$E$251,"upcoming",V$49:V$251)-V$363</f>
        <v>0</v>
      </c>
      <c r="W364" s="160" t="n">
        <f aca="false">SUMIF($E$49:$E$251,"upcoming",W$49:W$251)-W$363</f>
        <v>0</v>
      </c>
      <c r="X364" s="160" t="n">
        <f aca="false">SUMIF($E$49:$E$251,"upcoming",X$49:X$251)-X$363</f>
        <v>0</v>
      </c>
      <c r="Y364" s="160" t="n">
        <f aca="false">SUMIF($E$49:$E$251,"upcoming",Y$49:Y$251)-Y$363</f>
        <v>0</v>
      </c>
      <c r="Z364" s="160" t="n">
        <f aca="false">SUMIF($E$49:$E$251,"upcoming",Z$49:Z$251)-Z$363</f>
        <v>0</v>
      </c>
      <c r="AA364" s="160" t="n">
        <f aca="false">SUMIF($E$49:$E$251,"upcoming",AA$49:AA$251)-AA$363</f>
        <v>0</v>
      </c>
      <c r="AB364" s="160" t="n">
        <f aca="false">SUMIF($E$49:$E$251,"upcoming",AB$49:AB$251)-AB$363</f>
        <v>0</v>
      </c>
      <c r="AC364" s="160" t="n">
        <f aca="false">SUMIF($E$49:$E$251,"upcoming",AC$49:AC$251)-AC$363</f>
        <v>0</v>
      </c>
      <c r="AD364" s="160" t="n">
        <f aca="false">SUMIF($E$49:$E$251,"upcoming",AD$49:AD$251)-AD$363</f>
        <v>0</v>
      </c>
      <c r="AE364" s="160" t="n">
        <f aca="false">SUMIF($E$49:$E$251,"upcoming",AE$49:AE$251)-AE$363</f>
        <v>0</v>
      </c>
      <c r="AF364" s="160" t="n">
        <f aca="false">SUMIF($E$49:$E$251,"upcoming",AF$49:AF$251)-AF$363</f>
        <v>0</v>
      </c>
      <c r="AG364" s="160" t="n">
        <f aca="false">SUMIF($E$49:$E$251,"upcoming",AG$49:AG$251)-AG$363</f>
        <v>0</v>
      </c>
      <c r="AH364" s="160" t="n">
        <f aca="false">SUMIF($E$49:$E$251,"upcoming",AH$49:AH$251)-AH$363</f>
        <v>0</v>
      </c>
      <c r="AI364" s="160" t="n">
        <f aca="false">SUMIF($E$49:$E$251,"upcoming",AI$49:AI$251)-AI$363</f>
        <v>0</v>
      </c>
      <c r="AJ364" s="160" t="n">
        <f aca="false">SUMIF($E$49:$E$251,"upcoming",AJ$49:AJ$251)-AJ$363</f>
        <v>0</v>
      </c>
      <c r="AK364" s="160" t="n">
        <f aca="false">SUMIF($E$49:$E$251,"upcoming",AK$49:AK$251)-AK$363</f>
        <v>0</v>
      </c>
      <c r="AL364" s="160" t="n">
        <f aca="false">SUMIF($E$49:$E$251,"upcoming",AL$49:AL$251)-AL$363</f>
        <v>0</v>
      </c>
      <c r="AM364" s="160" t="n">
        <f aca="false">SUMIF($E$49:$E$251,"upcoming",AM$49:AM$251)-AM$363</f>
        <v>0</v>
      </c>
      <c r="AN364" s="160" t="n">
        <f aca="false">SUMIF($E$49:$E$251,"upcoming",AN$49:AN$251)-AN$363</f>
        <v>0</v>
      </c>
      <c r="AO364" s="160" t="n">
        <f aca="false">SUMIF($E$49:$E$251,"upcoming",AO$49:AO$251)-AO$363</f>
        <v>0</v>
      </c>
      <c r="AP364" s="160" t="n">
        <f aca="false">SUMIF($E$49:$E$251,"upcoming",AP$49:AP$251)-AP$363</f>
        <v>0</v>
      </c>
      <c r="AQ364" s="160" t="n">
        <f aca="false">SUMIF($E$49:$E$251,"upcoming",AQ$49:AQ$251)-AQ$363</f>
        <v>0</v>
      </c>
      <c r="AR364" s="160" t="n">
        <f aca="false">SUMIF($E$49:$E$251,"upcoming",AR$49:AR$251)-AR$363</f>
        <v>0</v>
      </c>
      <c r="AS364" s="160" t="n">
        <f aca="false">SUMIF($E$49:$E$251,"upcoming",AS$49:AS$251)-AS$363</f>
        <v>0</v>
      </c>
      <c r="AT364" s="160" t="n">
        <f aca="false">SUMIF($E$49:$E$251,"upcoming",AT$49:AT$251)-AT$363</f>
        <v>0</v>
      </c>
      <c r="AU364" s="160" t="n">
        <f aca="false">SUMIF($E$49:$E$251,"upcoming",AU$49:AU$251)-AU$363</f>
        <v>0</v>
      </c>
      <c r="AV364" s="160" t="n">
        <f aca="false">SUMIF($E$49:$E$251,"upcoming",AV$49:AV$251)-AV$363</f>
        <v>0</v>
      </c>
      <c r="AW364" s="160" t="n">
        <f aca="false">SUMIF($E$49:$E$251,"upcoming",AW$49:AW$251)-AW$363</f>
        <v>0</v>
      </c>
      <c r="AX364" s="160" t="n">
        <f aca="false">SUMIF($E$49:$E$251,"upcoming",AX$49:AX$251)-AX$363</f>
        <v>0</v>
      </c>
      <c r="AY364" s="160" t="n">
        <f aca="false">SUMIF($E$49:$E$251,"upcoming",AY$49:AY$251)-AY$363</f>
        <v>0</v>
      </c>
      <c r="AZ364" s="160" t="n">
        <f aca="false">SUMIF($E$49:$E$251,"upcoming",AZ$49:AZ$251)-AZ$363</f>
        <v>0</v>
      </c>
      <c r="BA364" s="160" t="n">
        <f aca="false">SUMIF($E$49:$E$251,"upcoming",BA$49:BA$251)-BA$363</f>
        <v>0</v>
      </c>
      <c r="BB364" s="160" t="n">
        <f aca="false">SUMIF($E$49:$E$251,"upcoming",BB$49:BB$251)-BB$363</f>
        <v>0</v>
      </c>
    </row>
    <row r="365" s="41" customFormat="true" ht="15" hidden="false" customHeight="true" outlineLevel="0" collapsed="false">
      <c r="B365" s="159" t="s">
        <v>218</v>
      </c>
      <c r="C365" s="142"/>
      <c r="D365" s="142"/>
      <c r="H365" s="142"/>
      <c r="I365" s="142"/>
      <c r="J365" s="142"/>
      <c r="L365" s="143"/>
      <c r="M365" s="143"/>
      <c r="N365" s="143"/>
      <c r="O365" s="142"/>
      <c r="Q365" s="143"/>
      <c r="S365" s="160" t="n">
        <f aca="false">SUMIFS(S$49:S$251,$P$49:$P$251,$B$373,$E$49:$E$251,"running")</f>
        <v>0</v>
      </c>
      <c r="T365" s="160" t="n">
        <f aca="false">SUMIFS(T$49:T$251,$P$49:$P$251,$B$373,$E$49:$E$251,"running")</f>
        <v>0</v>
      </c>
      <c r="U365" s="160" t="n">
        <f aca="false">SUMIFS(U$49:U$251,$P$49:$P$251,$B$373,$E$49:$E$251,"running")</f>
        <v>0</v>
      </c>
      <c r="V365" s="160" t="n">
        <f aca="false">SUMIFS(V$49:V$251,$P$49:$P$251,$B$373,$E$49:$E$251,"running")</f>
        <v>0</v>
      </c>
      <c r="W365" s="160" t="n">
        <f aca="false">SUMIFS(W$49:W$251,$P$49:$P$251,$B$373,$E$49:$E$251,"running")</f>
        <v>0</v>
      </c>
      <c r="X365" s="160" t="n">
        <f aca="false">SUMIFS(X$49:X$251,$P$49:$P$251,$B$373,$E$49:$E$251,"running")</f>
        <v>0</v>
      </c>
      <c r="Y365" s="160" t="n">
        <f aca="false">SUMIFS(Y$49:Y$251,$P$49:$P$251,$B$373,$E$49:$E$251,"running")</f>
        <v>0</v>
      </c>
      <c r="Z365" s="160" t="n">
        <f aca="false">SUMIFS(Z$49:Z$251,$P$49:$P$251,$B$373,$E$49:$E$251,"running")</f>
        <v>0</v>
      </c>
      <c r="AA365" s="160" t="n">
        <f aca="false">SUMIFS(AA$49:AA$251,$P$49:$P$251,$B$373,$E$49:$E$251,"running")</f>
        <v>0</v>
      </c>
      <c r="AB365" s="160" t="n">
        <f aca="false">SUMIFS(AB$49:AB$251,$P$49:$P$251,$B$373,$E$49:$E$251,"running")</f>
        <v>0</v>
      </c>
      <c r="AC365" s="160" t="n">
        <f aca="false">SUMIFS(AC$49:AC$251,$P$49:$P$251,$B$373,$E$49:$E$251,"running")</f>
        <v>0</v>
      </c>
      <c r="AD365" s="160" t="n">
        <f aca="false">SUMIFS(AD$49:AD$251,$P$49:$P$251,$B$373,$E$49:$E$251,"running")</f>
        <v>0</v>
      </c>
      <c r="AE365" s="160" t="n">
        <f aca="false">SUMIFS(AE$49:AE$251,$P$49:$P$251,$B$373,$E$49:$E$251,"running")</f>
        <v>0</v>
      </c>
      <c r="AF365" s="160" t="n">
        <f aca="false">SUMIFS(AF$49:AF$251,$P$49:$P$251,$B$373,$E$49:$E$251,"running")</f>
        <v>0</v>
      </c>
      <c r="AG365" s="160" t="n">
        <f aca="false">SUMIFS(AG$49:AG$251,$P$49:$P$251,$B$373,$E$49:$E$251,"running")</f>
        <v>0</v>
      </c>
      <c r="AH365" s="160" t="n">
        <f aca="false">SUMIFS(AH$49:AH$251,$P$49:$P$251,$B$373,$E$49:$E$251,"running")</f>
        <v>0</v>
      </c>
      <c r="AI365" s="160" t="n">
        <f aca="false">SUMIFS(AI$49:AI$251,$P$49:$P$251,$B$373,$E$49:$E$251,"running")</f>
        <v>0</v>
      </c>
      <c r="AJ365" s="160" t="n">
        <f aca="false">SUMIFS(AJ$49:AJ$251,$P$49:$P$251,$B$373,$E$49:$E$251,"running")</f>
        <v>0</v>
      </c>
      <c r="AK365" s="160" t="n">
        <f aca="false">SUMIFS(AK$49:AK$251,$P$49:$P$251,$B$373,$E$49:$E$251,"running")</f>
        <v>0</v>
      </c>
      <c r="AL365" s="160" t="n">
        <f aca="false">SUMIFS(AL$49:AL$251,$P$49:$P$251,$B$373,$E$49:$E$251,"running")</f>
        <v>0</v>
      </c>
      <c r="AM365" s="160" t="n">
        <f aca="false">SUMIFS(AM$49:AM$251,$P$49:$P$251,$B$373,$E$49:$E$251,"running")</f>
        <v>0</v>
      </c>
      <c r="AN365" s="160" t="n">
        <f aca="false">SUMIFS(AN$49:AN$251,$P$49:$P$251,$B$373,$E$49:$E$251,"running")</f>
        <v>0</v>
      </c>
      <c r="AO365" s="160" t="n">
        <f aca="false">SUMIFS(AO$49:AO$251,$P$49:$P$251,$B$373,$E$49:$E$251,"running")</f>
        <v>0</v>
      </c>
      <c r="AP365" s="160" t="n">
        <f aca="false">SUMIFS(AP$49:AP$251,$P$49:$P$251,$B$373,$E$49:$E$251,"running")</f>
        <v>0</v>
      </c>
      <c r="AQ365" s="160" t="n">
        <f aca="false">SUMIFS(AQ$49:AQ$251,$P$49:$P$251,$B$373,$E$49:$E$251,"running")</f>
        <v>0</v>
      </c>
      <c r="AR365" s="160" t="n">
        <f aca="false">SUMIFS(AR$49:AR$251,$P$49:$P$251,$B$373,$E$49:$E$251,"running")</f>
        <v>0</v>
      </c>
      <c r="AS365" s="160" t="n">
        <f aca="false">SUMIFS(AS$49:AS$251,$P$49:$P$251,$B$373,$E$49:$E$251,"running")</f>
        <v>0</v>
      </c>
      <c r="AT365" s="160" t="n">
        <f aca="false">SUMIFS(AT$49:AT$251,$P$49:$P$251,$B$373,$E$49:$E$251,"running")</f>
        <v>0</v>
      </c>
      <c r="AU365" s="160" t="n">
        <f aca="false">SUMIFS(AU$49:AU$251,$P$49:$P$251,$B$373,$E$49:$E$251,"running")</f>
        <v>0</v>
      </c>
      <c r="AV365" s="160" t="n">
        <f aca="false">SUMIFS(AV$49:AV$251,$P$49:$P$251,$B$373,$E$49:$E$251,"running")</f>
        <v>0</v>
      </c>
      <c r="AW365" s="160" t="n">
        <f aca="false">SUMIFS(AW$49:AW$251,$P$49:$P$251,$B$373,$E$49:$E$251,"running")</f>
        <v>0</v>
      </c>
      <c r="AX365" s="160" t="n">
        <f aca="false">SUMIFS(AX$49:AX$251,$P$49:$P$251,$B$373,$E$49:$E$251,"running")</f>
        <v>0</v>
      </c>
      <c r="AY365" s="160" t="n">
        <f aca="false">SUMIFS(AY$49:AY$251,$P$49:$P$251,$B$373,$E$49:$E$251,"running")</f>
        <v>0</v>
      </c>
      <c r="AZ365" s="160" t="n">
        <f aca="false">SUMIFS(AZ$49:AZ$251,$P$49:$P$251,$B$373,$E$49:$E$251,"running")</f>
        <v>0</v>
      </c>
      <c r="BA365" s="160" t="n">
        <f aca="false">SUMIFS(BA$49:BA$251,$P$49:$P$251,$B$373,$E$49:$E$251,"running")</f>
        <v>0</v>
      </c>
      <c r="BB365" s="160" t="n">
        <f aca="false">SUMIFS(BB$49:BB$251,$P$49:$P$251,$B$373,$E$49:$E$251,"running")</f>
        <v>0</v>
      </c>
    </row>
    <row r="366" s="41" customFormat="true" ht="15" hidden="false" customHeight="true" outlineLevel="0" collapsed="false">
      <c r="B366" s="159" t="s">
        <v>11</v>
      </c>
      <c r="C366" s="142"/>
      <c r="D366" s="142"/>
      <c r="H366" s="142"/>
      <c r="I366" s="142"/>
      <c r="J366" s="142"/>
      <c r="L366" s="143"/>
      <c r="M366" s="143"/>
      <c r="N366" s="143"/>
      <c r="O366" s="142"/>
      <c r="Q366" s="143"/>
      <c r="S366" s="160" t="n">
        <f aca="false">SUMIF($E$49:$E$251,"running",S$49:S$251)-S$365</f>
        <v>0</v>
      </c>
      <c r="T366" s="160" t="n">
        <f aca="false">SUMIF($E$49:$E$251,"running",T$49:T$251)-T$365</f>
        <v>0</v>
      </c>
      <c r="U366" s="160" t="n">
        <f aca="false">SUMIF($E$49:$E$251,"running",U$49:U$251)-U$365</f>
        <v>2325.76</v>
      </c>
      <c r="V366" s="160" t="n">
        <f aca="false">SUMIF($E$49:$E$251,"running",V$49:V$251)-V$365</f>
        <v>1820.16</v>
      </c>
      <c r="W366" s="160" t="n">
        <f aca="false">SUMIF($E$49:$E$251,"running",W$49:W$251)-W$365</f>
        <v>1216.32</v>
      </c>
      <c r="X366" s="160" t="n">
        <f aca="false">SUMIF($E$49:$E$251,"running",X$49:X$251)-X$365</f>
        <v>1158.4</v>
      </c>
      <c r="Y366" s="160" t="n">
        <f aca="false">SUMIF($E$49:$E$251,"running",Y$49:Y$251)-Y$365</f>
        <v>1216.32</v>
      </c>
      <c r="Z366" s="160" t="n">
        <f aca="false">SUMIF($E$49:$E$251,"running",Z$49:Z$251)-Z$365</f>
        <v>1332.16</v>
      </c>
      <c r="AA366" s="160" t="n">
        <f aca="false">SUMIF($E$49:$E$251,"running",AA$49:AA$251)-AA$365</f>
        <v>1216.32</v>
      </c>
      <c r="AB366" s="160" t="n">
        <f aca="false">SUMIF($E$49:$E$251,"running",AB$49:AB$251)-AB$365</f>
        <v>1274.24</v>
      </c>
      <c r="AC366" s="160" t="n">
        <f aca="false">SUMIF($E$49:$E$251,"running",AC$49:AC$251)-AC$365</f>
        <v>1274.24</v>
      </c>
      <c r="AD366" s="160" t="n">
        <f aca="false">SUMIF($E$49:$E$251,"running",AD$49:AD$251)-AD$365</f>
        <v>1100.48</v>
      </c>
      <c r="AE366" s="160" t="n">
        <f aca="false">SUMIF($E$49:$E$251,"running",AE$49:AE$251)-AE$365</f>
        <v>0</v>
      </c>
      <c r="AF366" s="160" t="n">
        <f aca="false">SUMIF($E$49:$E$251,"running",AF$49:AF$251)-AF$365</f>
        <v>0</v>
      </c>
      <c r="AG366" s="160" t="n">
        <f aca="false">SUMIF($E$49:$E$251,"running",AG$49:AG$251)-AG$365</f>
        <v>0</v>
      </c>
      <c r="AH366" s="160" t="n">
        <f aca="false">SUMIF($E$49:$E$251,"running",AH$49:AH$251)-AH$365</f>
        <v>0</v>
      </c>
      <c r="AI366" s="160" t="n">
        <f aca="false">SUMIF($E$49:$E$251,"running",AI$49:AI$251)-AI$365</f>
        <v>0</v>
      </c>
      <c r="AJ366" s="160" t="n">
        <f aca="false">SUMIF($E$49:$E$251,"running",AJ$49:AJ$251)-AJ$365</f>
        <v>0</v>
      </c>
      <c r="AK366" s="160" t="n">
        <f aca="false">SUMIF($E$49:$E$251,"running",AK$49:AK$251)-AK$365</f>
        <v>0</v>
      </c>
      <c r="AL366" s="160" t="n">
        <f aca="false">SUMIF($E$49:$E$251,"running",AL$49:AL$251)-AL$365</f>
        <v>0</v>
      </c>
      <c r="AM366" s="160" t="n">
        <f aca="false">SUMIF($E$49:$E$251,"running",AM$49:AM$251)-AM$365</f>
        <v>0</v>
      </c>
      <c r="AN366" s="160" t="n">
        <f aca="false">SUMIF($E$49:$E$251,"running",AN$49:AN$251)-AN$365</f>
        <v>0</v>
      </c>
      <c r="AO366" s="160" t="n">
        <f aca="false">SUMIF($E$49:$E$251,"running",AO$49:AO$251)-AO$365</f>
        <v>0</v>
      </c>
      <c r="AP366" s="160" t="n">
        <f aca="false">SUMIF($E$49:$E$251,"running",AP$49:AP$251)-AP$365</f>
        <v>0</v>
      </c>
      <c r="AQ366" s="160" t="n">
        <f aca="false">SUMIF($E$49:$E$251,"running",AQ$49:AQ$251)-AQ$365</f>
        <v>0</v>
      </c>
      <c r="AR366" s="160" t="n">
        <f aca="false">SUMIF($E$49:$E$251,"running",AR$49:AR$251)-AR$365</f>
        <v>0</v>
      </c>
      <c r="AS366" s="160" t="n">
        <f aca="false">SUMIF($E$49:$E$251,"running",AS$49:AS$251)-AS$365</f>
        <v>0</v>
      </c>
      <c r="AT366" s="160" t="n">
        <f aca="false">SUMIF($E$49:$E$251,"running",AT$49:AT$251)-AT$365</f>
        <v>0</v>
      </c>
      <c r="AU366" s="160" t="n">
        <f aca="false">SUMIF($E$49:$E$251,"running",AU$49:AU$251)-AU$365</f>
        <v>0</v>
      </c>
      <c r="AV366" s="160" t="n">
        <f aca="false">SUMIF($E$49:$E$251,"running",AV$49:AV$251)-AV$365</f>
        <v>0</v>
      </c>
      <c r="AW366" s="160" t="n">
        <f aca="false">SUMIF($E$49:$E$251,"running",AW$49:AW$251)-AW$365</f>
        <v>0</v>
      </c>
      <c r="AX366" s="160" t="n">
        <f aca="false">SUMIF($E$49:$E$251,"running",AX$49:AX$251)-AX$365</f>
        <v>0</v>
      </c>
      <c r="AY366" s="160" t="n">
        <f aca="false">SUMIF($E$49:$E$251,"running",AY$49:AY$251)-AY$365</f>
        <v>0</v>
      </c>
      <c r="AZ366" s="160" t="n">
        <f aca="false">SUMIF($E$49:$E$251,"running",AZ$49:AZ$251)-AZ$365</f>
        <v>0</v>
      </c>
      <c r="BA366" s="160" t="n">
        <f aca="false">SUMIF($E$49:$E$251,"running",BA$49:BA$251)-BA$365</f>
        <v>0</v>
      </c>
      <c r="BB366" s="160" t="n">
        <f aca="false">SUMIF($E$49:$E$251,"running",BB$49:BB$251)-BB$365</f>
        <v>0</v>
      </c>
    </row>
    <row r="367" s="41" customFormat="true" ht="15" hidden="false" customHeight="true" outlineLevel="0" collapsed="false">
      <c r="B367" s="159" t="s">
        <v>219</v>
      </c>
      <c r="C367" s="142"/>
      <c r="D367" s="142"/>
      <c r="H367" s="142"/>
      <c r="I367" s="142"/>
      <c r="J367" s="142"/>
      <c r="L367" s="143"/>
      <c r="M367" s="143"/>
      <c r="N367" s="143"/>
      <c r="O367" s="142"/>
      <c r="Q367" s="143"/>
      <c r="S367" s="160" t="n">
        <f aca="false">SUM(S$49:S$251)-S$361-S$362-S$363-S$364-S$365-S$366</f>
        <v>0</v>
      </c>
      <c r="T367" s="160" t="n">
        <f aca="false">SUM(T$49:T$251)-T$361-T$362-T$363-T$364-T$365-T$366</f>
        <v>0</v>
      </c>
      <c r="U367" s="160" t="n">
        <f aca="false">SUM(U$49:U$251)-U$361-U$362-U$363-U$364-U$365-U$366</f>
        <v>0</v>
      </c>
      <c r="V367" s="160" t="n">
        <f aca="false">SUM(V$49:V$251)-V$361-V$362-V$363-V$364-V$365-V$366</f>
        <v>0</v>
      </c>
      <c r="W367" s="160" t="n">
        <f aca="false">SUM(W$49:W$251)-W$361-W$362-W$363-W$364-W$365-W$366</f>
        <v>0</v>
      </c>
      <c r="X367" s="160" t="n">
        <f aca="false">SUM(X$49:X$251)-X$361-X$362-X$363-X$364-X$365-X$366</f>
        <v>0</v>
      </c>
      <c r="Y367" s="160" t="n">
        <f aca="false">SUM(Y$49:Y$251)-Y$361-Y$362-Y$363-Y$364-Y$365-Y$366</f>
        <v>0</v>
      </c>
      <c r="Z367" s="160" t="n">
        <f aca="false">SUM(Z$49:Z$251)-Z$361-Z$362-Z$363-Z$364-Z$365-Z$366</f>
        <v>0</v>
      </c>
      <c r="AA367" s="160" t="n">
        <f aca="false">SUM(AA$49:AA$251)-AA$361-AA$362-AA$363-AA$364-AA$365-AA$366</f>
        <v>0</v>
      </c>
      <c r="AB367" s="160" t="n">
        <f aca="false">SUM(AB$49:AB$251)-AB$361-AB$362-AB$363-AB$364-AB$365-AB$366</f>
        <v>0</v>
      </c>
      <c r="AC367" s="160" t="n">
        <f aca="false">SUM(AC$49:AC$251)-AC$361-AC$362-AC$363-AC$364-AC$365-AC$366</f>
        <v>0</v>
      </c>
      <c r="AD367" s="160" t="n">
        <f aca="false">SUM(AD$49:AD$251)-AD$361-AD$362-AD$363-AD$364-AD$365-AD$366</f>
        <v>0</v>
      </c>
      <c r="AE367" s="160" t="n">
        <f aca="false">SUM(AE$49:AE$251)-AE$361-AE$362-AE$363-AE$364-AE$365-AE$366</f>
        <v>0</v>
      </c>
      <c r="AF367" s="160" t="n">
        <f aca="false">SUM(AF$49:AF$251)-AF$361-AF$362-AF$363-AF$364-AF$365-AF$366</f>
        <v>0</v>
      </c>
      <c r="AG367" s="160" t="n">
        <f aca="false">SUM(AG$49:AG$251)-AG$361-AG$362-AG$363-AG$364-AG$365-AG$366</f>
        <v>0</v>
      </c>
      <c r="AH367" s="160" t="n">
        <f aca="false">SUM(AH$49:AH$251)-AH$361-AH$362-AH$363-AH$364-AH$365-AH$366</f>
        <v>0</v>
      </c>
      <c r="AI367" s="160" t="n">
        <f aca="false">SUM(AI$49:AI$251)-AI$361-AI$362-AI$363-AI$364-AI$365-AI$366</f>
        <v>0</v>
      </c>
      <c r="AJ367" s="160" t="n">
        <f aca="false">SUM(AJ$49:AJ$251)-AJ$361-AJ$362-AJ$363-AJ$364-AJ$365-AJ$366</f>
        <v>0</v>
      </c>
      <c r="AK367" s="160" t="n">
        <f aca="false">SUM(AK$49:AK$251)-AK$361-AK$362-AK$363-AK$364-AK$365-AK$366</f>
        <v>0</v>
      </c>
      <c r="AL367" s="160" t="n">
        <f aca="false">SUM(AL$49:AL$251)-AL$361-AL$362-AL$363-AL$364-AL$365-AL$366</f>
        <v>0</v>
      </c>
      <c r="AM367" s="160" t="n">
        <f aca="false">SUM(AM$49:AM$251)-AM$361-AM$362-AM$363-AM$364-AM$365-AM$366</f>
        <v>0</v>
      </c>
      <c r="AN367" s="160" t="n">
        <f aca="false">SUM(AN$49:AN$251)-AN$361-AN$362-AN$363-AN$364-AN$365-AN$366</f>
        <v>0</v>
      </c>
      <c r="AO367" s="160" t="n">
        <f aca="false">SUM(AO$49:AO$251)-AO$361-AO$362-AO$363-AO$364-AO$365-AO$366</f>
        <v>0</v>
      </c>
      <c r="AP367" s="160" t="n">
        <f aca="false">SUM(AP$49:AP$251)-AP$361-AP$362-AP$363-AP$364-AP$365-AP$366</f>
        <v>0</v>
      </c>
      <c r="AQ367" s="160" t="n">
        <f aca="false">SUM(AQ$49:AQ$251)-AQ$361-AQ$362-AQ$363-AQ$364-AQ$365-AQ$366</f>
        <v>0</v>
      </c>
      <c r="AR367" s="160" t="n">
        <f aca="false">SUM(AR$49:AR$251)-AR$361-AR$362-AR$363-AR$364-AR$365-AR$366</f>
        <v>0</v>
      </c>
      <c r="AS367" s="160" t="n">
        <f aca="false">SUM(AS$49:AS$251)-AS$361-AS$362-AS$363-AS$364-AS$365-AS$366</f>
        <v>0</v>
      </c>
      <c r="AT367" s="160" t="n">
        <f aca="false">SUM(AT$49:AT$251)-AT$361-AT$362-AT$363-AT$364-AT$365-AT$366</f>
        <v>0</v>
      </c>
      <c r="AU367" s="160" t="n">
        <f aca="false">SUM(AU$49:AU$251)-AU$361-AU$362-AU$363-AU$364-AU$365-AU$366</f>
        <v>0</v>
      </c>
      <c r="AV367" s="160" t="n">
        <f aca="false">SUM(AV$49:AV$251)-AV$361-AV$362-AV$363-AV$364-AV$365-AV$366</f>
        <v>0</v>
      </c>
      <c r="AW367" s="160" t="n">
        <f aca="false">SUM(AW$49:AW$251)-AW$361-AW$362-AW$363-AW$364-AW$365-AW$366</f>
        <v>0</v>
      </c>
      <c r="AX367" s="160" t="n">
        <f aca="false">SUM(AX$49:AX$251)-AX$361-AX$362-AX$363-AX$364-AX$365-AX$366</f>
        <v>0</v>
      </c>
      <c r="AY367" s="160" t="n">
        <f aca="false">SUM(AY$49:AY$251)-AY$361-AY$362-AY$363-AY$364-AY$365-AY$366</f>
        <v>0</v>
      </c>
      <c r="AZ367" s="160" t="n">
        <f aca="false">SUM(AZ$49:AZ$251)-AZ$361-AZ$362-AZ$363-AZ$364-AZ$365-AZ$366</f>
        <v>0</v>
      </c>
      <c r="BA367" s="160" t="n">
        <f aca="false">SUM(BA$49:BA$251)-BA$361-BA$362-BA$363-BA$364-BA$365-BA$366</f>
        <v>0</v>
      </c>
      <c r="BB367" s="160" t="n">
        <f aca="false">SUM(BB$49:BB$251)-BB$361-BB$362-BB$363-BB$364-BB$365-BB$366</f>
        <v>0</v>
      </c>
      <c r="BC367" s="143" t="n">
        <f aca="false">SUM(BC$49:BC$251) - BC361</f>
        <v>0</v>
      </c>
    </row>
    <row r="368" s="41" customFormat="true" ht="7.5" hidden="false" customHeight="true" outlineLevel="0" collapsed="false">
      <c r="B368" s="156"/>
      <c r="C368" s="142"/>
      <c r="D368" s="142"/>
      <c r="H368" s="142"/>
      <c r="I368" s="142"/>
      <c r="J368" s="142"/>
      <c r="L368" s="143"/>
      <c r="M368" s="143"/>
      <c r="N368" s="143"/>
      <c r="O368" s="142"/>
      <c r="Q368" s="143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57"/>
      <c r="AE368" s="157"/>
      <c r="AF368" s="157"/>
      <c r="AG368" s="157"/>
      <c r="AH368" s="157"/>
      <c r="AI368" s="157"/>
      <c r="AJ368" s="157"/>
      <c r="AK368" s="157"/>
      <c r="AL368" s="157"/>
      <c r="AM368" s="157"/>
      <c r="AN368" s="157"/>
      <c r="AO368" s="157"/>
      <c r="AP368" s="157"/>
      <c r="AQ368" s="157"/>
      <c r="AR368" s="157"/>
      <c r="AS368" s="157"/>
      <c r="AT368" s="157"/>
      <c r="AU368" s="157"/>
      <c r="AV368" s="157"/>
      <c r="AW368" s="157"/>
      <c r="AX368" s="157"/>
      <c r="AY368" s="157"/>
      <c r="AZ368" s="157"/>
      <c r="BA368" s="157"/>
      <c r="BB368" s="157"/>
      <c r="BC368" s="158"/>
    </row>
    <row r="369" s="41" customFormat="true" ht="15" hidden="false" customHeight="true" outlineLevel="0" collapsed="false">
      <c r="B369" s="159" t="s">
        <v>220</v>
      </c>
      <c r="C369" s="142"/>
      <c r="D369" s="142"/>
      <c r="H369" s="142"/>
      <c r="I369" s="142"/>
      <c r="J369" s="142"/>
      <c r="L369" s="143"/>
      <c r="M369" s="143"/>
      <c r="N369" s="143"/>
      <c r="O369" s="142"/>
      <c r="Q369" s="143"/>
      <c r="S369" s="160" t="n">
        <f aca="false">SUM(S$49:S$251) - S$370</f>
        <v>0</v>
      </c>
      <c r="T369" s="160" t="n">
        <f aca="false">SUM(T$49:T$251) - T$370</f>
        <v>0</v>
      </c>
      <c r="U369" s="160" t="n">
        <f aca="false">SUM(U$49:U$251) - U$370</f>
        <v>2325.76</v>
      </c>
      <c r="V369" s="160" t="n">
        <f aca="false">SUM(V$49:V$251) - V$370</f>
        <v>1820.16</v>
      </c>
      <c r="W369" s="160" t="n">
        <f aca="false">SUM(W$49:W$251) - W$370</f>
        <v>1216.32</v>
      </c>
      <c r="X369" s="160" t="n">
        <f aca="false">SUM(X$49:X$251) - X$370</f>
        <v>1158.4</v>
      </c>
      <c r="Y369" s="160" t="n">
        <f aca="false">SUM(Y$49:Y$251) - Y$370</f>
        <v>1216.32</v>
      </c>
      <c r="Z369" s="160" t="n">
        <f aca="false">SUM(Z$49:Z$251) - Z$370</f>
        <v>1332.16</v>
      </c>
      <c r="AA369" s="160" t="n">
        <f aca="false">SUM(AA$49:AA$251) - AA$370</f>
        <v>1216.32</v>
      </c>
      <c r="AB369" s="160" t="n">
        <f aca="false">SUM(AB$49:AB$251) - AB$370</f>
        <v>1274.24</v>
      </c>
      <c r="AC369" s="160" t="n">
        <f aca="false">SUM(AC$49:AC$251) - AC$370</f>
        <v>1274.24</v>
      </c>
      <c r="AD369" s="160" t="n">
        <f aca="false">SUM(AD$49:AD$251) - AD$370</f>
        <v>1100.48</v>
      </c>
      <c r="AE369" s="160" t="n">
        <f aca="false">SUM(AE$49:AE$251) - AE$370</f>
        <v>0</v>
      </c>
      <c r="AF369" s="160" t="n">
        <f aca="false">SUM(AF$49:AF$251) - AF$370</f>
        <v>0</v>
      </c>
      <c r="AG369" s="160" t="n">
        <f aca="false">SUM(AG$49:AG$251) - AG$370</f>
        <v>0</v>
      </c>
      <c r="AH369" s="160" t="n">
        <f aca="false">SUM(AH$49:AH$251) - AH$370</f>
        <v>0</v>
      </c>
      <c r="AI369" s="160" t="n">
        <f aca="false">SUM(AI$49:AI$251) - AI$370</f>
        <v>0</v>
      </c>
      <c r="AJ369" s="160" t="n">
        <f aca="false">SUM(AJ$49:AJ$251) - AJ$370</f>
        <v>0</v>
      </c>
      <c r="AK369" s="160" t="n">
        <f aca="false">SUM(AK$49:AK$251) - AK$370</f>
        <v>0</v>
      </c>
      <c r="AL369" s="160" t="n">
        <f aca="false">SUM(AL$49:AL$251) - AL$370</f>
        <v>0</v>
      </c>
      <c r="AM369" s="160" t="n">
        <f aca="false">SUM(AM$49:AM$251) - AM$370</f>
        <v>0</v>
      </c>
      <c r="AN369" s="160" t="n">
        <f aca="false">SUM(AN$49:AN$251) - AN$370</f>
        <v>0</v>
      </c>
      <c r="AO369" s="160" t="n">
        <f aca="false">SUM(AO$49:AO$251) - AO$370</f>
        <v>0</v>
      </c>
      <c r="AP369" s="160" t="n">
        <f aca="false">SUM(AP$49:AP$251) - AP$370</f>
        <v>0</v>
      </c>
      <c r="AQ369" s="160" t="n">
        <f aca="false">SUM(AQ$49:AQ$251) - AQ$370</f>
        <v>0</v>
      </c>
      <c r="AR369" s="160" t="n">
        <f aca="false">SUM(AR$49:AR$251) - AR$370</f>
        <v>0</v>
      </c>
      <c r="AS369" s="160" t="n">
        <f aca="false">SUM(AS$49:AS$251) - AS$370</f>
        <v>0</v>
      </c>
      <c r="AT369" s="160" t="n">
        <f aca="false">SUM(AT$49:AT$251) - AT$370</f>
        <v>0</v>
      </c>
      <c r="AU369" s="160" t="n">
        <f aca="false">SUM(AU$49:AU$251) - AU$370</f>
        <v>0</v>
      </c>
      <c r="AV369" s="160" t="n">
        <f aca="false">SUM(AV$49:AV$251) - AV$370</f>
        <v>0</v>
      </c>
      <c r="AW369" s="160" t="n">
        <f aca="false">SUM(AW$49:AW$251) - AW$370</f>
        <v>0</v>
      </c>
      <c r="AX369" s="160" t="n">
        <f aca="false">SUM(AX$49:AX$251) - AX$370</f>
        <v>0</v>
      </c>
      <c r="AY369" s="160" t="n">
        <f aca="false">SUM(AY$49:AY$251) - AY$370</f>
        <v>0</v>
      </c>
      <c r="AZ369" s="160" t="n">
        <f aca="false">SUM(AZ$49:AZ$251) - AZ$370</f>
        <v>0</v>
      </c>
      <c r="BA369" s="160" t="n">
        <f aca="false">SUM(BA$49:BA$251) - BA$370</f>
        <v>0</v>
      </c>
      <c r="BB369" s="160" t="n">
        <f aca="false">SUM(BB$49:BB$251) - BB$370</f>
        <v>0</v>
      </c>
      <c r="BC369" s="143" t="n">
        <f aca="false">SUM(BC$49:BC$251) - BC362</f>
        <v>0</v>
      </c>
    </row>
    <row r="370" s="41" customFormat="true" ht="15" hidden="false" customHeight="true" outlineLevel="0" collapsed="false">
      <c r="B370" s="159" t="s">
        <v>221</v>
      </c>
      <c r="C370" s="142"/>
      <c r="D370" s="142"/>
      <c r="H370" s="142"/>
      <c r="I370" s="142"/>
      <c r="J370" s="142"/>
      <c r="L370" s="143"/>
      <c r="M370" s="143"/>
      <c r="N370" s="143"/>
      <c r="O370" s="142"/>
      <c r="Q370" s="143"/>
      <c r="S370" s="160" t="n">
        <f aca="false">SUMIF($E$49:$E$251,"pre_alloc",S$49:S$251)</f>
        <v>0</v>
      </c>
      <c r="T370" s="160" t="n">
        <f aca="false">SUMIF($E$49:$E$251,"pre_alloc",T$49:T$251)</f>
        <v>0</v>
      </c>
      <c r="U370" s="160" t="n">
        <f aca="false">SUMIF($E$49:$E$251,"pre_alloc",U$49:U$251)</f>
        <v>0</v>
      </c>
      <c r="V370" s="160" t="n">
        <f aca="false">SUMIF($E$49:$E$251,"pre_alloc",V$49:V$251)</f>
        <v>0</v>
      </c>
      <c r="W370" s="160" t="n">
        <f aca="false">SUMIF($E$49:$E$251,"pre_alloc",W$49:W$251)</f>
        <v>907.2</v>
      </c>
      <c r="X370" s="160" t="n">
        <f aca="false">SUMIF($E$49:$E$251,"pre_alloc",X$49:X$251)</f>
        <v>864</v>
      </c>
      <c r="Y370" s="160" t="n">
        <f aca="false">SUMIF($E$49:$E$251,"pre_alloc",Y$49:Y$251)</f>
        <v>907.2</v>
      </c>
      <c r="Z370" s="160" t="n">
        <f aca="false">SUMIF($E$49:$E$251,"pre_alloc",Z$49:Z$251)</f>
        <v>993.6</v>
      </c>
      <c r="AA370" s="160" t="n">
        <f aca="false">SUMIF($E$49:$E$251,"pre_alloc",AA$49:AA$251)</f>
        <v>907.2</v>
      </c>
      <c r="AB370" s="160" t="n">
        <f aca="false">SUMIF($E$49:$E$251,"pre_alloc",AB$49:AB$251)</f>
        <v>950.4</v>
      </c>
      <c r="AC370" s="160" t="n">
        <f aca="false">SUMIF($E$49:$E$251,"pre_alloc",AC$49:AC$251)</f>
        <v>950.4</v>
      </c>
      <c r="AD370" s="160" t="n">
        <f aca="false">SUMIF($E$49:$E$251,"pre_alloc",AD$49:AD$251)</f>
        <v>820.8</v>
      </c>
      <c r="AE370" s="160" t="n">
        <f aca="false">SUMIF($E$49:$E$251,"pre_alloc",AE$49:AE$251)</f>
        <v>0</v>
      </c>
      <c r="AF370" s="160" t="n">
        <f aca="false">SUMIF($E$49:$E$251,"pre_alloc",AF$49:AF$251)</f>
        <v>0</v>
      </c>
      <c r="AG370" s="160" t="n">
        <f aca="false">SUMIF($E$49:$E$251,"pre_alloc",AG$49:AG$251)</f>
        <v>0</v>
      </c>
      <c r="AH370" s="160" t="n">
        <f aca="false">SUMIF($E$49:$E$251,"pre_alloc",AH$49:AH$251)</f>
        <v>0</v>
      </c>
      <c r="AI370" s="160" t="n">
        <f aca="false">SUMIF($E$49:$E$251,"pre_alloc",AI$49:AI$251)</f>
        <v>0</v>
      </c>
      <c r="AJ370" s="160" t="n">
        <f aca="false">SUMIF($E$49:$E$251,"pre_alloc",AJ$49:AJ$251)</f>
        <v>0</v>
      </c>
      <c r="AK370" s="160" t="n">
        <f aca="false">SUMIF($E$49:$E$251,"pre_alloc",AK$49:AK$251)</f>
        <v>0</v>
      </c>
      <c r="AL370" s="160" t="n">
        <f aca="false">SUMIF($E$49:$E$251,"pre_alloc",AL$49:AL$251)</f>
        <v>0</v>
      </c>
      <c r="AM370" s="160" t="n">
        <f aca="false">SUMIF($E$49:$E$251,"pre_alloc",AM$49:AM$251)</f>
        <v>0</v>
      </c>
      <c r="AN370" s="160" t="n">
        <f aca="false">SUMIF($E$49:$E$251,"pre_alloc",AN$49:AN$251)</f>
        <v>0</v>
      </c>
      <c r="AO370" s="160" t="n">
        <f aca="false">SUMIF($E$49:$E$251,"pre_alloc",AO$49:AO$251)</f>
        <v>0</v>
      </c>
      <c r="AP370" s="160" t="n">
        <f aca="false">SUMIF($E$49:$E$251,"pre_alloc",AP$49:AP$251)</f>
        <v>0</v>
      </c>
      <c r="AQ370" s="160" t="n">
        <f aca="false">SUMIF($E$49:$E$251,"pre_alloc",AQ$49:AQ$251)</f>
        <v>0</v>
      </c>
      <c r="AR370" s="160" t="n">
        <f aca="false">SUMIF($E$49:$E$251,"pre_alloc",AR$49:AR$251)</f>
        <v>0</v>
      </c>
      <c r="AS370" s="160" t="n">
        <f aca="false">SUMIF($E$49:$E$251,"pre_alloc",AS$49:AS$251)</f>
        <v>0</v>
      </c>
      <c r="AT370" s="160" t="n">
        <f aca="false">SUMIF($E$49:$E$251,"pre_alloc",AT$49:AT$251)</f>
        <v>0</v>
      </c>
      <c r="AU370" s="160" t="n">
        <f aca="false">SUMIF($E$49:$E$251,"pre_alloc",AU$49:AU$251)</f>
        <v>0</v>
      </c>
      <c r="AV370" s="160" t="n">
        <f aca="false">SUMIF($E$49:$E$251,"pre_alloc",AV$49:AV$251)</f>
        <v>0</v>
      </c>
      <c r="AW370" s="160" t="n">
        <f aca="false">SUMIF($E$49:$E$251,"pre_alloc",AW$49:AW$251)</f>
        <v>0</v>
      </c>
      <c r="AX370" s="160" t="n">
        <f aca="false">SUMIF($E$49:$E$251,"pre_alloc",AX$49:AX$251)</f>
        <v>0</v>
      </c>
      <c r="AY370" s="160" t="n">
        <f aca="false">SUMIF($E$49:$E$251,"pre_alloc",AY$49:AY$251)</f>
        <v>0</v>
      </c>
      <c r="AZ370" s="160" t="n">
        <f aca="false">SUMIF($E$49:$E$251,"pre_alloc",AZ$49:AZ$251)</f>
        <v>0</v>
      </c>
      <c r="BA370" s="160" t="n">
        <f aca="false">SUMIF($E$49:$E$251,"pre_alloc",BA$49:BA$251)</f>
        <v>0</v>
      </c>
      <c r="BB370" s="160" t="n">
        <f aca="false">SUMIF($E$49:$E$251,"pre_alloc",BB$49:BB$251)</f>
        <v>0</v>
      </c>
    </row>
    <row r="371" s="41" customFormat="true" ht="15" hidden="false" customHeight="true" outlineLevel="0" collapsed="false">
      <c r="B371" s="159" t="s">
        <v>222</v>
      </c>
      <c r="C371" s="142"/>
      <c r="D371" s="142"/>
      <c r="H371" s="142"/>
      <c r="I371" s="142"/>
      <c r="J371" s="142"/>
      <c r="L371" s="143"/>
      <c r="M371" s="143"/>
      <c r="N371" s="143"/>
      <c r="O371" s="142"/>
      <c r="Q371" s="143"/>
      <c r="S371" s="160" t="n">
        <f aca="false">SUM(S$253:S$356)</f>
        <v>26.88</v>
      </c>
      <c r="T371" s="160" t="n">
        <f aca="false">SUM(T$253:T$356)</f>
        <v>25.6</v>
      </c>
      <c r="U371" s="160" t="n">
        <f aca="false">SUM(U$253:U$356)</f>
        <v>29.44</v>
      </c>
      <c r="V371" s="160" t="n">
        <f aca="false">SUM(V$253:V$356)</f>
        <v>23.04</v>
      </c>
      <c r="W371" s="160" t="n">
        <f aca="false">SUM(W$253:W$356)</f>
        <v>26.88</v>
      </c>
      <c r="X371" s="160" t="n">
        <f aca="false">SUM(X$253:X$356)</f>
        <v>25.6</v>
      </c>
      <c r="Y371" s="160" t="n">
        <f aca="false">SUM(Y$253:Y$356)</f>
        <v>26.88</v>
      </c>
      <c r="Z371" s="160" t="n">
        <f aca="false">SUM(Z$253:Z$356)</f>
        <v>29.44</v>
      </c>
      <c r="AA371" s="160" t="n">
        <f aca="false">SUM(AA$253:AA$356)</f>
        <v>26.88</v>
      </c>
      <c r="AB371" s="160" t="n">
        <f aca="false">SUM(AB$253:AB$356)</f>
        <v>28.16</v>
      </c>
      <c r="AC371" s="160" t="n">
        <f aca="false">SUM(AC$253:AC$356)</f>
        <v>28.16</v>
      </c>
      <c r="AD371" s="160" t="n">
        <f aca="false">SUM(AD$253:AD$356)</f>
        <v>24.32</v>
      </c>
      <c r="AE371" s="160" t="n">
        <f aca="false">SUM(AE$253:AE$356)</f>
        <v>28.16</v>
      </c>
      <c r="AF371" s="160" t="n">
        <f aca="false">SUM(AF$253:AF$356)</f>
        <v>26.88</v>
      </c>
      <c r="AG371" s="160" t="n">
        <f aca="false">SUM(AG$253:AG$356)</f>
        <v>25.6</v>
      </c>
      <c r="AH371" s="160" t="n">
        <f aca="false">SUM(AH$253:AH$356)</f>
        <v>26.88</v>
      </c>
      <c r="AI371" s="160" t="n">
        <f aca="false">SUM(AI$253:AI$356)</f>
        <v>24.32</v>
      </c>
      <c r="AJ371" s="160" t="n">
        <f aca="false">SUM(AJ$253:AJ$356)</f>
        <v>25.6</v>
      </c>
      <c r="AK371" s="160" t="n">
        <f aca="false">SUM(AK$253:AK$356)</f>
        <v>29.44</v>
      </c>
      <c r="AL371" s="160" t="n">
        <f aca="false">SUM(AL$253:AL$356)</f>
        <v>26.88</v>
      </c>
      <c r="AM371" s="160" t="n">
        <f aca="false">SUM(AM$253:AM$356)</f>
        <v>26.88</v>
      </c>
      <c r="AN371" s="160" t="n">
        <f aca="false">SUM(AN$253:AN$356)</f>
        <v>28.16</v>
      </c>
      <c r="AO371" s="160" t="n">
        <f aca="false">SUM(AO$253:AO$356)</f>
        <v>25.6</v>
      </c>
      <c r="AP371" s="160" t="n">
        <f aca="false">SUM(AP$253:AP$356)</f>
        <v>24.32</v>
      </c>
      <c r="AQ371" s="160" t="n">
        <f aca="false">SUM(AQ$253:AQ$356)</f>
        <v>26.88</v>
      </c>
      <c r="AR371" s="160" t="n">
        <f aca="false">SUM(AR$253:AR$356)</f>
        <v>25.6</v>
      </c>
      <c r="AS371" s="160" t="n">
        <f aca="false">SUM(AS$253:AS$356)</f>
        <v>26.88</v>
      </c>
      <c r="AT371" s="160" t="n">
        <f aca="false">SUM(AT$253:AT$356)</f>
        <v>25.6</v>
      </c>
      <c r="AU371" s="160" t="n">
        <f aca="false">SUM(AU$253:AU$356)</f>
        <v>25.6</v>
      </c>
      <c r="AV371" s="160" t="n">
        <f aca="false">SUM(AV$253:AV$356)</f>
        <v>24.32</v>
      </c>
      <c r="AW371" s="160" t="n">
        <f aca="false">SUM(AW$253:AW$356)</f>
        <v>29.44</v>
      </c>
      <c r="AX371" s="160" t="n">
        <f aca="false">SUM(AX$253:AX$356)</f>
        <v>25.6</v>
      </c>
      <c r="AY371" s="160" t="n">
        <f aca="false">SUM(AY$253:AY$356)</f>
        <v>28.16</v>
      </c>
      <c r="AZ371" s="160" t="n">
        <f aca="false">SUM(AZ$253:AZ$356)</f>
        <v>28.16</v>
      </c>
      <c r="BA371" s="160" t="n">
        <f aca="false">SUM(BA$253:BA$356)</f>
        <v>25.6</v>
      </c>
      <c r="BB371" s="160" t="n">
        <f aca="false">SUM(BB$253:BB$356)</f>
        <v>25.6</v>
      </c>
    </row>
    <row r="372" s="41" customFormat="true" ht="7.5" hidden="false" customHeight="true" outlineLevel="0" collapsed="false">
      <c r="B372" s="156"/>
      <c r="C372" s="142"/>
      <c r="D372" s="142"/>
      <c r="H372" s="142"/>
      <c r="I372" s="142"/>
      <c r="J372" s="142"/>
      <c r="L372" s="143"/>
      <c r="M372" s="143"/>
      <c r="N372" s="143"/>
      <c r="O372" s="142"/>
      <c r="Q372" s="143"/>
      <c r="S372" s="157"/>
      <c r="T372" s="157"/>
      <c r="U372" s="157"/>
      <c r="V372" s="157"/>
      <c r="W372" s="157"/>
      <c r="X372" s="157"/>
      <c r="Y372" s="157"/>
      <c r="Z372" s="157"/>
      <c r="AA372" s="157"/>
      <c r="AB372" s="157"/>
      <c r="AC372" s="157"/>
      <c r="AD372" s="157"/>
      <c r="AE372" s="157"/>
      <c r="AF372" s="157"/>
      <c r="AG372" s="157"/>
      <c r="AH372" s="157"/>
      <c r="AI372" s="157"/>
      <c r="AJ372" s="157"/>
      <c r="AK372" s="157"/>
      <c r="AL372" s="157"/>
      <c r="AM372" s="157"/>
      <c r="AN372" s="157"/>
      <c r="AO372" s="157"/>
      <c r="AP372" s="157"/>
      <c r="AQ372" s="157"/>
      <c r="AR372" s="157"/>
      <c r="AS372" s="157"/>
      <c r="AT372" s="157"/>
      <c r="AU372" s="157"/>
      <c r="AV372" s="157"/>
      <c r="AW372" s="157"/>
      <c r="AX372" s="157"/>
      <c r="AY372" s="157"/>
      <c r="AZ372" s="157"/>
      <c r="BA372" s="157"/>
      <c r="BB372" s="157"/>
      <c r="BC372" s="158"/>
    </row>
    <row r="373" customFormat="false" ht="15.75" hidden="false" customHeight="false" outlineLevel="0" collapsed="false">
      <c r="B373" s="161" t="str">
        <f aca="false">P355</f>
        <v>Dept_DCN4_Overload</v>
      </c>
      <c r="S373" s="160" t="n">
        <f aca="false">SUMIF($P$49:$P$251,$B$373,S$49:S$251)</f>
        <v>0</v>
      </c>
      <c r="T373" s="160" t="n">
        <f aca="false">SUMIF($P$49:$P$251,$B$373,T$49:T$251)</f>
        <v>0</v>
      </c>
      <c r="U373" s="160" t="n">
        <f aca="false">SUMIF($P$49:$P$251,$B$373,U$49:U$251)</f>
        <v>0</v>
      </c>
      <c r="V373" s="160" t="n">
        <f aca="false">SUMIF($P$49:$P$251,$B$373,V$49:V$251)</f>
        <v>0</v>
      </c>
      <c r="W373" s="160" t="n">
        <f aca="false">SUMIF($P$49:$P$251,$B$373,W$49:W$251)</f>
        <v>0</v>
      </c>
      <c r="X373" s="160" t="n">
        <f aca="false">SUMIF($P$49:$P$251,$B$373,X$49:X$251)</f>
        <v>0</v>
      </c>
      <c r="Y373" s="160" t="n">
        <f aca="false">SUMIF($P$49:$P$251,$B$373,Y$49:Y$251)</f>
        <v>0</v>
      </c>
      <c r="Z373" s="160" t="n">
        <f aca="false">SUMIF($P$49:$P$251,$B$373,Z$49:Z$251)</f>
        <v>0</v>
      </c>
      <c r="AA373" s="160" t="n">
        <f aca="false">SUMIF($P$49:$P$251,$B$373,AA$49:AA$251)</f>
        <v>0</v>
      </c>
      <c r="AB373" s="160" t="n">
        <f aca="false">SUMIF($P$49:$P$251,$B$373,AB$49:AB$251)</f>
        <v>0</v>
      </c>
      <c r="AC373" s="160" t="n">
        <f aca="false">SUMIF($P$49:$P$251,$B$373,AC$49:AC$251)</f>
        <v>0</v>
      </c>
      <c r="AD373" s="160" t="n">
        <f aca="false">SUMIF($P$49:$P$251,$B$373,AD$49:AD$251)</f>
        <v>0</v>
      </c>
      <c r="AE373" s="160" t="n">
        <f aca="false">SUMIF($P$49:$P$251,$B$373,AE$49:AE$251)</f>
        <v>0</v>
      </c>
      <c r="AF373" s="160" t="n">
        <f aca="false">SUMIF($P$49:$P$251,$B$373,AF$49:AF$251)</f>
        <v>0</v>
      </c>
      <c r="AG373" s="160" t="n">
        <f aca="false">SUMIF($P$49:$P$251,$B$373,AG$49:AG$251)</f>
        <v>0</v>
      </c>
      <c r="AH373" s="160" t="n">
        <f aca="false">SUMIF($P$49:$P$251,$B$373,AH$49:AH$251)</f>
        <v>0</v>
      </c>
      <c r="AI373" s="160" t="n">
        <f aca="false">SUMIF($P$49:$P$251,$B$373,AI$49:AI$251)</f>
        <v>0</v>
      </c>
      <c r="AJ373" s="160" t="n">
        <f aca="false">SUMIF($P$49:$P$251,$B$373,AJ$49:AJ$251)</f>
        <v>0</v>
      </c>
      <c r="AK373" s="160" t="n">
        <f aca="false">SUMIF($P$49:$P$251,$B$373,AK$49:AK$251)</f>
        <v>0</v>
      </c>
      <c r="AL373" s="160" t="n">
        <f aca="false">SUMIF($P$49:$P$251,$B$373,AL$49:AL$251)</f>
        <v>0</v>
      </c>
      <c r="AM373" s="160" t="n">
        <f aca="false">SUMIF($P$49:$P$251,$B$373,AM$49:AM$251)</f>
        <v>0</v>
      </c>
      <c r="AN373" s="160" t="n">
        <f aca="false">SUMIF($P$49:$P$251,$B$373,AN$49:AN$251)</f>
        <v>0</v>
      </c>
      <c r="AO373" s="160" t="n">
        <f aca="false">SUMIF($P$49:$P$251,$B$373,AO$49:AO$251)</f>
        <v>0</v>
      </c>
      <c r="AP373" s="160" t="n">
        <f aca="false">SUMIF($P$49:$P$251,$B$373,AP$49:AP$251)</f>
        <v>0</v>
      </c>
      <c r="AQ373" s="160" t="n">
        <f aca="false">SUMIF($P$49:$P$251,$B$373,AQ$49:AQ$251)</f>
        <v>0</v>
      </c>
      <c r="AR373" s="160" t="n">
        <f aca="false">SUMIF($P$49:$P$251,$B$373,AR$49:AR$251)</f>
        <v>0</v>
      </c>
      <c r="AS373" s="160" t="n">
        <f aca="false">SUMIF($P$49:$P$251,$B$373,AS$49:AS$251)</f>
        <v>0</v>
      </c>
      <c r="AT373" s="160" t="n">
        <f aca="false">SUMIF($P$49:$P$251,$B$373,AT$49:AT$251)</f>
        <v>0</v>
      </c>
      <c r="AU373" s="160" t="n">
        <f aca="false">SUMIF($P$49:$P$251,$B$373,AU$49:AU$251)</f>
        <v>0</v>
      </c>
      <c r="AV373" s="160" t="n">
        <f aca="false">SUMIF($P$49:$P$251,$B$373,AV$49:AV$251)</f>
        <v>0</v>
      </c>
      <c r="AW373" s="160" t="n">
        <f aca="false">SUMIF($P$49:$P$251,$B$373,AW$49:AW$251)</f>
        <v>0</v>
      </c>
      <c r="AX373" s="160" t="n">
        <f aca="false">SUMIF($P$49:$P$251,$B$373,AX$49:AX$251)</f>
        <v>0</v>
      </c>
      <c r="AY373" s="160" t="n">
        <f aca="false">SUMIF($P$49:$P$251,$B$373,AY$49:AY$251)</f>
        <v>0</v>
      </c>
      <c r="AZ373" s="160" t="n">
        <f aca="false">SUMIF($P$49:$P$251,$B$373,AZ$49:AZ$251)</f>
        <v>0</v>
      </c>
      <c r="BA373" s="160" t="n">
        <f aca="false">SUMIF($P$49:$P$251,$B$373,BA$49:BA$251)</f>
        <v>0</v>
      </c>
      <c r="BB373" s="160" t="n">
        <f aca="false">SUMIF($P$49:$P$251,$B$373,BB$49:BB$251)</f>
        <v>0</v>
      </c>
    </row>
    <row r="374" customFormat="false" ht="15.75" hidden="false" customHeight="false" outlineLevel="0" collapsed="false">
      <c r="B374" s="161" t="str">
        <f aca="false">CONCATENATE("PRODUCTIVE / EXCL. PRE-ALLOC and  ",B373)</f>
        <v>PRODUCTIVE / EXCL. PRE-ALLOC and  Dept_DCN4_Overload</v>
      </c>
      <c r="S374" s="160" t="n">
        <f aca="false">SUM(S$49:S$251) - S$370 -S$373+S$361</f>
        <v>0</v>
      </c>
      <c r="T374" s="160" t="n">
        <f aca="false">SUM(T$49:T$251) - T$370 -T$373+T$361</f>
        <v>0</v>
      </c>
      <c r="U374" s="160" t="n">
        <f aca="false">SUM(U$49:U$251) - U$370 -U$373+U$361</f>
        <v>2325.76</v>
      </c>
      <c r="V374" s="160" t="n">
        <f aca="false">SUM(V$49:V$251) - V$370 -V$373+V$361</f>
        <v>1820.16</v>
      </c>
      <c r="W374" s="160" t="n">
        <f aca="false">SUM(W$49:W$251) - W$370 -W$373+W$361</f>
        <v>1216.32</v>
      </c>
      <c r="X374" s="160" t="n">
        <f aca="false">SUM(X$49:X$251) - X$370 -X$373+X$361</f>
        <v>1158.4</v>
      </c>
      <c r="Y374" s="160" t="n">
        <f aca="false">SUM(Y$49:Y$251) - Y$370 -Y$373+Y$361</f>
        <v>1216.32</v>
      </c>
      <c r="Z374" s="160" t="n">
        <f aca="false">SUM(Z$49:Z$251) - Z$370 -Z$373+Z$361</f>
        <v>1332.16</v>
      </c>
      <c r="AA374" s="160" t="n">
        <f aca="false">SUM(AA$49:AA$251) - AA$370 -AA$373+AA$361</f>
        <v>1216.32</v>
      </c>
      <c r="AB374" s="160" t="n">
        <f aca="false">SUM(AB$49:AB$251) - AB$370 -AB$373+AB$361</f>
        <v>1274.24</v>
      </c>
      <c r="AC374" s="160" t="n">
        <f aca="false">SUM(AC$49:AC$251) - AC$370 -AC$373+AC$361</f>
        <v>1274.24</v>
      </c>
      <c r="AD374" s="160" t="n">
        <f aca="false">SUM(AD$49:AD$251) - AD$370 -AD$373+AD$361</f>
        <v>1100.48</v>
      </c>
      <c r="AE374" s="160" t="n">
        <f aca="false">SUM(AE$49:AE$251) - AE$370 -AE$373+AE$361</f>
        <v>0</v>
      </c>
      <c r="AF374" s="160" t="n">
        <f aca="false">SUM(AF$49:AF$251) - AF$370 -AF$373+AF$361</f>
        <v>0</v>
      </c>
      <c r="AG374" s="160" t="n">
        <f aca="false">SUM(AG$49:AG$251) - AG$370 -AG$373+AG$361</f>
        <v>0</v>
      </c>
      <c r="AH374" s="160" t="n">
        <f aca="false">SUM(AH$49:AH$251) - AH$370 -AH$373+AH$361</f>
        <v>0</v>
      </c>
      <c r="AI374" s="160" t="n">
        <f aca="false">SUM(AI$49:AI$251) - AI$370 -AI$373+AI$361</f>
        <v>0</v>
      </c>
      <c r="AJ374" s="160" t="n">
        <f aca="false">SUM(AJ$49:AJ$251) - AJ$370 -AJ$373+AJ$361</f>
        <v>0</v>
      </c>
      <c r="AK374" s="160" t="n">
        <f aca="false">SUM(AK$49:AK$251) - AK$370 -AK$373+AK$361</f>
        <v>0</v>
      </c>
      <c r="AL374" s="160" t="n">
        <f aca="false">SUM(AL$49:AL$251) - AL$370 -AL$373+AL$361</f>
        <v>0</v>
      </c>
      <c r="AM374" s="160" t="n">
        <f aca="false">SUM(AM$49:AM$251) - AM$370 -AM$373+AM$361</f>
        <v>0</v>
      </c>
      <c r="AN374" s="160" t="n">
        <f aca="false">SUM(AN$49:AN$251) - AN$370 -AN$373+AN$361</f>
        <v>0</v>
      </c>
      <c r="AO374" s="160" t="n">
        <f aca="false">SUM(AO$49:AO$251) - AO$370 -AO$373+AO$361</f>
        <v>0</v>
      </c>
      <c r="AP374" s="160" t="n">
        <f aca="false">SUM(AP$49:AP$251) - AP$370 -AP$373+AP$361</f>
        <v>0</v>
      </c>
      <c r="AQ374" s="160" t="n">
        <f aca="false">SUM(AQ$49:AQ$251) - AQ$370 -AQ$373+AQ$361</f>
        <v>0</v>
      </c>
      <c r="AR374" s="160" t="n">
        <f aca="false">SUM(AR$49:AR$251) - AR$370 -AR$373+AR$361</f>
        <v>0</v>
      </c>
      <c r="AS374" s="160" t="n">
        <f aca="false">SUM(AS$49:AS$251) - AS$370 -AS$373+AS$361</f>
        <v>0</v>
      </c>
      <c r="AT374" s="160" t="n">
        <f aca="false">SUM(AT$49:AT$251) - AT$370 -AT$373+AT$361</f>
        <v>0</v>
      </c>
      <c r="AU374" s="160" t="n">
        <f aca="false">SUM(AU$49:AU$251) - AU$370 -AU$373+AU$361</f>
        <v>0</v>
      </c>
      <c r="AV374" s="160" t="n">
        <f aca="false">SUM(AV$49:AV$251) - AV$370 -AV$373+AV$361</f>
        <v>0</v>
      </c>
      <c r="AW374" s="160" t="n">
        <f aca="false">SUM(AW$49:AW$251) - AW$370 -AW$373+AW$361</f>
        <v>0</v>
      </c>
      <c r="AX374" s="160" t="n">
        <f aca="false">SUM(AX$49:AX$251) - AX$370 -AX$373+AX$361</f>
        <v>0</v>
      </c>
      <c r="AY374" s="160" t="n">
        <f aca="false">SUM(AY$49:AY$251) - AY$370 -AY$373+AY$361</f>
        <v>0</v>
      </c>
      <c r="AZ374" s="160" t="n">
        <f aca="false">SUM(AZ$49:AZ$251) - AZ$370 -AZ$373+AZ$361</f>
        <v>0</v>
      </c>
      <c r="BA374" s="160" t="n">
        <f aca="false">SUM(BA$49:BA$251) - BA$370 -BA$373+BA$361</f>
        <v>0</v>
      </c>
      <c r="BB374" s="160" t="n">
        <f aca="false">SUM(BB$49:BB$251) - BB$370 -BB$373+BB$361</f>
        <v>0</v>
      </c>
      <c r="BC374" s="143" t="n">
        <f aca="false">BC369-BC373+BC372</f>
        <v>0</v>
      </c>
    </row>
    <row r="375" s="41" customFormat="true" ht="7.5" hidden="false" customHeight="true" outlineLevel="0" collapsed="false">
      <c r="B375" s="156"/>
      <c r="C375" s="142"/>
      <c r="D375" s="142"/>
      <c r="H375" s="142"/>
      <c r="I375" s="142"/>
      <c r="J375" s="142"/>
      <c r="L375" s="143"/>
      <c r="M375" s="143"/>
      <c r="N375" s="143"/>
      <c r="O375" s="142"/>
      <c r="Q375" s="143"/>
      <c r="S375" s="157"/>
      <c r="T375" s="157"/>
      <c r="U375" s="157"/>
      <c r="V375" s="157"/>
      <c r="W375" s="157"/>
      <c r="X375" s="157"/>
      <c r="Y375" s="157"/>
      <c r="Z375" s="157"/>
      <c r="AA375" s="157"/>
      <c r="AB375" s="157"/>
      <c r="AC375" s="157"/>
      <c r="AD375" s="157"/>
      <c r="AE375" s="157"/>
      <c r="AF375" s="157"/>
      <c r="AG375" s="157"/>
      <c r="AH375" s="157"/>
      <c r="AI375" s="157"/>
      <c r="AJ375" s="157"/>
      <c r="AK375" s="157"/>
      <c r="AL375" s="157"/>
      <c r="AM375" s="157"/>
      <c r="AN375" s="157"/>
      <c r="AO375" s="157"/>
      <c r="AP375" s="157"/>
      <c r="AQ375" s="157"/>
      <c r="AR375" s="157"/>
      <c r="AS375" s="157"/>
      <c r="AT375" s="157"/>
      <c r="AU375" s="157"/>
      <c r="AV375" s="157"/>
      <c r="AW375" s="157"/>
      <c r="AX375" s="157"/>
      <c r="AY375" s="157"/>
      <c r="AZ375" s="157"/>
      <c r="BA375" s="157"/>
      <c r="BB375" s="157"/>
      <c r="BC375" s="158"/>
    </row>
    <row r="376" s="41" customFormat="true" ht="15.75" hidden="false" customHeight="true" outlineLevel="0" collapsed="false">
      <c r="B376" s="159" t="s">
        <v>223</v>
      </c>
      <c r="C376" s="142"/>
      <c r="D376" s="142"/>
      <c r="H376" s="142"/>
      <c r="I376" s="142"/>
      <c r="J376" s="142"/>
      <c r="L376" s="143"/>
      <c r="M376" s="143"/>
      <c r="N376" s="143"/>
      <c r="O376" s="142"/>
      <c r="Q376" s="143"/>
      <c r="S376" s="160" t="n">
        <f aca="false">SUBTOTAL(9,S$49:S$251)</f>
        <v>0</v>
      </c>
      <c r="T376" s="160" t="n">
        <f aca="false">SUBTOTAL(9,T$49:T$251)</f>
        <v>0</v>
      </c>
      <c r="U376" s="160" t="n">
        <f aca="false">SUBTOTAL(9,U$49:U$251)</f>
        <v>2325.76</v>
      </c>
      <c r="V376" s="160" t="n">
        <f aca="false">SUBTOTAL(9,V$49:V$251)</f>
        <v>1820.16</v>
      </c>
      <c r="W376" s="160" t="n">
        <f aca="false">SUBTOTAL(9,W$49:W$251)</f>
        <v>2123.52</v>
      </c>
      <c r="X376" s="160" t="n">
        <f aca="false">SUBTOTAL(9,X$49:X$251)</f>
        <v>2022.4</v>
      </c>
      <c r="Y376" s="160" t="n">
        <f aca="false">SUBTOTAL(9,Y$49:Y$251)</f>
        <v>2123.52</v>
      </c>
      <c r="Z376" s="160" t="n">
        <f aca="false">SUBTOTAL(9,Z$49:Z$251)</f>
        <v>2325.76</v>
      </c>
      <c r="AA376" s="160" t="n">
        <f aca="false">SUBTOTAL(9,AA$49:AA$251)</f>
        <v>2123.52</v>
      </c>
      <c r="AB376" s="160" t="n">
        <f aca="false">SUBTOTAL(9,AB$49:AB$251)</f>
        <v>2224.64</v>
      </c>
      <c r="AC376" s="160" t="n">
        <f aca="false">SUBTOTAL(9,AC$49:AC$251)</f>
        <v>2224.64</v>
      </c>
      <c r="AD376" s="160" t="n">
        <f aca="false">SUBTOTAL(9,AD$49:AD$251)</f>
        <v>1921.28</v>
      </c>
      <c r="AE376" s="160" t="n">
        <f aca="false">SUBTOTAL(9,AE$49:AE$251)</f>
        <v>0</v>
      </c>
      <c r="AF376" s="160" t="n">
        <f aca="false">SUBTOTAL(9,AF$49:AF$251)</f>
        <v>0</v>
      </c>
      <c r="AG376" s="160" t="n">
        <f aca="false">SUBTOTAL(9,AG$49:AG$251)</f>
        <v>0</v>
      </c>
      <c r="AH376" s="160" t="n">
        <f aca="false">SUBTOTAL(9,AH$49:AH$251)</f>
        <v>0</v>
      </c>
      <c r="AI376" s="160" t="n">
        <f aca="false">SUBTOTAL(9,AI$49:AI$251)</f>
        <v>0</v>
      </c>
      <c r="AJ376" s="160" t="n">
        <f aca="false">SUBTOTAL(9,AJ$49:AJ$251)</f>
        <v>0</v>
      </c>
      <c r="AK376" s="160" t="n">
        <f aca="false">SUBTOTAL(9,AK$49:AK$251)</f>
        <v>0</v>
      </c>
      <c r="AL376" s="160" t="n">
        <f aca="false">SUBTOTAL(9,AL$49:AL$251)</f>
        <v>0</v>
      </c>
      <c r="AM376" s="160" t="n">
        <f aca="false">SUBTOTAL(9,AM$49:AM$251)</f>
        <v>0</v>
      </c>
      <c r="AN376" s="160" t="n">
        <f aca="false">SUBTOTAL(9,AN$49:AN$251)</f>
        <v>0</v>
      </c>
      <c r="AO376" s="160" t="n">
        <f aca="false">SUBTOTAL(9,AO$49:AO$251)</f>
        <v>0</v>
      </c>
      <c r="AP376" s="160" t="n">
        <f aca="false">SUBTOTAL(9,AP$49:AP$251)</f>
        <v>0</v>
      </c>
      <c r="AQ376" s="160" t="n">
        <f aca="false">SUBTOTAL(9,AQ$49:AQ$251)</f>
        <v>0</v>
      </c>
      <c r="AR376" s="160" t="n">
        <f aca="false">SUBTOTAL(9,AR$49:AR$251)</f>
        <v>0</v>
      </c>
      <c r="AS376" s="160" t="n">
        <f aca="false">SUBTOTAL(9,AS$49:AS$251)</f>
        <v>0</v>
      </c>
      <c r="AT376" s="160" t="n">
        <f aca="false">SUBTOTAL(9,AT$49:AT$251)</f>
        <v>0</v>
      </c>
      <c r="AU376" s="160" t="n">
        <f aca="false">SUBTOTAL(9,AU$49:AU$251)</f>
        <v>0</v>
      </c>
      <c r="AV376" s="160" t="n">
        <f aca="false">SUBTOTAL(9,AV$49:AV$251)</f>
        <v>0</v>
      </c>
      <c r="AW376" s="160" t="n">
        <f aca="false">SUBTOTAL(9,AW$49:AW$251)</f>
        <v>0</v>
      </c>
      <c r="AX376" s="160" t="n">
        <f aca="false">SUBTOTAL(9,AX$49:AX$251)</f>
        <v>0</v>
      </c>
      <c r="AY376" s="160" t="n">
        <f aca="false">SUBTOTAL(9,AY$49:AY$251)</f>
        <v>0</v>
      </c>
      <c r="AZ376" s="160" t="n">
        <f aca="false">SUBTOTAL(9,AZ$49:AZ$251)</f>
        <v>0</v>
      </c>
      <c r="BA376" s="160" t="n">
        <f aca="false">SUBTOTAL(9,BA$49:BA$251)</f>
        <v>0</v>
      </c>
      <c r="BB376" s="160" t="n">
        <f aca="false">SUBTOTAL(9,BB$49:BB$251)</f>
        <v>0</v>
      </c>
    </row>
    <row r="377" customFormat="false" ht="16.5" hidden="false" customHeight="false" outlineLevel="0" collapsed="false">
      <c r="B377" s="162" t="s">
        <v>224</v>
      </c>
      <c r="S377" s="163" t="n">
        <f aca="false">SUBTOTAL(9,S$253:S$356)</f>
        <v>0</v>
      </c>
      <c r="T377" s="163" t="n">
        <f aca="false">SUBTOTAL(9,T$253:T$356)</f>
        <v>0</v>
      </c>
      <c r="U377" s="163" t="n">
        <f aca="false">SUBTOTAL(9,U$253:U$356)</f>
        <v>0</v>
      </c>
      <c r="V377" s="163" t="n">
        <f aca="false">SUBTOTAL(9,V$253:V$356)</f>
        <v>0</v>
      </c>
      <c r="W377" s="163" t="n">
        <f aca="false">SUBTOTAL(9,W$253:W$356)</f>
        <v>0</v>
      </c>
      <c r="X377" s="163" t="n">
        <f aca="false">SUBTOTAL(9,X$253:X$356)</f>
        <v>0</v>
      </c>
      <c r="Y377" s="163" t="n">
        <f aca="false">SUBTOTAL(9,Y$253:Y$356)</f>
        <v>0</v>
      </c>
      <c r="Z377" s="163" t="n">
        <f aca="false">SUBTOTAL(9,Z$253:Z$356)</f>
        <v>0</v>
      </c>
      <c r="AA377" s="163" t="n">
        <f aca="false">SUBTOTAL(9,AA$253:AA$356)</f>
        <v>0</v>
      </c>
      <c r="AB377" s="163" t="n">
        <f aca="false">SUBTOTAL(9,AB$253:AB$356)</f>
        <v>0</v>
      </c>
      <c r="AC377" s="163" t="n">
        <f aca="false">SUBTOTAL(9,AC$253:AC$356)</f>
        <v>0</v>
      </c>
      <c r="AD377" s="163" t="n">
        <f aca="false">SUBTOTAL(9,AD$253:AD$356)</f>
        <v>0</v>
      </c>
      <c r="AE377" s="163" t="n">
        <f aca="false">SUBTOTAL(9,AE$253:AE$356)</f>
        <v>0</v>
      </c>
      <c r="AF377" s="163" t="n">
        <f aca="false">SUBTOTAL(9,AF$253:AF$356)</f>
        <v>0</v>
      </c>
      <c r="AG377" s="163" t="n">
        <f aca="false">SUBTOTAL(9,AG$253:AG$356)</f>
        <v>0</v>
      </c>
      <c r="AH377" s="163" t="n">
        <f aca="false">SUBTOTAL(9,AH$253:AH$356)</f>
        <v>0</v>
      </c>
      <c r="AI377" s="163" t="n">
        <f aca="false">SUBTOTAL(9,AI$253:AI$356)</f>
        <v>0</v>
      </c>
      <c r="AJ377" s="163" t="n">
        <f aca="false">SUBTOTAL(9,AJ$253:AJ$356)</f>
        <v>0</v>
      </c>
      <c r="AK377" s="163" t="n">
        <f aca="false">SUBTOTAL(9,AK$253:AK$356)</f>
        <v>0</v>
      </c>
      <c r="AL377" s="163" t="n">
        <f aca="false">SUBTOTAL(9,AL$253:AL$356)</f>
        <v>0</v>
      </c>
      <c r="AM377" s="163" t="n">
        <f aca="false">SUBTOTAL(9,AM$253:AM$356)</f>
        <v>0</v>
      </c>
      <c r="AN377" s="163" t="n">
        <f aca="false">SUBTOTAL(9,AN$253:AN$356)</f>
        <v>0</v>
      </c>
      <c r="AO377" s="163" t="n">
        <f aca="false">SUBTOTAL(9,AO$253:AO$356)</f>
        <v>0</v>
      </c>
      <c r="AP377" s="163" t="n">
        <f aca="false">SUBTOTAL(9,AP$253:AP$356)</f>
        <v>0</v>
      </c>
      <c r="AQ377" s="163" t="n">
        <f aca="false">SUBTOTAL(9,AQ$253:AQ$356)</f>
        <v>0</v>
      </c>
      <c r="AR377" s="163" t="n">
        <f aca="false">SUBTOTAL(9,AR$253:AR$356)</f>
        <v>0</v>
      </c>
      <c r="AS377" s="163" t="n">
        <f aca="false">SUBTOTAL(9,AS$253:AS$356)</f>
        <v>0</v>
      </c>
      <c r="AT377" s="163" t="n">
        <f aca="false">SUBTOTAL(9,AT$253:AT$356)</f>
        <v>0</v>
      </c>
      <c r="AU377" s="163" t="n">
        <f aca="false">SUBTOTAL(9,AU$253:AU$356)</f>
        <v>0</v>
      </c>
      <c r="AV377" s="163" t="n">
        <f aca="false">SUBTOTAL(9,AV$253:AV$356)</f>
        <v>0</v>
      </c>
      <c r="AW377" s="163" t="n">
        <f aca="false">SUBTOTAL(9,AW$253:AW$356)</f>
        <v>0</v>
      </c>
      <c r="AX377" s="163" t="n">
        <f aca="false">SUBTOTAL(9,AX$253:AX$356)</f>
        <v>0</v>
      </c>
      <c r="AY377" s="163" t="n">
        <f aca="false">SUBTOTAL(9,AY$253:AY$356)</f>
        <v>0</v>
      </c>
      <c r="AZ377" s="163" t="n">
        <f aca="false">SUBTOTAL(9,AZ$253:AZ$356)</f>
        <v>0</v>
      </c>
      <c r="BA377" s="163" t="n">
        <f aca="false">SUBTOTAL(9,BA$253:BA$356)</f>
        <v>0</v>
      </c>
      <c r="BB377" s="163" t="n">
        <f aca="false">SUBTOTAL(9,BB$253:BB$356)</f>
        <v>0</v>
      </c>
    </row>
    <row r="378" customFormat="false" ht="15.75" hidden="false" customHeight="false" outlineLevel="0" collapsed="false">
      <c r="B378" s="162" t="s">
        <v>225</v>
      </c>
      <c r="S378" s="164" t="n">
        <f aca="false">SUM(S376:S377)</f>
        <v>0</v>
      </c>
      <c r="T378" s="164" t="n">
        <f aca="false">SUM(T376:T377)</f>
        <v>0</v>
      </c>
      <c r="U378" s="164" t="n">
        <f aca="false">SUM(U376:U377)</f>
        <v>2325.76</v>
      </c>
      <c r="V378" s="164" t="n">
        <f aca="false">SUM(V376:V377)</f>
        <v>1820.16</v>
      </c>
      <c r="W378" s="164" t="n">
        <f aca="false">SUM(W376:W377)</f>
        <v>2123.52</v>
      </c>
      <c r="X378" s="164" t="n">
        <f aca="false">SUM(X376:X377)</f>
        <v>2022.4</v>
      </c>
      <c r="Y378" s="164" t="n">
        <f aca="false">SUM(Y376:Y377)</f>
        <v>2123.52</v>
      </c>
      <c r="Z378" s="164" t="n">
        <f aca="false">SUM(Z376:Z377)</f>
        <v>2325.76</v>
      </c>
      <c r="AA378" s="164" t="n">
        <f aca="false">SUM(AA376:AA377)</f>
        <v>2123.52</v>
      </c>
      <c r="AB378" s="164" t="n">
        <f aca="false">SUM(AB376:AB377)</f>
        <v>2224.64</v>
      </c>
      <c r="AC378" s="164" t="n">
        <f aca="false">SUM(AC376:AC377)</f>
        <v>2224.64</v>
      </c>
      <c r="AD378" s="164" t="n">
        <f aca="false">SUM(AD376:AD377)</f>
        <v>1921.28</v>
      </c>
      <c r="AE378" s="164" t="n">
        <f aca="false">SUM(AE376:AE377)</f>
        <v>0</v>
      </c>
      <c r="AF378" s="164" t="n">
        <f aca="false">SUM(AF376:AF377)</f>
        <v>0</v>
      </c>
      <c r="AG378" s="164" t="n">
        <f aca="false">SUM(AG376:AG377)</f>
        <v>0</v>
      </c>
      <c r="AH378" s="164" t="n">
        <f aca="false">SUM(AH376:AH377)</f>
        <v>0</v>
      </c>
      <c r="AI378" s="164" t="n">
        <f aca="false">SUM(AI376:AI377)</f>
        <v>0</v>
      </c>
      <c r="AJ378" s="164" t="n">
        <f aca="false">SUM(AJ376:AJ377)</f>
        <v>0</v>
      </c>
      <c r="AK378" s="164" t="n">
        <f aca="false">SUM(AK376:AK377)</f>
        <v>0</v>
      </c>
      <c r="AL378" s="164" t="n">
        <f aca="false">SUM(AL376:AL377)</f>
        <v>0</v>
      </c>
      <c r="AM378" s="164" t="n">
        <f aca="false">SUM(AM376:AM377)</f>
        <v>0</v>
      </c>
      <c r="AN378" s="164" t="n">
        <f aca="false">SUM(AN376:AN377)</f>
        <v>0</v>
      </c>
      <c r="AO378" s="164" t="n">
        <f aca="false">SUM(AO376:AO377)</f>
        <v>0</v>
      </c>
      <c r="AP378" s="164" t="n">
        <f aca="false">SUM(AP376:AP377)</f>
        <v>0</v>
      </c>
      <c r="AQ378" s="164" t="n">
        <f aca="false">SUM(AQ376:AQ377)</f>
        <v>0</v>
      </c>
      <c r="AR378" s="164" t="n">
        <f aca="false">SUM(AR376:AR377)</f>
        <v>0</v>
      </c>
      <c r="AS378" s="164" t="n">
        <f aca="false">SUM(AS376:AS377)</f>
        <v>0</v>
      </c>
      <c r="AT378" s="164" t="n">
        <f aca="false">SUM(AT376:AT377)</f>
        <v>0</v>
      </c>
      <c r="AU378" s="164" t="n">
        <f aca="false">SUM(AU376:AU377)</f>
        <v>0</v>
      </c>
      <c r="AV378" s="164" t="n">
        <f aca="false">SUM(AV376:AV377)</f>
        <v>0</v>
      </c>
      <c r="AW378" s="164" t="n">
        <f aca="false">SUM(AW376:AW377)</f>
        <v>0</v>
      </c>
      <c r="AX378" s="164" t="n">
        <f aca="false">SUM(AX376:AX377)</f>
        <v>0</v>
      </c>
      <c r="AY378" s="164" t="n">
        <f aca="false">SUM(AY376:AY377)</f>
        <v>0</v>
      </c>
      <c r="AZ378" s="164" t="n">
        <f aca="false">SUM(AZ376:AZ377)</f>
        <v>0</v>
      </c>
      <c r="BA378" s="164" t="n">
        <f aca="false">SUM(BA376:BA377)</f>
        <v>0</v>
      </c>
      <c r="BB378" s="164" t="n">
        <f aca="false">SUM(BB376:BB377)</f>
        <v>0</v>
      </c>
    </row>
    <row r="379" customFormat="false" ht="8.25" hidden="false" customHeight="true" outlineLevel="0" collapsed="false"/>
    <row r="380" s="41" customFormat="true" ht="15.75" hidden="false" customHeight="true" outlineLevel="0" collapsed="false">
      <c r="B380" s="162" t="s">
        <v>226</v>
      </c>
      <c r="C380" s="142"/>
      <c r="D380" s="142"/>
      <c r="H380" s="142"/>
      <c r="I380" s="142"/>
      <c r="J380" s="142"/>
      <c r="L380" s="143"/>
      <c r="M380" s="143"/>
      <c r="N380" s="143"/>
      <c r="O380" s="142"/>
      <c r="Q380" s="143"/>
      <c r="S380" s="165" t="n">
        <f aca="false">S491</f>
        <v>134.4</v>
      </c>
      <c r="T380" s="165" t="n">
        <f aca="false">T491</f>
        <v>128</v>
      </c>
      <c r="U380" s="165" t="n">
        <f aca="false">U491</f>
        <v>147.2</v>
      </c>
      <c r="V380" s="165" t="n">
        <f aca="false">V491</f>
        <v>115.2</v>
      </c>
      <c r="W380" s="165" t="n">
        <f aca="false">W491</f>
        <v>134.4</v>
      </c>
      <c r="X380" s="165" t="n">
        <f aca="false">X491</f>
        <v>128</v>
      </c>
      <c r="Y380" s="165" t="n">
        <f aca="false">Y491</f>
        <v>134.4</v>
      </c>
      <c r="Z380" s="165" t="n">
        <f aca="false">Z491</f>
        <v>147.2</v>
      </c>
      <c r="AA380" s="165" t="n">
        <f aca="false">AA491</f>
        <v>134.4</v>
      </c>
      <c r="AB380" s="165" t="n">
        <f aca="false">AB491</f>
        <v>140.8</v>
      </c>
      <c r="AC380" s="165" t="n">
        <f aca="false">AC491</f>
        <v>140.8</v>
      </c>
      <c r="AD380" s="165" t="n">
        <f aca="false">AD491</f>
        <v>121.6</v>
      </c>
      <c r="AE380" s="165" t="n">
        <f aca="false">AE491</f>
        <v>140.8</v>
      </c>
      <c r="AF380" s="165" t="n">
        <f aca="false">AF491</f>
        <v>134.4</v>
      </c>
      <c r="AG380" s="165" t="n">
        <f aca="false">AG491</f>
        <v>128</v>
      </c>
      <c r="AH380" s="165" t="n">
        <f aca="false">AH491</f>
        <v>134.4</v>
      </c>
      <c r="AI380" s="165" t="n">
        <f aca="false">AI491</f>
        <v>121.6</v>
      </c>
      <c r="AJ380" s="165" t="n">
        <f aca="false">AJ491</f>
        <v>128</v>
      </c>
      <c r="AK380" s="165" t="n">
        <f aca="false">AK491</f>
        <v>147.2</v>
      </c>
      <c r="AL380" s="165" t="n">
        <f aca="false">AL491</f>
        <v>134.4</v>
      </c>
      <c r="AM380" s="165" t="n">
        <f aca="false">AM491</f>
        <v>134.4</v>
      </c>
      <c r="AN380" s="165" t="n">
        <f aca="false">AN491</f>
        <v>140.8</v>
      </c>
      <c r="AO380" s="165" t="n">
        <f aca="false">AO491</f>
        <v>128</v>
      </c>
      <c r="AP380" s="165" t="n">
        <f aca="false">AP491</f>
        <v>121.6</v>
      </c>
      <c r="AQ380" s="165" t="n">
        <f aca="false">AQ491</f>
        <v>134.4</v>
      </c>
      <c r="AR380" s="165" t="n">
        <f aca="false">AR491</f>
        <v>128</v>
      </c>
      <c r="AS380" s="165" t="n">
        <f aca="false">AS491</f>
        <v>134.4</v>
      </c>
      <c r="AT380" s="165" t="n">
        <f aca="false">AT491</f>
        <v>128</v>
      </c>
      <c r="AU380" s="165" t="n">
        <f aca="false">AU491</f>
        <v>128</v>
      </c>
      <c r="AV380" s="165" t="n">
        <f aca="false">AV491</f>
        <v>121.6</v>
      </c>
      <c r="AW380" s="165" t="n">
        <f aca="false">AW491</f>
        <v>147.2</v>
      </c>
      <c r="AX380" s="165" t="n">
        <f aca="false">AX491</f>
        <v>128</v>
      </c>
      <c r="AY380" s="165" t="n">
        <f aca="false">AY491</f>
        <v>140.8</v>
      </c>
      <c r="AZ380" s="165" t="n">
        <f aca="false">AZ491</f>
        <v>140.8</v>
      </c>
      <c r="BA380" s="165" t="n">
        <f aca="false">BA491</f>
        <v>128</v>
      </c>
      <c r="BB380" s="165" t="n">
        <f aca="false">BB491</f>
        <v>128</v>
      </c>
    </row>
    <row r="381" customFormat="false" ht="8.25" hidden="false" customHeight="true" outlineLevel="0" collapsed="false">
      <c r="S381" s="96" t="n">
        <f aca="false">ProdFac</f>
        <v>0.8</v>
      </c>
      <c r="T381" s="96" t="n">
        <f aca="false">ProdFac</f>
        <v>0.8</v>
      </c>
      <c r="U381" s="96" t="n">
        <f aca="false">ProdFac</f>
        <v>0.8</v>
      </c>
      <c r="V381" s="96" t="n">
        <f aca="false">ProdFac</f>
        <v>0.8</v>
      </c>
      <c r="W381" s="96" t="n">
        <f aca="false">ProdFac</f>
        <v>0.8</v>
      </c>
      <c r="X381" s="96" t="n">
        <f aca="false">ProdFac</f>
        <v>0.8</v>
      </c>
      <c r="Y381" s="96" t="n">
        <f aca="false">ProdFac</f>
        <v>0.8</v>
      </c>
      <c r="Z381" s="96" t="n">
        <f aca="false">ProdFac</f>
        <v>0.8</v>
      </c>
      <c r="AA381" s="96" t="n">
        <f aca="false">ProdFac</f>
        <v>0.8</v>
      </c>
      <c r="AB381" s="96" t="n">
        <f aca="false">ProdFac</f>
        <v>0.8</v>
      </c>
      <c r="AC381" s="96" t="n">
        <f aca="false">ProdFac</f>
        <v>0.8</v>
      </c>
      <c r="AD381" s="96" t="n">
        <f aca="false">ProdFac</f>
        <v>0.8</v>
      </c>
      <c r="AE381" s="96" t="n">
        <f aca="false">ProdFac</f>
        <v>0.8</v>
      </c>
      <c r="AF381" s="96" t="n">
        <f aca="false">ProdFac</f>
        <v>0.8</v>
      </c>
      <c r="AG381" s="96" t="n">
        <f aca="false">ProdFac</f>
        <v>0.8</v>
      </c>
      <c r="AH381" s="96" t="n">
        <f aca="false">ProdFac</f>
        <v>0.8</v>
      </c>
      <c r="AI381" s="96" t="n">
        <f aca="false">ProdFac</f>
        <v>0.8</v>
      </c>
      <c r="AJ381" s="96" t="n">
        <f aca="false">ProdFac</f>
        <v>0.8</v>
      </c>
      <c r="AK381" s="96" t="n">
        <f aca="false">ProdFac</f>
        <v>0.8</v>
      </c>
      <c r="AL381" s="96" t="n">
        <f aca="false">ProdFac</f>
        <v>0.8</v>
      </c>
      <c r="AM381" s="96" t="n">
        <f aca="false">ProdFac</f>
        <v>0.8</v>
      </c>
      <c r="AN381" s="96" t="n">
        <f aca="false">ProdFac</f>
        <v>0.8</v>
      </c>
      <c r="AO381" s="96" t="n">
        <f aca="false">ProdFac</f>
        <v>0.8</v>
      </c>
      <c r="AP381" s="96" t="n">
        <f aca="false">ProdFac</f>
        <v>0.8</v>
      </c>
      <c r="AQ381" s="96" t="n">
        <f aca="false">ProdFac</f>
        <v>0.8</v>
      </c>
      <c r="AR381" s="96" t="n">
        <f aca="false">ProdFac</f>
        <v>0.8</v>
      </c>
      <c r="AS381" s="96" t="n">
        <f aca="false">ProdFac</f>
        <v>0.8</v>
      </c>
      <c r="AT381" s="96" t="n">
        <f aca="false">ProdFac</f>
        <v>0.8</v>
      </c>
      <c r="AU381" s="96" t="n">
        <f aca="false">ProdFac</f>
        <v>0.8</v>
      </c>
      <c r="AV381" s="96" t="n">
        <f aca="false">ProdFac</f>
        <v>0.8</v>
      </c>
      <c r="AW381" s="96" t="n">
        <f aca="false">ProdFac</f>
        <v>0.8</v>
      </c>
      <c r="AX381" s="96" t="n">
        <f aca="false">ProdFac</f>
        <v>0.8</v>
      </c>
      <c r="AY381" s="96" t="n">
        <f aca="false">ProdFac</f>
        <v>0.8</v>
      </c>
      <c r="AZ381" s="96" t="n">
        <f aca="false">ProdFac</f>
        <v>0.8</v>
      </c>
      <c r="BA381" s="96" t="n">
        <f aca="false">ProdFac</f>
        <v>0.8</v>
      </c>
      <c r="BB381" s="96" t="n">
        <f aca="false">ProdFac</f>
        <v>0.8</v>
      </c>
    </row>
    <row r="382" customFormat="false" ht="15.75" hidden="false" customHeight="true" outlineLevel="0" collapsed="false">
      <c r="B382" s="162" t="s">
        <v>227</v>
      </c>
      <c r="S382" s="166" t="n">
        <f aca="false">(S$374 + S$362)/S$380</f>
        <v>0</v>
      </c>
      <c r="T382" s="166" t="n">
        <f aca="false">(T$374 + T$362)/T$380</f>
        <v>0</v>
      </c>
      <c r="U382" s="166" t="n">
        <f aca="false">(U$374 + U$362)/U$380</f>
        <v>15.8</v>
      </c>
      <c r="V382" s="166" t="n">
        <f aca="false">(V$374 + V$362)/V$380</f>
        <v>15.8</v>
      </c>
      <c r="W382" s="166" t="n">
        <f aca="false">(W$374 + W$362)/W$380</f>
        <v>15.8</v>
      </c>
      <c r="X382" s="166" t="n">
        <f aca="false">(X$374 + X$362)/X$380</f>
        <v>15.8</v>
      </c>
      <c r="Y382" s="166" t="n">
        <f aca="false">(Y$374 + Y$362)/Y$380</f>
        <v>15.8</v>
      </c>
      <c r="Z382" s="166" t="n">
        <f aca="false">(Z$374 + Z$362)/Z$380</f>
        <v>15.8</v>
      </c>
      <c r="AA382" s="166" t="n">
        <f aca="false">(AA$374 + AA$362)/AA$380</f>
        <v>15.8</v>
      </c>
      <c r="AB382" s="166" t="n">
        <f aca="false">(AB$374 + AB$362)/AB$380</f>
        <v>15.8</v>
      </c>
      <c r="AC382" s="166" t="n">
        <f aca="false">(AC$374 + AC$362)/AC$380</f>
        <v>15.8</v>
      </c>
      <c r="AD382" s="166" t="n">
        <f aca="false">(AD$374 + AD$362)/AD$380</f>
        <v>15.8</v>
      </c>
      <c r="AE382" s="166" t="n">
        <f aca="false">(AE$374 + AE$362)/AE$380</f>
        <v>0</v>
      </c>
      <c r="AF382" s="166" t="n">
        <f aca="false">(AF$374 + AF$362)/AF$380</f>
        <v>0</v>
      </c>
      <c r="AG382" s="166" t="n">
        <f aca="false">(AG$374 + AG$362)/AG$380</f>
        <v>0</v>
      </c>
      <c r="AH382" s="166" t="n">
        <f aca="false">(AH$374 + AH$362)/AH$380</f>
        <v>0</v>
      </c>
      <c r="AI382" s="166" t="n">
        <f aca="false">(AI$374 + AI$362)/AI$380</f>
        <v>0</v>
      </c>
      <c r="AJ382" s="166" t="n">
        <f aca="false">(AJ$374 + AJ$362)/AJ$380</f>
        <v>0</v>
      </c>
      <c r="AK382" s="166" t="n">
        <f aca="false">(AK$374 + AK$362)/AK$380</f>
        <v>0</v>
      </c>
      <c r="AL382" s="166" t="n">
        <f aca="false">(AL$374 + AL$362)/AL$380</f>
        <v>0</v>
      </c>
      <c r="AM382" s="166" t="n">
        <f aca="false">(AM$374 + AM$362)/AM$380</f>
        <v>0</v>
      </c>
      <c r="AN382" s="166" t="n">
        <f aca="false">(AN$374 + AN$362)/AN$380</f>
        <v>0</v>
      </c>
      <c r="AO382" s="166" t="n">
        <f aca="false">(AO$374 + AO$362)/AO$380</f>
        <v>0</v>
      </c>
      <c r="AP382" s="166" t="n">
        <f aca="false">(AP$374 + AP$362)/AP$380</f>
        <v>0</v>
      </c>
      <c r="AQ382" s="166" t="n">
        <f aca="false">(AQ$374 + AQ$362)/AQ$380</f>
        <v>0</v>
      </c>
      <c r="AR382" s="166" t="n">
        <f aca="false">(AR$374 + AR$362)/AR$380</f>
        <v>0</v>
      </c>
      <c r="AS382" s="166" t="n">
        <f aca="false">(AS$374 + AS$362)/AS$380</f>
        <v>0</v>
      </c>
      <c r="AT382" s="166" t="n">
        <f aca="false">(AT$374 + AT$362)/AT$380</f>
        <v>0</v>
      </c>
      <c r="AU382" s="166" t="n">
        <f aca="false">(AU$374 + AU$362)/AU$380</f>
        <v>0</v>
      </c>
      <c r="AV382" s="166" t="n">
        <f aca="false">(AV$374 + AV$362)/AV$380</f>
        <v>0</v>
      </c>
      <c r="AW382" s="166" t="n">
        <f aca="false">(AW$374 + AW$362)/AW$380</f>
        <v>0</v>
      </c>
      <c r="AX382" s="166" t="n">
        <f aca="false">(AX$374 + AX$362)/AX$380</f>
        <v>0</v>
      </c>
      <c r="AY382" s="166" t="n">
        <f aca="false">(AY$374 + AY$362)/AY$380</f>
        <v>0</v>
      </c>
      <c r="AZ382" s="166" t="n">
        <f aca="false">(AZ$374 + AZ$362)/AZ$380</f>
        <v>0</v>
      </c>
      <c r="BA382" s="166" t="n">
        <f aca="false">(BA$374 + BA$362)/BA$380</f>
        <v>0</v>
      </c>
      <c r="BB382" s="166" t="n">
        <f aca="false">(BB$374 + BB$362)/BB$380</f>
        <v>0</v>
      </c>
    </row>
    <row r="383" customFormat="false" ht="15.75" hidden="false" customHeight="true" outlineLevel="0" collapsed="false">
      <c r="B383" s="162" t="s">
        <v>228</v>
      </c>
      <c r="S383" s="166" t="n">
        <f aca="false">S$374/S$380</f>
        <v>0</v>
      </c>
      <c r="T383" s="166" t="n">
        <f aca="false">T$374/T$380</f>
        <v>0</v>
      </c>
      <c r="U383" s="166" t="n">
        <f aca="false">U$374/U$380</f>
        <v>15.8</v>
      </c>
      <c r="V383" s="166" t="n">
        <f aca="false">V$374/V$380</f>
        <v>15.8</v>
      </c>
      <c r="W383" s="166" t="n">
        <f aca="false">W$374/W$380</f>
        <v>9.05</v>
      </c>
      <c r="X383" s="166" t="n">
        <f aca="false">X$374/X$380</f>
        <v>9.05</v>
      </c>
      <c r="Y383" s="166" t="n">
        <f aca="false">Y$374/Y$380</f>
        <v>9.05</v>
      </c>
      <c r="Z383" s="166" t="n">
        <f aca="false">Z$374/Z$380</f>
        <v>9.05</v>
      </c>
      <c r="AA383" s="166" t="n">
        <f aca="false">AA$374/AA$380</f>
        <v>9.05</v>
      </c>
      <c r="AB383" s="166" t="n">
        <f aca="false">AB$374/AB$380</f>
        <v>9.05</v>
      </c>
      <c r="AC383" s="166" t="n">
        <f aca="false">AC$374/AC$380</f>
        <v>9.05</v>
      </c>
      <c r="AD383" s="166" t="n">
        <f aca="false">AD$374/AD$380</f>
        <v>9.05</v>
      </c>
      <c r="AE383" s="166" t="n">
        <f aca="false">AE$374/AE$380</f>
        <v>0</v>
      </c>
      <c r="AF383" s="166" t="n">
        <f aca="false">AF$374/AF$380</f>
        <v>0</v>
      </c>
      <c r="AG383" s="166" t="n">
        <f aca="false">AG$374/AG$380</f>
        <v>0</v>
      </c>
      <c r="AH383" s="166" t="n">
        <f aca="false">AH$374/AH$380</f>
        <v>0</v>
      </c>
      <c r="AI383" s="166" t="n">
        <f aca="false">AI$374/AI$380</f>
        <v>0</v>
      </c>
      <c r="AJ383" s="166" t="n">
        <f aca="false">AJ$374/AJ$380</f>
        <v>0</v>
      </c>
      <c r="AK383" s="166" t="n">
        <f aca="false">AK$374/AK$380</f>
        <v>0</v>
      </c>
      <c r="AL383" s="166" t="n">
        <f aca="false">AL$374/AL$380</f>
        <v>0</v>
      </c>
      <c r="AM383" s="166" t="n">
        <f aca="false">AM$374/AM$380</f>
        <v>0</v>
      </c>
      <c r="AN383" s="166" t="n">
        <f aca="false">AN$374/AN$380</f>
        <v>0</v>
      </c>
      <c r="AO383" s="166" t="n">
        <f aca="false">AO$374/AO$380</f>
        <v>0</v>
      </c>
      <c r="AP383" s="166" t="n">
        <f aca="false">AP$374/AP$380</f>
        <v>0</v>
      </c>
      <c r="AQ383" s="166" t="n">
        <f aca="false">AQ$374/AQ$380</f>
        <v>0</v>
      </c>
      <c r="AR383" s="166" t="n">
        <f aca="false">AR$374/AR$380</f>
        <v>0</v>
      </c>
      <c r="AS383" s="166" t="n">
        <f aca="false">AS$374/AS$380</f>
        <v>0</v>
      </c>
      <c r="AT383" s="166" t="n">
        <f aca="false">AT$374/AT$380</f>
        <v>0</v>
      </c>
      <c r="AU383" s="166" t="n">
        <f aca="false">AU$374/AU$380</f>
        <v>0</v>
      </c>
      <c r="AV383" s="166" t="n">
        <f aca="false">AV$374/AV$380</f>
        <v>0</v>
      </c>
      <c r="AW383" s="166" t="n">
        <f aca="false">AW$374/AW$380</f>
        <v>0</v>
      </c>
      <c r="AX383" s="166" t="n">
        <f aca="false">AX$374/AX$380</f>
        <v>0</v>
      </c>
      <c r="AY383" s="166" t="n">
        <f aca="false">AY$374/AY$380</f>
        <v>0</v>
      </c>
      <c r="AZ383" s="166" t="n">
        <f aca="false">AZ$374/AZ$380</f>
        <v>0</v>
      </c>
      <c r="BA383" s="166" t="n">
        <f aca="false">BA$374/BA$380</f>
        <v>0</v>
      </c>
      <c r="BB383" s="166" t="n">
        <f aca="false">BB$374/BB$380</f>
        <v>0</v>
      </c>
    </row>
    <row r="384" customFormat="false" ht="8.25" hidden="false" customHeight="true" outlineLevel="0" collapsed="false"/>
    <row r="385" customFormat="false" ht="7.5" hidden="false" customHeight="true" outlineLevel="0" collapsed="false">
      <c r="B385" s="155"/>
      <c r="C385" s="155"/>
      <c r="D385" s="155"/>
      <c r="E385" s="155"/>
      <c r="F385" s="155"/>
      <c r="G385" s="155"/>
      <c r="H385" s="155"/>
      <c r="I385" s="155"/>
      <c r="J385" s="155"/>
      <c r="K385" s="155"/>
      <c r="L385" s="155"/>
      <c r="M385" s="155"/>
      <c r="N385" s="155"/>
      <c r="O385" s="155"/>
      <c r="P385" s="155"/>
      <c r="Q385" s="155"/>
      <c r="R385" s="155"/>
      <c r="S385" s="155"/>
      <c r="T385" s="155"/>
      <c r="U385" s="155"/>
      <c r="V385" s="155"/>
      <c r="W385" s="155"/>
      <c r="X385" s="155"/>
      <c r="Y385" s="155"/>
      <c r="Z385" s="155"/>
      <c r="AA385" s="155"/>
      <c r="AB385" s="155"/>
      <c r="AC385" s="155"/>
      <c r="AD385" s="155"/>
      <c r="AE385" s="155"/>
      <c r="AF385" s="155"/>
      <c r="AG385" s="155"/>
      <c r="AH385" s="155"/>
      <c r="AI385" s="155"/>
      <c r="AJ385" s="155"/>
      <c r="AK385" s="155"/>
      <c r="AL385" s="155"/>
      <c r="AM385" s="155"/>
      <c r="AN385" s="155"/>
      <c r="AO385" s="155"/>
      <c r="AP385" s="155"/>
      <c r="AQ385" s="155"/>
      <c r="AR385" s="155"/>
      <c r="AS385" s="155"/>
      <c r="AT385" s="155"/>
      <c r="AU385" s="155"/>
      <c r="AV385" s="155"/>
      <c r="AW385" s="155"/>
      <c r="AX385" s="155"/>
      <c r="AY385" s="155"/>
      <c r="AZ385" s="155"/>
      <c r="BA385" s="155"/>
      <c r="BB385" s="155"/>
    </row>
    <row r="386" customFormat="false" ht="8.25" hidden="false" customHeight="true" outlineLevel="0" collapsed="false"/>
    <row r="387" customFormat="false" ht="15.75" hidden="false" customHeight="false" outlineLevel="0" collapsed="false">
      <c r="B387" s="167" t="s">
        <v>229</v>
      </c>
      <c r="C387" s="168"/>
      <c r="D387" s="168"/>
      <c r="E387" s="168"/>
      <c r="F387" s="168"/>
      <c r="G387" s="168"/>
      <c r="H387" s="168"/>
      <c r="I387" s="168"/>
      <c r="J387" s="168"/>
      <c r="K387" s="168"/>
      <c r="L387" s="168"/>
      <c r="M387" s="168"/>
      <c r="N387" s="168"/>
      <c r="O387" s="168"/>
      <c r="P387" s="168"/>
      <c r="Q387" s="168"/>
      <c r="R387" s="169"/>
    </row>
    <row r="388" customFormat="false" ht="16.5" hidden="false" customHeight="false" outlineLevel="0" collapsed="false">
      <c r="B388" s="170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2"/>
    </row>
    <row r="390" s="173" customFormat="true" ht="15.75" hidden="false" customHeight="false" outlineLevel="0" collapsed="false">
      <c r="E390" s="40"/>
      <c r="K390" s="40"/>
      <c r="L390" s="40"/>
      <c r="M390" s="40"/>
      <c r="N390" s="40"/>
      <c r="P390" s="174" t="s">
        <v>230</v>
      </c>
      <c r="Q390" s="40"/>
      <c r="R390" s="175"/>
      <c r="S390" s="176" t="str">
        <f aca="false">S48</f>
        <v>1 / 23</v>
      </c>
      <c r="T390" s="176" t="str">
        <f aca="false">T48</f>
        <v>2 / 23</v>
      </c>
      <c r="U390" s="176" t="str">
        <f aca="false">U48</f>
        <v>3 / 23</v>
      </c>
      <c r="V390" s="176" t="str">
        <f aca="false">V48</f>
        <v>4 / 23</v>
      </c>
      <c r="W390" s="176" t="str">
        <f aca="false">W48</f>
        <v>5 / 23</v>
      </c>
      <c r="X390" s="176" t="str">
        <f aca="false">X48</f>
        <v>6 / 23</v>
      </c>
      <c r="Y390" s="176" t="str">
        <f aca="false">Y48</f>
        <v>7 / 23</v>
      </c>
      <c r="Z390" s="176" t="str">
        <f aca="false">Z48</f>
        <v>8 / 23</v>
      </c>
      <c r="AA390" s="176" t="str">
        <f aca="false">AA48</f>
        <v>9 / 23</v>
      </c>
      <c r="AB390" s="176" t="str">
        <f aca="false">AB48</f>
        <v>10 / 23</v>
      </c>
      <c r="AC390" s="176" t="str">
        <f aca="false">AC48</f>
        <v>11 / 23</v>
      </c>
      <c r="AD390" s="176" t="str">
        <f aca="false">AD48</f>
        <v>12 / 23</v>
      </c>
      <c r="AE390" s="176" t="str">
        <f aca="false">AE48</f>
        <v>1 / 24</v>
      </c>
      <c r="AF390" s="176" t="str">
        <f aca="false">AF48</f>
        <v>2 / 24</v>
      </c>
      <c r="AG390" s="176" t="str">
        <f aca="false">AG48</f>
        <v>3 / 24</v>
      </c>
      <c r="AH390" s="176" t="str">
        <f aca="false">AH48</f>
        <v>4 / 24</v>
      </c>
      <c r="AI390" s="176" t="str">
        <f aca="false">AI48</f>
        <v>5 / 24</v>
      </c>
      <c r="AJ390" s="176" t="str">
        <f aca="false">AJ48</f>
        <v>6 / 24</v>
      </c>
      <c r="AK390" s="176" t="str">
        <f aca="false">AK48</f>
        <v>7 / 24</v>
      </c>
      <c r="AL390" s="176" t="str">
        <f aca="false">AL48</f>
        <v>8 / 24</v>
      </c>
      <c r="AM390" s="176" t="str">
        <f aca="false">AM48</f>
        <v>9 / 24</v>
      </c>
      <c r="AN390" s="176" t="str">
        <f aca="false">AN48</f>
        <v>10 / 24</v>
      </c>
      <c r="AO390" s="176" t="str">
        <f aca="false">AO48</f>
        <v>11 / 24</v>
      </c>
      <c r="AP390" s="176" t="str">
        <f aca="false">AP48</f>
        <v>12 / 24</v>
      </c>
      <c r="AQ390" s="176" t="str">
        <f aca="false">AQ48</f>
        <v>1 / 25</v>
      </c>
      <c r="AR390" s="176" t="str">
        <f aca="false">AR48</f>
        <v>2 / 25</v>
      </c>
      <c r="AS390" s="176" t="str">
        <f aca="false">AS48</f>
        <v>3 / 25</v>
      </c>
      <c r="AT390" s="176" t="str">
        <f aca="false">AT48</f>
        <v>4 / 25</v>
      </c>
      <c r="AU390" s="176" t="str">
        <f aca="false">AU48</f>
        <v>5 / 25</v>
      </c>
      <c r="AV390" s="176" t="str">
        <f aca="false">AV48</f>
        <v>6 / 25</v>
      </c>
      <c r="AW390" s="176" t="str">
        <f aca="false">AW48</f>
        <v>7 / 25</v>
      </c>
      <c r="AX390" s="176" t="str">
        <f aca="false">AX48</f>
        <v>8 / 25</v>
      </c>
      <c r="AY390" s="176" t="str">
        <f aca="false">AY48</f>
        <v>9 / 25</v>
      </c>
      <c r="AZ390" s="176" t="str">
        <f aca="false">AZ48</f>
        <v>10 / 25</v>
      </c>
      <c r="BA390" s="176" t="str">
        <f aca="false">BA48</f>
        <v>11 / 25</v>
      </c>
      <c r="BB390" s="176" t="str">
        <f aca="false">BB48</f>
        <v>12 / 25</v>
      </c>
    </row>
    <row r="391" s="173" customFormat="true" ht="15" hidden="true" customHeight="false" outlineLevel="1" collapsed="false">
      <c r="E391" s="40"/>
      <c r="K391" s="40"/>
      <c r="L391" s="40"/>
      <c r="M391" s="40"/>
      <c r="N391" s="40"/>
      <c r="P391" s="177" t="str">
        <f aca="false">P254</f>
        <v>Lastname1, Firstname1 (ext.)</v>
      </c>
      <c r="Q391" s="40"/>
      <c r="R391" s="178"/>
      <c r="S391" s="76" t="n">
        <f aca="false">IF(ISERROR(VLOOKUP($P391,Member_Tab,4,FALSE())),0,(VLOOKUP($P391,Member_Tab,4,FALSE()) * 0.2 * S$7) * (IF(AND(S$5 &gt;= VLOOKUP($P391,Member_Tab,6,FALSE()), S$5 &lt;= VLOOKUP($P391,Member_Tab,7,FALSE())),1,0))  )</f>
        <v>0</v>
      </c>
      <c r="T391" s="76" t="n">
        <f aca="false">IF(ISERROR(VLOOKUP($P391,Member_Tab,4,FALSE())),0,(VLOOKUP($P391,Member_Tab,4,FALSE()) * 0.2 * T$7) * (IF(AND(T$5 &gt;= VLOOKUP($P391,Member_Tab,6,FALSE()), T$5 &lt;= VLOOKUP($P391,Member_Tab,7,FALSE())),1,0))  )</f>
        <v>0</v>
      </c>
      <c r="U391" s="76" t="n">
        <f aca="false">IF(ISERROR(VLOOKUP($P391,Member_Tab,4,FALSE())),0,(VLOOKUP($P391,Member_Tab,4,FALSE()) * 0.2 * U$7) * (IF(AND(U$5 &gt;= VLOOKUP($P391,Member_Tab,6,FALSE()), U$5 &lt;= VLOOKUP($P391,Member_Tab,7,FALSE())),1,0))  )</f>
        <v>0</v>
      </c>
      <c r="V391" s="76" t="n">
        <f aca="false">IF(ISERROR(VLOOKUP($P391,Member_Tab,4,FALSE())),0,(VLOOKUP($P391,Member_Tab,4,FALSE()) * 0.2 * V$7) * (IF(AND(V$5 &gt;= VLOOKUP($P391,Member_Tab,6,FALSE()), V$5 &lt;= VLOOKUP($P391,Member_Tab,7,FALSE())),1,0))  )</f>
        <v>0</v>
      </c>
      <c r="W391" s="76" t="n">
        <f aca="false">IF(ISERROR(VLOOKUP($P391,Member_Tab,4,FALSE())),0,(VLOOKUP($P391,Member_Tab,4,FALSE()) * 0.2 * W$7) * (IF(AND(W$5 &gt;= VLOOKUP($P391,Member_Tab,6,FALSE()), W$5 &lt;= VLOOKUP($P391,Member_Tab,7,FALSE())),1,0))  )</f>
        <v>0</v>
      </c>
      <c r="X391" s="76" t="n">
        <f aca="false">IF(ISERROR(VLOOKUP($P391,Member_Tab,4,FALSE())),0,(VLOOKUP($P391,Member_Tab,4,FALSE()) * 0.2 * X$7) * (IF(AND(X$5 &gt;= VLOOKUP($P391,Member_Tab,6,FALSE()), X$5 &lt;= VLOOKUP($P391,Member_Tab,7,FALSE())),1,0))  )</f>
        <v>0</v>
      </c>
      <c r="Y391" s="76" t="n">
        <f aca="false">IF(ISERROR(VLOOKUP($P391,Member_Tab,4,FALSE())),0,(VLOOKUP($P391,Member_Tab,4,FALSE()) * 0.2 * Y$7) * (IF(AND(Y$5 &gt;= VLOOKUP($P391,Member_Tab,6,FALSE()), Y$5 &lt;= VLOOKUP($P391,Member_Tab,7,FALSE())),1,0))  )</f>
        <v>0</v>
      </c>
      <c r="Z391" s="76" t="n">
        <f aca="false">IF(ISERROR(VLOOKUP($P391,Member_Tab,4,FALSE())),0,(VLOOKUP($P391,Member_Tab,4,FALSE()) * 0.2 * Z$7) * (IF(AND(Z$5 &gt;= VLOOKUP($P391,Member_Tab,6,FALSE()), Z$5 &lt;= VLOOKUP($P391,Member_Tab,7,FALSE())),1,0))  )</f>
        <v>0</v>
      </c>
      <c r="AA391" s="76" t="n">
        <f aca="false">IF(ISERROR(VLOOKUP($P391,Member_Tab,4,FALSE())),0,(VLOOKUP($P391,Member_Tab,4,FALSE()) * 0.2 * AA$7) * (IF(AND(AA$5 &gt;= VLOOKUP($P391,Member_Tab,6,FALSE()), AA$5 &lt;= VLOOKUP($P391,Member_Tab,7,FALSE())),1,0))  )</f>
        <v>0</v>
      </c>
      <c r="AB391" s="76" t="n">
        <f aca="false">IF(ISERROR(VLOOKUP($P391,Member_Tab,4,FALSE())),0,(VLOOKUP($P391,Member_Tab,4,FALSE()) * 0.2 * AB$7) * (IF(AND(AB$5 &gt;= VLOOKUP($P391,Member_Tab,6,FALSE()), AB$5 &lt;= VLOOKUP($P391,Member_Tab,7,FALSE())),1,0))  )</f>
        <v>0</v>
      </c>
      <c r="AC391" s="76" t="n">
        <f aca="false">IF(ISERROR(VLOOKUP($P391,Member_Tab,4,FALSE())),0,(VLOOKUP($P391,Member_Tab,4,FALSE()) * 0.2 * AC$7) * (IF(AND(AC$5 &gt;= VLOOKUP($P391,Member_Tab,6,FALSE()), AC$5 &lt;= VLOOKUP($P391,Member_Tab,7,FALSE())),1,0))  )</f>
        <v>0</v>
      </c>
      <c r="AD391" s="76" t="n">
        <f aca="false">IF(ISERROR(VLOOKUP($P391,Member_Tab,4,FALSE())),0,(VLOOKUP($P391,Member_Tab,4,FALSE()) * 0.2 * AD$7) * (IF(AND(AD$5 &gt;= VLOOKUP($P391,Member_Tab,6,FALSE()), AD$5 &lt;= VLOOKUP($P391,Member_Tab,7,FALSE())),1,0))  )</f>
        <v>0</v>
      </c>
      <c r="AE391" s="76" t="n">
        <f aca="false">IF(ISERROR(VLOOKUP($P391,Member_Tab,4,FALSE())),0,(VLOOKUP($P391,Member_Tab,4,FALSE()) * 0.2 * AE$7) * (IF(AND(AE$5 &gt;= VLOOKUP($P391,Member_Tab,6,FALSE()), AE$5 &lt;= VLOOKUP($P391,Member_Tab,7,FALSE())),1,0))  )</f>
        <v>0</v>
      </c>
      <c r="AF391" s="76" t="n">
        <f aca="false">IF(ISERROR(VLOOKUP($P391,Member_Tab,4,FALSE())),0,(VLOOKUP($P391,Member_Tab,4,FALSE()) * 0.2 * AF$7) * (IF(AND(AF$5 &gt;= VLOOKUP($P391,Member_Tab,6,FALSE()), AF$5 &lt;= VLOOKUP($P391,Member_Tab,7,FALSE())),1,0))  )</f>
        <v>0</v>
      </c>
      <c r="AG391" s="76" t="n">
        <f aca="false">IF(ISERROR(VLOOKUP($P391,Member_Tab,4,FALSE())),0,(VLOOKUP($P391,Member_Tab,4,FALSE()) * 0.2 * AG$7) * (IF(AND(AG$5 &gt;= VLOOKUP($P391,Member_Tab,6,FALSE()), AG$5 &lt;= VLOOKUP($P391,Member_Tab,7,FALSE())),1,0))  )</f>
        <v>0</v>
      </c>
      <c r="AH391" s="76" t="n">
        <f aca="false">IF(ISERROR(VLOOKUP($P391,Member_Tab,4,FALSE())),0,(VLOOKUP($P391,Member_Tab,4,FALSE()) * 0.2 * AH$7) * (IF(AND(AH$5 &gt;= VLOOKUP($P391,Member_Tab,6,FALSE()), AH$5 &lt;= VLOOKUP($P391,Member_Tab,7,FALSE())),1,0))  )</f>
        <v>0</v>
      </c>
      <c r="AI391" s="76" t="n">
        <f aca="false">IF(ISERROR(VLOOKUP($P391,Member_Tab,4,FALSE())),0,(VLOOKUP($P391,Member_Tab,4,FALSE()) * 0.2 * AI$7) * (IF(AND(AI$5 &gt;= VLOOKUP($P391,Member_Tab,6,FALSE()), AI$5 &lt;= VLOOKUP($P391,Member_Tab,7,FALSE())),1,0))  )</f>
        <v>0</v>
      </c>
      <c r="AJ391" s="76" t="n">
        <f aca="false">IF(ISERROR(VLOOKUP($P391,Member_Tab,4,FALSE())),0,(VLOOKUP($P391,Member_Tab,4,FALSE()) * 0.2 * AJ$7) * (IF(AND(AJ$5 &gt;= VLOOKUP($P391,Member_Tab,6,FALSE()), AJ$5 &lt;= VLOOKUP($P391,Member_Tab,7,FALSE())),1,0))  )</f>
        <v>0</v>
      </c>
      <c r="AK391" s="76" t="n">
        <f aca="false">IF(ISERROR(VLOOKUP($P391,Member_Tab,4,FALSE())),0,(VLOOKUP($P391,Member_Tab,4,FALSE()) * 0.2 * AK$7) * (IF(AND(AK$5 &gt;= VLOOKUP($P391,Member_Tab,6,FALSE()), AK$5 &lt;= VLOOKUP($P391,Member_Tab,7,FALSE())),1,0))  )</f>
        <v>0</v>
      </c>
      <c r="AL391" s="76" t="n">
        <f aca="false">IF(ISERROR(VLOOKUP($P391,Member_Tab,4,FALSE())),0,(VLOOKUP($P391,Member_Tab,4,FALSE()) * 0.2 * AL$7) * (IF(AND(AL$5 &gt;= VLOOKUP($P391,Member_Tab,6,FALSE()), AL$5 &lt;= VLOOKUP($P391,Member_Tab,7,FALSE())),1,0))  )</f>
        <v>0</v>
      </c>
      <c r="AM391" s="76" t="n">
        <f aca="false">IF(ISERROR(VLOOKUP($P391,Member_Tab,4,FALSE())),0,(VLOOKUP($P391,Member_Tab,4,FALSE()) * 0.2 * AM$7) * (IF(AND(AM$5 &gt;= VLOOKUP($P391,Member_Tab,6,FALSE()), AM$5 &lt;= VLOOKUP($P391,Member_Tab,7,FALSE())),1,0))  )</f>
        <v>0</v>
      </c>
      <c r="AN391" s="76" t="n">
        <f aca="false">IF(ISERROR(VLOOKUP($P391,Member_Tab,4,FALSE())),0,(VLOOKUP($P391,Member_Tab,4,FALSE()) * 0.2 * AN$7) * (IF(AND(AN$5 &gt;= VLOOKUP($P391,Member_Tab,6,FALSE()), AN$5 &lt;= VLOOKUP($P391,Member_Tab,7,FALSE())),1,0))  )</f>
        <v>0</v>
      </c>
      <c r="AO391" s="76" t="n">
        <f aca="false">IF(ISERROR(VLOOKUP($P391,Member_Tab,4,FALSE())),0,(VLOOKUP($P391,Member_Tab,4,FALSE()) * 0.2 * AO$7) * (IF(AND(AO$5 &gt;= VLOOKUP($P391,Member_Tab,6,FALSE()), AO$5 &lt;= VLOOKUP($P391,Member_Tab,7,FALSE())),1,0))  )</f>
        <v>0</v>
      </c>
      <c r="AP391" s="76" t="n">
        <f aca="false">IF(ISERROR(VLOOKUP($P391,Member_Tab,4,FALSE())),0,(VLOOKUP($P391,Member_Tab,4,FALSE()) * 0.2 * AP$7) * (IF(AND(AP$5 &gt;= VLOOKUP($P391,Member_Tab,6,FALSE()), AP$5 &lt;= VLOOKUP($P391,Member_Tab,7,FALSE())),1,0))  )</f>
        <v>0</v>
      </c>
      <c r="AQ391" s="76" t="n">
        <f aca="false">IF(ISERROR(VLOOKUP($P391,Member_Tab,4,FALSE())),0,(VLOOKUP($P391,Member_Tab,4,FALSE()) * 0.2 * AQ$7) * (IF(AND(AQ$5 &gt;= VLOOKUP($P391,Member_Tab,6,FALSE()), AQ$5 &lt;= VLOOKUP($P391,Member_Tab,7,FALSE())),1,0))  )</f>
        <v>0</v>
      </c>
      <c r="AR391" s="76" t="n">
        <f aca="false">IF(ISERROR(VLOOKUP($P391,Member_Tab,4,FALSE())),0,(VLOOKUP($P391,Member_Tab,4,FALSE()) * 0.2 * AR$7) * (IF(AND(AR$5 &gt;= VLOOKUP($P391,Member_Tab,6,FALSE()), AR$5 &lt;= VLOOKUP($P391,Member_Tab,7,FALSE())),1,0))  )</f>
        <v>0</v>
      </c>
      <c r="AS391" s="76" t="n">
        <f aca="false">IF(ISERROR(VLOOKUP($P391,Member_Tab,4,FALSE())),0,(VLOOKUP($P391,Member_Tab,4,FALSE()) * 0.2 * AS$7) * (IF(AND(AS$5 &gt;= VLOOKUP($P391,Member_Tab,6,FALSE()), AS$5 &lt;= VLOOKUP($P391,Member_Tab,7,FALSE())),1,0))  )</f>
        <v>0</v>
      </c>
      <c r="AT391" s="76" t="n">
        <f aca="false">IF(ISERROR(VLOOKUP($P391,Member_Tab,4,FALSE())),0,(VLOOKUP($P391,Member_Tab,4,FALSE()) * 0.2 * AT$7) * (IF(AND(AT$5 &gt;= VLOOKUP($P391,Member_Tab,6,FALSE()), AT$5 &lt;= VLOOKUP($P391,Member_Tab,7,FALSE())),1,0))  )</f>
        <v>0</v>
      </c>
      <c r="AU391" s="76" t="n">
        <f aca="false">IF(ISERROR(VLOOKUP($P391,Member_Tab,4,FALSE())),0,(VLOOKUP($P391,Member_Tab,4,FALSE()) * 0.2 * AU$7) * (IF(AND(AU$5 &gt;= VLOOKUP($P391,Member_Tab,6,FALSE()), AU$5 &lt;= VLOOKUP($P391,Member_Tab,7,FALSE())),1,0))  )</f>
        <v>0</v>
      </c>
      <c r="AV391" s="76" t="n">
        <f aca="false">IF(ISERROR(VLOOKUP($P391,Member_Tab,4,FALSE())),0,(VLOOKUP($P391,Member_Tab,4,FALSE()) * 0.2 * AV$7) * (IF(AND(AV$5 &gt;= VLOOKUP($P391,Member_Tab,6,FALSE()), AV$5 &lt;= VLOOKUP($P391,Member_Tab,7,FALSE())),1,0))  )</f>
        <v>0</v>
      </c>
      <c r="AW391" s="76" t="n">
        <f aca="false">IF(ISERROR(VLOOKUP($P391,Member_Tab,4,FALSE())),0,(VLOOKUP($P391,Member_Tab,4,FALSE()) * 0.2 * AW$7) * (IF(AND(AW$5 &gt;= VLOOKUP($P391,Member_Tab,6,FALSE()), AW$5 &lt;= VLOOKUP($P391,Member_Tab,7,FALSE())),1,0))  )</f>
        <v>0</v>
      </c>
      <c r="AX391" s="76" t="n">
        <f aca="false">IF(ISERROR(VLOOKUP($P391,Member_Tab,4,FALSE())),0,(VLOOKUP($P391,Member_Tab,4,FALSE()) * 0.2 * AX$7) * (IF(AND(AX$5 &gt;= VLOOKUP($P391,Member_Tab,6,FALSE()), AX$5 &lt;= VLOOKUP($P391,Member_Tab,7,FALSE())),1,0))  )</f>
        <v>0</v>
      </c>
      <c r="AY391" s="76" t="n">
        <f aca="false">IF(ISERROR(VLOOKUP($P391,Member_Tab,4,FALSE())),0,(VLOOKUP($P391,Member_Tab,4,FALSE()) * 0.2 * AY$7) * (IF(AND(AY$5 &gt;= VLOOKUP($P391,Member_Tab,6,FALSE()), AY$5 &lt;= VLOOKUP($P391,Member_Tab,7,FALSE())),1,0))  )</f>
        <v>0</v>
      </c>
      <c r="AZ391" s="76" t="n">
        <f aca="false">IF(ISERROR(VLOOKUP($P391,Member_Tab,4,FALSE())),0,(VLOOKUP($P391,Member_Tab,4,FALSE()) * 0.2 * AZ$7) * (IF(AND(AZ$5 &gt;= VLOOKUP($P391,Member_Tab,6,FALSE()), AZ$5 &lt;= VLOOKUP($P391,Member_Tab,7,FALSE())),1,0))  )</f>
        <v>0</v>
      </c>
      <c r="BA391" s="76" t="n">
        <f aca="false">IF(ISERROR(VLOOKUP($P391,Member_Tab,4,FALSE())),0,(VLOOKUP($P391,Member_Tab,4,FALSE()) * 0.2 * BA$7) * (IF(AND(BA$5 &gt;= VLOOKUP($P391,Member_Tab,6,FALSE()), BA$5 &lt;= VLOOKUP($P391,Member_Tab,7,FALSE())),1,0))  )</f>
        <v>0</v>
      </c>
      <c r="BB391" s="76" t="n">
        <f aca="false">IF(ISERROR(VLOOKUP($P391,Member_Tab,4,FALSE())),0,(VLOOKUP($P391,Member_Tab,4,FALSE()) * 0.2 * BB$7) * (IF(AND(BB$5 &gt;= VLOOKUP($P391,Member_Tab,6,FALSE()), BB$5 &lt;= VLOOKUP($P391,Member_Tab,7,FALSE())),1,0))  )</f>
        <v>0</v>
      </c>
    </row>
    <row r="392" s="173" customFormat="true" ht="15" hidden="true" customHeight="false" outlineLevel="1" collapsed="false">
      <c r="E392" s="40"/>
      <c r="K392" s="40"/>
      <c r="L392" s="40"/>
      <c r="M392" s="40"/>
      <c r="N392" s="40"/>
      <c r="P392" s="177" t="str">
        <f aca="false">P255</f>
        <v>Lastname2, Firstname2</v>
      </c>
      <c r="Q392" s="40"/>
      <c r="R392" s="178"/>
      <c r="S392" s="76" t="n">
        <f aca="false">IF(ISERROR(VLOOKUP($P392,Member_Tab,4,FALSE())),0,(VLOOKUP($P392,Member_Tab,4,FALSE()) * 0.2 * S$7) * (IF(AND(S$5 &gt;= VLOOKUP($P392,Member_Tab,6,FALSE()), S$5 &lt;= VLOOKUP($P392,Member_Tab,7,FALSE())),1,0))  )</f>
        <v>0</v>
      </c>
      <c r="T392" s="76" t="n">
        <f aca="false">IF(ISERROR(VLOOKUP($P392,Member_Tab,4,FALSE())),0,(VLOOKUP($P392,Member_Tab,4,FALSE()) * 0.2 * T$7) * (IF(AND(T$5 &gt;= VLOOKUP($P392,Member_Tab,6,FALSE()), T$5 &lt;= VLOOKUP($P392,Member_Tab,7,FALSE())),1,0))  )</f>
        <v>0</v>
      </c>
      <c r="U392" s="76" t="n">
        <f aca="false">IF(ISERROR(VLOOKUP($P392,Member_Tab,4,FALSE())),0,(VLOOKUP($P392,Member_Tab,4,FALSE()) * 0.2 * U$7) * (IF(AND(U$5 &gt;= VLOOKUP($P392,Member_Tab,6,FALSE()), U$5 &lt;= VLOOKUP($P392,Member_Tab,7,FALSE())),1,0))  )</f>
        <v>0</v>
      </c>
      <c r="V392" s="76" t="n">
        <f aca="false">IF(ISERROR(VLOOKUP($P392,Member_Tab,4,FALSE())),0,(VLOOKUP($P392,Member_Tab,4,FALSE()) * 0.2 * V$7) * (IF(AND(V$5 &gt;= VLOOKUP($P392,Member_Tab,6,FALSE()), V$5 &lt;= VLOOKUP($P392,Member_Tab,7,FALSE())),1,0))  )</f>
        <v>0</v>
      </c>
      <c r="W392" s="76" t="n">
        <f aca="false">IF(ISERROR(VLOOKUP($P392,Member_Tab,4,FALSE())),0,(VLOOKUP($P392,Member_Tab,4,FALSE()) * 0.2 * W$7) * (IF(AND(W$5 &gt;= VLOOKUP($P392,Member_Tab,6,FALSE()), W$5 &lt;= VLOOKUP($P392,Member_Tab,7,FALSE())),1,0))  )</f>
        <v>0</v>
      </c>
      <c r="X392" s="76" t="n">
        <f aca="false">IF(ISERROR(VLOOKUP($P392,Member_Tab,4,FALSE())),0,(VLOOKUP($P392,Member_Tab,4,FALSE()) * 0.2 * X$7) * (IF(AND(X$5 &gt;= VLOOKUP($P392,Member_Tab,6,FALSE()), X$5 &lt;= VLOOKUP($P392,Member_Tab,7,FALSE())),1,0))  )</f>
        <v>0</v>
      </c>
      <c r="Y392" s="76" t="n">
        <f aca="false">IF(ISERROR(VLOOKUP($P392,Member_Tab,4,FALSE())),0,(VLOOKUP($P392,Member_Tab,4,FALSE()) * 0.2 * Y$7) * (IF(AND(Y$5 &gt;= VLOOKUP($P392,Member_Tab,6,FALSE()), Y$5 &lt;= VLOOKUP($P392,Member_Tab,7,FALSE())),1,0))  )</f>
        <v>0</v>
      </c>
      <c r="Z392" s="76" t="n">
        <f aca="false">IF(ISERROR(VLOOKUP($P392,Member_Tab,4,FALSE())),0,(VLOOKUP($P392,Member_Tab,4,FALSE()) * 0.2 * Z$7) * (IF(AND(Z$5 &gt;= VLOOKUP($P392,Member_Tab,6,FALSE()), Z$5 &lt;= VLOOKUP($P392,Member_Tab,7,FALSE())),1,0))  )</f>
        <v>0</v>
      </c>
      <c r="AA392" s="76" t="n">
        <f aca="false">IF(ISERROR(VLOOKUP($P392,Member_Tab,4,FALSE())),0,(VLOOKUP($P392,Member_Tab,4,FALSE()) * 0.2 * AA$7) * (IF(AND(AA$5 &gt;= VLOOKUP($P392,Member_Tab,6,FALSE()), AA$5 &lt;= VLOOKUP($P392,Member_Tab,7,FALSE())),1,0))  )</f>
        <v>0</v>
      </c>
      <c r="AB392" s="76" t="n">
        <f aca="false">IF(ISERROR(VLOOKUP($P392,Member_Tab,4,FALSE())),0,(VLOOKUP($P392,Member_Tab,4,FALSE()) * 0.2 * AB$7) * (IF(AND(AB$5 &gt;= VLOOKUP($P392,Member_Tab,6,FALSE()), AB$5 &lt;= VLOOKUP($P392,Member_Tab,7,FALSE())),1,0))  )</f>
        <v>0</v>
      </c>
      <c r="AC392" s="76" t="n">
        <f aca="false">IF(ISERROR(VLOOKUP($P392,Member_Tab,4,FALSE())),0,(VLOOKUP($P392,Member_Tab,4,FALSE()) * 0.2 * AC$7) * (IF(AND(AC$5 &gt;= VLOOKUP($P392,Member_Tab,6,FALSE()), AC$5 &lt;= VLOOKUP($P392,Member_Tab,7,FALSE())),1,0))  )</f>
        <v>0</v>
      </c>
      <c r="AD392" s="76" t="n">
        <f aca="false">IF(ISERROR(VLOOKUP($P392,Member_Tab,4,FALSE())),0,(VLOOKUP($P392,Member_Tab,4,FALSE()) * 0.2 * AD$7) * (IF(AND(AD$5 &gt;= VLOOKUP($P392,Member_Tab,6,FALSE()), AD$5 &lt;= VLOOKUP($P392,Member_Tab,7,FALSE())),1,0))  )</f>
        <v>0</v>
      </c>
      <c r="AE392" s="76" t="n">
        <f aca="false">IF(ISERROR(VLOOKUP($P392,Member_Tab,4,FALSE())),0,(VLOOKUP($P392,Member_Tab,4,FALSE()) * 0.2 * AE$7) * (IF(AND(AE$5 &gt;= VLOOKUP($P392,Member_Tab,6,FALSE()), AE$5 &lt;= VLOOKUP($P392,Member_Tab,7,FALSE())),1,0))  )</f>
        <v>0</v>
      </c>
      <c r="AF392" s="76" t="n">
        <f aca="false">IF(ISERROR(VLOOKUP($P392,Member_Tab,4,FALSE())),0,(VLOOKUP($P392,Member_Tab,4,FALSE()) * 0.2 * AF$7) * (IF(AND(AF$5 &gt;= VLOOKUP($P392,Member_Tab,6,FALSE()), AF$5 &lt;= VLOOKUP($P392,Member_Tab,7,FALSE())),1,0))  )</f>
        <v>0</v>
      </c>
      <c r="AG392" s="76" t="n">
        <f aca="false">IF(ISERROR(VLOOKUP($P392,Member_Tab,4,FALSE())),0,(VLOOKUP($P392,Member_Tab,4,FALSE()) * 0.2 * AG$7) * (IF(AND(AG$5 &gt;= VLOOKUP($P392,Member_Tab,6,FALSE()), AG$5 &lt;= VLOOKUP($P392,Member_Tab,7,FALSE())),1,0))  )</f>
        <v>0</v>
      </c>
      <c r="AH392" s="76" t="n">
        <f aca="false">IF(ISERROR(VLOOKUP($P392,Member_Tab,4,FALSE())),0,(VLOOKUP($P392,Member_Tab,4,FALSE()) * 0.2 * AH$7) * (IF(AND(AH$5 &gt;= VLOOKUP($P392,Member_Tab,6,FALSE()), AH$5 &lt;= VLOOKUP($P392,Member_Tab,7,FALSE())),1,0))  )</f>
        <v>0</v>
      </c>
      <c r="AI392" s="76" t="n">
        <f aca="false">IF(ISERROR(VLOOKUP($P392,Member_Tab,4,FALSE())),0,(VLOOKUP($P392,Member_Tab,4,FALSE()) * 0.2 * AI$7) * (IF(AND(AI$5 &gt;= VLOOKUP($P392,Member_Tab,6,FALSE()), AI$5 &lt;= VLOOKUP($P392,Member_Tab,7,FALSE())),1,0))  )</f>
        <v>0</v>
      </c>
      <c r="AJ392" s="76" t="n">
        <f aca="false">IF(ISERROR(VLOOKUP($P392,Member_Tab,4,FALSE())),0,(VLOOKUP($P392,Member_Tab,4,FALSE()) * 0.2 * AJ$7) * (IF(AND(AJ$5 &gt;= VLOOKUP($P392,Member_Tab,6,FALSE()), AJ$5 &lt;= VLOOKUP($P392,Member_Tab,7,FALSE())),1,0))  )</f>
        <v>0</v>
      </c>
      <c r="AK392" s="76" t="n">
        <f aca="false">IF(ISERROR(VLOOKUP($P392,Member_Tab,4,FALSE())),0,(VLOOKUP($P392,Member_Tab,4,FALSE()) * 0.2 * AK$7) * (IF(AND(AK$5 &gt;= VLOOKUP($P392,Member_Tab,6,FALSE()), AK$5 &lt;= VLOOKUP($P392,Member_Tab,7,FALSE())),1,0))  )</f>
        <v>0</v>
      </c>
      <c r="AL392" s="76" t="n">
        <f aca="false">IF(ISERROR(VLOOKUP($P392,Member_Tab,4,FALSE())),0,(VLOOKUP($P392,Member_Tab,4,FALSE()) * 0.2 * AL$7) * (IF(AND(AL$5 &gt;= VLOOKUP($P392,Member_Tab,6,FALSE()), AL$5 &lt;= VLOOKUP($P392,Member_Tab,7,FALSE())),1,0))  )</f>
        <v>0</v>
      </c>
      <c r="AM392" s="76" t="n">
        <f aca="false">IF(ISERROR(VLOOKUP($P392,Member_Tab,4,FALSE())),0,(VLOOKUP($P392,Member_Tab,4,FALSE()) * 0.2 * AM$7) * (IF(AND(AM$5 &gt;= VLOOKUP($P392,Member_Tab,6,FALSE()), AM$5 &lt;= VLOOKUP($P392,Member_Tab,7,FALSE())),1,0))  )</f>
        <v>0</v>
      </c>
      <c r="AN392" s="76" t="n">
        <f aca="false">IF(ISERROR(VLOOKUP($P392,Member_Tab,4,FALSE())),0,(VLOOKUP($P392,Member_Tab,4,FALSE()) * 0.2 * AN$7) * (IF(AND(AN$5 &gt;= VLOOKUP($P392,Member_Tab,6,FALSE()), AN$5 &lt;= VLOOKUP($P392,Member_Tab,7,FALSE())),1,0))  )</f>
        <v>0</v>
      </c>
      <c r="AO392" s="76" t="n">
        <f aca="false">IF(ISERROR(VLOOKUP($P392,Member_Tab,4,FALSE())),0,(VLOOKUP($P392,Member_Tab,4,FALSE()) * 0.2 * AO$7) * (IF(AND(AO$5 &gt;= VLOOKUP($P392,Member_Tab,6,FALSE()), AO$5 &lt;= VLOOKUP($P392,Member_Tab,7,FALSE())),1,0))  )</f>
        <v>0</v>
      </c>
      <c r="AP392" s="76" t="n">
        <f aca="false">IF(ISERROR(VLOOKUP($P392,Member_Tab,4,FALSE())),0,(VLOOKUP($P392,Member_Tab,4,FALSE()) * 0.2 * AP$7) * (IF(AND(AP$5 &gt;= VLOOKUP($P392,Member_Tab,6,FALSE()), AP$5 &lt;= VLOOKUP($P392,Member_Tab,7,FALSE())),1,0))  )</f>
        <v>0</v>
      </c>
      <c r="AQ392" s="76" t="n">
        <f aca="false">IF(ISERROR(VLOOKUP($P392,Member_Tab,4,FALSE())),0,(VLOOKUP($P392,Member_Tab,4,FALSE()) * 0.2 * AQ$7) * (IF(AND(AQ$5 &gt;= VLOOKUP($P392,Member_Tab,6,FALSE()), AQ$5 &lt;= VLOOKUP($P392,Member_Tab,7,FALSE())),1,0))  )</f>
        <v>0</v>
      </c>
      <c r="AR392" s="76" t="n">
        <f aca="false">IF(ISERROR(VLOOKUP($P392,Member_Tab,4,FALSE())),0,(VLOOKUP($P392,Member_Tab,4,FALSE()) * 0.2 * AR$7) * (IF(AND(AR$5 &gt;= VLOOKUP($P392,Member_Tab,6,FALSE()), AR$5 &lt;= VLOOKUP($P392,Member_Tab,7,FALSE())),1,0))  )</f>
        <v>0</v>
      </c>
      <c r="AS392" s="76" t="n">
        <f aca="false">IF(ISERROR(VLOOKUP($P392,Member_Tab,4,FALSE())),0,(VLOOKUP($P392,Member_Tab,4,FALSE()) * 0.2 * AS$7) * (IF(AND(AS$5 &gt;= VLOOKUP($P392,Member_Tab,6,FALSE()), AS$5 &lt;= VLOOKUP($P392,Member_Tab,7,FALSE())),1,0))  )</f>
        <v>0</v>
      </c>
      <c r="AT392" s="76" t="n">
        <f aca="false">IF(ISERROR(VLOOKUP($P392,Member_Tab,4,FALSE())),0,(VLOOKUP($P392,Member_Tab,4,FALSE()) * 0.2 * AT$7) * (IF(AND(AT$5 &gt;= VLOOKUP($P392,Member_Tab,6,FALSE()), AT$5 &lt;= VLOOKUP($P392,Member_Tab,7,FALSE())),1,0))  )</f>
        <v>0</v>
      </c>
      <c r="AU392" s="76" t="n">
        <f aca="false">IF(ISERROR(VLOOKUP($P392,Member_Tab,4,FALSE())),0,(VLOOKUP($P392,Member_Tab,4,FALSE()) * 0.2 * AU$7) * (IF(AND(AU$5 &gt;= VLOOKUP($P392,Member_Tab,6,FALSE()), AU$5 &lt;= VLOOKUP($P392,Member_Tab,7,FALSE())),1,0))  )</f>
        <v>0</v>
      </c>
      <c r="AV392" s="76" t="n">
        <f aca="false">IF(ISERROR(VLOOKUP($P392,Member_Tab,4,FALSE())),0,(VLOOKUP($P392,Member_Tab,4,FALSE()) * 0.2 * AV$7) * (IF(AND(AV$5 &gt;= VLOOKUP($P392,Member_Tab,6,FALSE()), AV$5 &lt;= VLOOKUP($P392,Member_Tab,7,FALSE())),1,0))  )</f>
        <v>0</v>
      </c>
      <c r="AW392" s="76" t="n">
        <f aca="false">IF(ISERROR(VLOOKUP($P392,Member_Tab,4,FALSE())),0,(VLOOKUP($P392,Member_Tab,4,FALSE()) * 0.2 * AW$7) * (IF(AND(AW$5 &gt;= VLOOKUP($P392,Member_Tab,6,FALSE()), AW$5 &lt;= VLOOKUP($P392,Member_Tab,7,FALSE())),1,0))  )</f>
        <v>0</v>
      </c>
      <c r="AX392" s="76" t="n">
        <f aca="false">IF(ISERROR(VLOOKUP($P392,Member_Tab,4,FALSE())),0,(VLOOKUP($P392,Member_Tab,4,FALSE()) * 0.2 * AX$7) * (IF(AND(AX$5 &gt;= VLOOKUP($P392,Member_Tab,6,FALSE()), AX$5 &lt;= VLOOKUP($P392,Member_Tab,7,FALSE())),1,0))  )</f>
        <v>0</v>
      </c>
      <c r="AY392" s="76" t="n">
        <f aca="false">IF(ISERROR(VLOOKUP($P392,Member_Tab,4,FALSE())),0,(VLOOKUP($P392,Member_Tab,4,FALSE()) * 0.2 * AY$7) * (IF(AND(AY$5 &gt;= VLOOKUP($P392,Member_Tab,6,FALSE()), AY$5 &lt;= VLOOKUP($P392,Member_Tab,7,FALSE())),1,0))  )</f>
        <v>0</v>
      </c>
      <c r="AZ392" s="76" t="n">
        <f aca="false">IF(ISERROR(VLOOKUP($P392,Member_Tab,4,FALSE())),0,(VLOOKUP($P392,Member_Tab,4,FALSE()) * 0.2 * AZ$7) * (IF(AND(AZ$5 &gt;= VLOOKUP($P392,Member_Tab,6,FALSE()), AZ$5 &lt;= VLOOKUP($P392,Member_Tab,7,FALSE())),1,0))  )</f>
        <v>0</v>
      </c>
      <c r="BA392" s="76" t="n">
        <f aca="false">IF(ISERROR(VLOOKUP($P392,Member_Tab,4,FALSE())),0,(VLOOKUP($P392,Member_Tab,4,FALSE()) * 0.2 * BA$7) * (IF(AND(BA$5 &gt;= VLOOKUP($P392,Member_Tab,6,FALSE()), BA$5 &lt;= VLOOKUP($P392,Member_Tab,7,FALSE())),1,0))  )</f>
        <v>0</v>
      </c>
      <c r="BB392" s="76" t="n">
        <f aca="false">IF(ISERROR(VLOOKUP($P392,Member_Tab,4,FALSE())),0,(VLOOKUP($P392,Member_Tab,4,FALSE()) * 0.2 * BB$7) * (IF(AND(BB$5 &gt;= VLOOKUP($P392,Member_Tab,6,FALSE()), BB$5 &lt;= VLOOKUP($P392,Member_Tab,7,FALSE())),1,0))  )</f>
        <v>0</v>
      </c>
    </row>
    <row r="393" s="173" customFormat="true" ht="15" hidden="true" customHeight="false" outlineLevel="1" collapsed="false">
      <c r="E393" s="40"/>
      <c r="K393" s="40"/>
      <c r="L393" s="40"/>
      <c r="M393" s="40"/>
      <c r="N393" s="40"/>
      <c r="P393" s="177" t="str">
        <f aca="false">P256</f>
        <v> Lastname3, Firstname3</v>
      </c>
      <c r="Q393" s="40"/>
      <c r="R393" s="178"/>
      <c r="S393" s="76" t="n">
        <f aca="false">IF(ISERROR(VLOOKUP($P393,Member_Tab,4,FALSE())),0,(VLOOKUP($P393,Member_Tab,4,FALSE()) * 0.2 * S$7) * (IF(AND(S$5 &gt;= VLOOKUP($P393,Member_Tab,6,FALSE()), S$5 &lt;= VLOOKUP($P393,Member_Tab,7,FALSE())),1,0))  )</f>
        <v>0</v>
      </c>
      <c r="T393" s="76" t="n">
        <f aca="false">IF(ISERROR(VLOOKUP($P393,Member_Tab,4,FALSE())),0,(VLOOKUP($P393,Member_Tab,4,FALSE()) * 0.2 * T$7) * (IF(AND(T$5 &gt;= VLOOKUP($P393,Member_Tab,6,FALSE()), T$5 &lt;= VLOOKUP($P393,Member_Tab,7,FALSE())),1,0))  )</f>
        <v>0</v>
      </c>
      <c r="U393" s="76" t="n">
        <f aca="false">IF(ISERROR(VLOOKUP($P393,Member_Tab,4,FALSE())),0,(VLOOKUP($P393,Member_Tab,4,FALSE()) * 0.2 * U$7) * (IF(AND(U$5 &gt;= VLOOKUP($P393,Member_Tab,6,FALSE()), U$5 &lt;= VLOOKUP($P393,Member_Tab,7,FALSE())),1,0))  )</f>
        <v>0</v>
      </c>
      <c r="V393" s="76" t="n">
        <f aca="false">IF(ISERROR(VLOOKUP($P393,Member_Tab,4,FALSE())),0,(VLOOKUP($P393,Member_Tab,4,FALSE()) * 0.2 * V$7) * (IF(AND(V$5 &gt;= VLOOKUP($P393,Member_Tab,6,FALSE()), V$5 &lt;= VLOOKUP($P393,Member_Tab,7,FALSE())),1,0))  )</f>
        <v>0</v>
      </c>
      <c r="W393" s="76" t="n">
        <f aca="false">IF(ISERROR(VLOOKUP($P393,Member_Tab,4,FALSE())),0,(VLOOKUP($P393,Member_Tab,4,FALSE()) * 0.2 * W$7) * (IF(AND(W$5 &gt;= VLOOKUP($P393,Member_Tab,6,FALSE()), W$5 &lt;= VLOOKUP($P393,Member_Tab,7,FALSE())),1,0))  )</f>
        <v>0</v>
      </c>
      <c r="X393" s="76" t="n">
        <f aca="false">IF(ISERROR(VLOOKUP($P393,Member_Tab,4,FALSE())),0,(VLOOKUP($P393,Member_Tab,4,FALSE()) * 0.2 * X$7) * (IF(AND(X$5 &gt;= VLOOKUP($P393,Member_Tab,6,FALSE()), X$5 &lt;= VLOOKUP($P393,Member_Tab,7,FALSE())),1,0))  )</f>
        <v>0</v>
      </c>
      <c r="Y393" s="76" t="n">
        <f aca="false">IF(ISERROR(VLOOKUP($P393,Member_Tab,4,FALSE())),0,(VLOOKUP($P393,Member_Tab,4,FALSE()) * 0.2 * Y$7) * (IF(AND(Y$5 &gt;= VLOOKUP($P393,Member_Tab,6,FALSE()), Y$5 &lt;= VLOOKUP($P393,Member_Tab,7,FALSE())),1,0))  )</f>
        <v>0</v>
      </c>
      <c r="Z393" s="76" t="n">
        <f aca="false">IF(ISERROR(VLOOKUP($P393,Member_Tab,4,FALSE())),0,(VLOOKUP($P393,Member_Tab,4,FALSE()) * 0.2 * Z$7) * (IF(AND(Z$5 &gt;= VLOOKUP($P393,Member_Tab,6,FALSE()), Z$5 &lt;= VLOOKUP($P393,Member_Tab,7,FALSE())),1,0))  )</f>
        <v>0</v>
      </c>
      <c r="AA393" s="76" t="n">
        <f aca="false">IF(ISERROR(VLOOKUP($P393,Member_Tab,4,FALSE())),0,(VLOOKUP($P393,Member_Tab,4,FALSE()) * 0.2 * AA$7) * (IF(AND(AA$5 &gt;= VLOOKUP($P393,Member_Tab,6,FALSE()), AA$5 &lt;= VLOOKUP($P393,Member_Tab,7,FALSE())),1,0))  )</f>
        <v>0</v>
      </c>
      <c r="AB393" s="76" t="n">
        <f aca="false">IF(ISERROR(VLOOKUP($P393,Member_Tab,4,FALSE())),0,(VLOOKUP($P393,Member_Tab,4,FALSE()) * 0.2 * AB$7) * (IF(AND(AB$5 &gt;= VLOOKUP($P393,Member_Tab,6,FALSE()), AB$5 &lt;= VLOOKUP($P393,Member_Tab,7,FALSE())),1,0))  )</f>
        <v>0</v>
      </c>
      <c r="AC393" s="76" t="n">
        <f aca="false">IF(ISERROR(VLOOKUP($P393,Member_Tab,4,FALSE())),0,(VLOOKUP($P393,Member_Tab,4,FALSE()) * 0.2 * AC$7) * (IF(AND(AC$5 &gt;= VLOOKUP($P393,Member_Tab,6,FALSE()), AC$5 &lt;= VLOOKUP($P393,Member_Tab,7,FALSE())),1,0))  )</f>
        <v>0</v>
      </c>
      <c r="AD393" s="76" t="n">
        <f aca="false">IF(ISERROR(VLOOKUP($P393,Member_Tab,4,FALSE())),0,(VLOOKUP($P393,Member_Tab,4,FALSE()) * 0.2 * AD$7) * (IF(AND(AD$5 &gt;= VLOOKUP($P393,Member_Tab,6,FALSE()), AD$5 &lt;= VLOOKUP($P393,Member_Tab,7,FALSE())),1,0))  )</f>
        <v>0</v>
      </c>
      <c r="AE393" s="76" t="n">
        <f aca="false">IF(ISERROR(VLOOKUP($P393,Member_Tab,4,FALSE())),0,(VLOOKUP($P393,Member_Tab,4,FALSE()) * 0.2 * AE$7) * (IF(AND(AE$5 &gt;= VLOOKUP($P393,Member_Tab,6,FALSE()), AE$5 &lt;= VLOOKUP($P393,Member_Tab,7,FALSE())),1,0))  )</f>
        <v>0</v>
      </c>
      <c r="AF393" s="76" t="n">
        <f aca="false">IF(ISERROR(VLOOKUP($P393,Member_Tab,4,FALSE())),0,(VLOOKUP($P393,Member_Tab,4,FALSE()) * 0.2 * AF$7) * (IF(AND(AF$5 &gt;= VLOOKUP($P393,Member_Tab,6,FALSE()), AF$5 &lt;= VLOOKUP($P393,Member_Tab,7,FALSE())),1,0))  )</f>
        <v>0</v>
      </c>
      <c r="AG393" s="76" t="n">
        <f aca="false">IF(ISERROR(VLOOKUP($P393,Member_Tab,4,FALSE())),0,(VLOOKUP($P393,Member_Tab,4,FALSE()) * 0.2 * AG$7) * (IF(AND(AG$5 &gt;= VLOOKUP($P393,Member_Tab,6,FALSE()), AG$5 &lt;= VLOOKUP($P393,Member_Tab,7,FALSE())),1,0))  )</f>
        <v>0</v>
      </c>
      <c r="AH393" s="76" t="n">
        <f aca="false">IF(ISERROR(VLOOKUP($P393,Member_Tab,4,FALSE())),0,(VLOOKUP($P393,Member_Tab,4,FALSE()) * 0.2 * AH$7) * (IF(AND(AH$5 &gt;= VLOOKUP($P393,Member_Tab,6,FALSE()), AH$5 &lt;= VLOOKUP($P393,Member_Tab,7,FALSE())),1,0))  )</f>
        <v>0</v>
      </c>
      <c r="AI393" s="76" t="n">
        <f aca="false">IF(ISERROR(VLOOKUP($P393,Member_Tab,4,FALSE())),0,(VLOOKUP($P393,Member_Tab,4,FALSE()) * 0.2 * AI$7) * (IF(AND(AI$5 &gt;= VLOOKUP($P393,Member_Tab,6,FALSE()), AI$5 &lt;= VLOOKUP($P393,Member_Tab,7,FALSE())),1,0))  )</f>
        <v>0</v>
      </c>
      <c r="AJ393" s="76" t="n">
        <f aca="false">IF(ISERROR(VLOOKUP($P393,Member_Tab,4,FALSE())),0,(VLOOKUP($P393,Member_Tab,4,FALSE()) * 0.2 * AJ$7) * (IF(AND(AJ$5 &gt;= VLOOKUP($P393,Member_Tab,6,FALSE()), AJ$5 &lt;= VLOOKUP($P393,Member_Tab,7,FALSE())),1,0))  )</f>
        <v>0</v>
      </c>
      <c r="AK393" s="76" t="n">
        <f aca="false">IF(ISERROR(VLOOKUP($P393,Member_Tab,4,FALSE())),0,(VLOOKUP($P393,Member_Tab,4,FALSE()) * 0.2 * AK$7) * (IF(AND(AK$5 &gt;= VLOOKUP($P393,Member_Tab,6,FALSE()), AK$5 &lt;= VLOOKUP($P393,Member_Tab,7,FALSE())),1,0))  )</f>
        <v>0</v>
      </c>
      <c r="AL393" s="76" t="n">
        <f aca="false">IF(ISERROR(VLOOKUP($P393,Member_Tab,4,FALSE())),0,(VLOOKUP($P393,Member_Tab,4,FALSE()) * 0.2 * AL$7) * (IF(AND(AL$5 &gt;= VLOOKUP($P393,Member_Tab,6,FALSE()), AL$5 &lt;= VLOOKUP($P393,Member_Tab,7,FALSE())),1,0))  )</f>
        <v>0</v>
      </c>
      <c r="AM393" s="76" t="n">
        <f aca="false">IF(ISERROR(VLOOKUP($P393,Member_Tab,4,FALSE())),0,(VLOOKUP($P393,Member_Tab,4,FALSE()) * 0.2 * AM$7) * (IF(AND(AM$5 &gt;= VLOOKUP($P393,Member_Tab,6,FALSE()), AM$5 &lt;= VLOOKUP($P393,Member_Tab,7,FALSE())),1,0))  )</f>
        <v>0</v>
      </c>
      <c r="AN393" s="76" t="n">
        <f aca="false">IF(ISERROR(VLOOKUP($P393,Member_Tab,4,FALSE())),0,(VLOOKUP($P393,Member_Tab,4,FALSE()) * 0.2 * AN$7) * (IF(AND(AN$5 &gt;= VLOOKUP($P393,Member_Tab,6,FALSE()), AN$5 &lt;= VLOOKUP($P393,Member_Tab,7,FALSE())),1,0))  )</f>
        <v>0</v>
      </c>
      <c r="AO393" s="76" t="n">
        <f aca="false">IF(ISERROR(VLOOKUP($P393,Member_Tab,4,FALSE())),0,(VLOOKUP($P393,Member_Tab,4,FALSE()) * 0.2 * AO$7) * (IF(AND(AO$5 &gt;= VLOOKUP($P393,Member_Tab,6,FALSE()), AO$5 &lt;= VLOOKUP($P393,Member_Tab,7,FALSE())),1,0))  )</f>
        <v>0</v>
      </c>
      <c r="AP393" s="76" t="n">
        <f aca="false">IF(ISERROR(VLOOKUP($P393,Member_Tab,4,FALSE())),0,(VLOOKUP($P393,Member_Tab,4,FALSE()) * 0.2 * AP$7) * (IF(AND(AP$5 &gt;= VLOOKUP($P393,Member_Tab,6,FALSE()), AP$5 &lt;= VLOOKUP($P393,Member_Tab,7,FALSE())),1,0))  )</f>
        <v>0</v>
      </c>
      <c r="AQ393" s="76" t="n">
        <f aca="false">IF(ISERROR(VLOOKUP($P393,Member_Tab,4,FALSE())),0,(VLOOKUP($P393,Member_Tab,4,FALSE()) * 0.2 * AQ$7) * (IF(AND(AQ$5 &gt;= VLOOKUP($P393,Member_Tab,6,FALSE()), AQ$5 &lt;= VLOOKUP($P393,Member_Tab,7,FALSE())),1,0))  )</f>
        <v>0</v>
      </c>
      <c r="AR393" s="76" t="n">
        <f aca="false">IF(ISERROR(VLOOKUP($P393,Member_Tab,4,FALSE())),0,(VLOOKUP($P393,Member_Tab,4,FALSE()) * 0.2 * AR$7) * (IF(AND(AR$5 &gt;= VLOOKUP($P393,Member_Tab,6,FALSE()), AR$5 &lt;= VLOOKUP($P393,Member_Tab,7,FALSE())),1,0))  )</f>
        <v>0</v>
      </c>
      <c r="AS393" s="76" t="n">
        <f aca="false">IF(ISERROR(VLOOKUP($P393,Member_Tab,4,FALSE())),0,(VLOOKUP($P393,Member_Tab,4,FALSE()) * 0.2 * AS$7) * (IF(AND(AS$5 &gt;= VLOOKUP($P393,Member_Tab,6,FALSE()), AS$5 &lt;= VLOOKUP($P393,Member_Tab,7,FALSE())),1,0))  )</f>
        <v>0</v>
      </c>
      <c r="AT393" s="76" t="n">
        <f aca="false">IF(ISERROR(VLOOKUP($P393,Member_Tab,4,FALSE())),0,(VLOOKUP($P393,Member_Tab,4,FALSE()) * 0.2 * AT$7) * (IF(AND(AT$5 &gt;= VLOOKUP($P393,Member_Tab,6,FALSE()), AT$5 &lt;= VLOOKUP($P393,Member_Tab,7,FALSE())),1,0))  )</f>
        <v>0</v>
      </c>
      <c r="AU393" s="76" t="n">
        <f aca="false">IF(ISERROR(VLOOKUP($P393,Member_Tab,4,FALSE())),0,(VLOOKUP($P393,Member_Tab,4,FALSE()) * 0.2 * AU$7) * (IF(AND(AU$5 &gt;= VLOOKUP($P393,Member_Tab,6,FALSE()), AU$5 &lt;= VLOOKUP($P393,Member_Tab,7,FALSE())),1,0))  )</f>
        <v>0</v>
      </c>
      <c r="AV393" s="76" t="n">
        <f aca="false">IF(ISERROR(VLOOKUP($P393,Member_Tab,4,FALSE())),0,(VLOOKUP($P393,Member_Tab,4,FALSE()) * 0.2 * AV$7) * (IF(AND(AV$5 &gt;= VLOOKUP($P393,Member_Tab,6,FALSE()), AV$5 &lt;= VLOOKUP($P393,Member_Tab,7,FALSE())),1,0))  )</f>
        <v>0</v>
      </c>
      <c r="AW393" s="76" t="n">
        <f aca="false">IF(ISERROR(VLOOKUP($P393,Member_Tab,4,FALSE())),0,(VLOOKUP($P393,Member_Tab,4,FALSE()) * 0.2 * AW$7) * (IF(AND(AW$5 &gt;= VLOOKUP($P393,Member_Tab,6,FALSE()), AW$5 &lt;= VLOOKUP($P393,Member_Tab,7,FALSE())),1,0))  )</f>
        <v>0</v>
      </c>
      <c r="AX393" s="76" t="n">
        <f aca="false">IF(ISERROR(VLOOKUP($P393,Member_Tab,4,FALSE())),0,(VLOOKUP($P393,Member_Tab,4,FALSE()) * 0.2 * AX$7) * (IF(AND(AX$5 &gt;= VLOOKUP($P393,Member_Tab,6,FALSE()), AX$5 &lt;= VLOOKUP($P393,Member_Tab,7,FALSE())),1,0))  )</f>
        <v>0</v>
      </c>
      <c r="AY393" s="76" t="n">
        <f aca="false">IF(ISERROR(VLOOKUP($P393,Member_Tab,4,FALSE())),0,(VLOOKUP($P393,Member_Tab,4,FALSE()) * 0.2 * AY$7) * (IF(AND(AY$5 &gt;= VLOOKUP($P393,Member_Tab,6,FALSE()), AY$5 &lt;= VLOOKUP($P393,Member_Tab,7,FALSE())),1,0))  )</f>
        <v>0</v>
      </c>
      <c r="AZ393" s="76" t="n">
        <f aca="false">IF(ISERROR(VLOOKUP($P393,Member_Tab,4,FALSE())),0,(VLOOKUP($P393,Member_Tab,4,FALSE()) * 0.2 * AZ$7) * (IF(AND(AZ$5 &gt;= VLOOKUP($P393,Member_Tab,6,FALSE()), AZ$5 &lt;= VLOOKUP($P393,Member_Tab,7,FALSE())),1,0))  )</f>
        <v>0</v>
      </c>
      <c r="BA393" s="76" t="n">
        <f aca="false">IF(ISERROR(VLOOKUP($P393,Member_Tab,4,FALSE())),0,(VLOOKUP($P393,Member_Tab,4,FALSE()) * 0.2 * BA$7) * (IF(AND(BA$5 &gt;= VLOOKUP($P393,Member_Tab,6,FALSE()), BA$5 &lt;= VLOOKUP($P393,Member_Tab,7,FALSE())),1,0))  )</f>
        <v>0</v>
      </c>
      <c r="BB393" s="76" t="n">
        <f aca="false">IF(ISERROR(VLOOKUP($P393,Member_Tab,4,FALSE())),0,(VLOOKUP($P393,Member_Tab,4,FALSE()) * 0.2 * BB$7) * (IF(AND(BB$5 &gt;= VLOOKUP($P393,Member_Tab,6,FALSE()), BB$5 &lt;= VLOOKUP($P393,Member_Tab,7,FALSE())),1,0))  )</f>
        <v>0</v>
      </c>
    </row>
    <row r="394" s="173" customFormat="true" ht="15" hidden="true" customHeight="false" outlineLevel="1" collapsed="false">
      <c r="E394" s="40"/>
      <c r="K394" s="40"/>
      <c r="L394" s="40"/>
      <c r="M394" s="40"/>
      <c r="N394" s="40"/>
      <c r="P394" s="177" t="str">
        <f aca="false">P257</f>
        <v>Lastname4, Firstname4</v>
      </c>
      <c r="Q394" s="40"/>
      <c r="R394" s="178"/>
      <c r="S394" s="76" t="n">
        <f aca="false">IF(ISERROR(VLOOKUP($P394,Member_Tab,4,FALSE())),0,(VLOOKUP($P394,Member_Tab,4,FALSE()) * 0.2 * S$7) * (IF(AND(S$5 &gt;= VLOOKUP($P394,Member_Tab,6,FALSE()), S$5 &lt;= VLOOKUP($P394,Member_Tab,7,FALSE())),1,0))  )</f>
        <v>0</v>
      </c>
      <c r="T394" s="76" t="n">
        <f aca="false">IF(ISERROR(VLOOKUP($P394,Member_Tab,4,FALSE())),0,(VLOOKUP($P394,Member_Tab,4,FALSE()) * 0.2 * T$7) * (IF(AND(T$5 &gt;= VLOOKUP($P394,Member_Tab,6,FALSE()), T$5 &lt;= VLOOKUP($P394,Member_Tab,7,FALSE())),1,0))  )</f>
        <v>0</v>
      </c>
      <c r="U394" s="76" t="n">
        <f aca="false">IF(ISERROR(VLOOKUP($P394,Member_Tab,4,FALSE())),0,(VLOOKUP($P394,Member_Tab,4,FALSE()) * 0.2 * U$7) * (IF(AND(U$5 &gt;= VLOOKUP($P394,Member_Tab,6,FALSE()), U$5 &lt;= VLOOKUP($P394,Member_Tab,7,FALSE())),1,0))  )</f>
        <v>0</v>
      </c>
      <c r="V394" s="76" t="n">
        <f aca="false">IF(ISERROR(VLOOKUP($P394,Member_Tab,4,FALSE())),0,(VLOOKUP($P394,Member_Tab,4,FALSE()) * 0.2 * V$7) * (IF(AND(V$5 &gt;= VLOOKUP($P394,Member_Tab,6,FALSE()), V$5 &lt;= VLOOKUP($P394,Member_Tab,7,FALSE())),1,0))  )</f>
        <v>0</v>
      </c>
      <c r="W394" s="76" t="n">
        <f aca="false">IF(ISERROR(VLOOKUP($P394,Member_Tab,4,FALSE())),0,(VLOOKUP($P394,Member_Tab,4,FALSE()) * 0.2 * W$7) * (IF(AND(W$5 &gt;= VLOOKUP($P394,Member_Tab,6,FALSE()), W$5 &lt;= VLOOKUP($P394,Member_Tab,7,FALSE())),1,0))  )</f>
        <v>0</v>
      </c>
      <c r="X394" s="76" t="n">
        <f aca="false">IF(ISERROR(VLOOKUP($P394,Member_Tab,4,FALSE())),0,(VLOOKUP($P394,Member_Tab,4,FALSE()) * 0.2 * X$7) * (IF(AND(X$5 &gt;= VLOOKUP($P394,Member_Tab,6,FALSE()), X$5 &lt;= VLOOKUP($P394,Member_Tab,7,FALSE())),1,0))  )</f>
        <v>0</v>
      </c>
      <c r="Y394" s="76" t="n">
        <f aca="false">IF(ISERROR(VLOOKUP($P394,Member_Tab,4,FALSE())),0,(VLOOKUP($P394,Member_Tab,4,FALSE()) * 0.2 * Y$7) * (IF(AND(Y$5 &gt;= VLOOKUP($P394,Member_Tab,6,FALSE()), Y$5 &lt;= VLOOKUP($P394,Member_Tab,7,FALSE())),1,0))  )</f>
        <v>0</v>
      </c>
      <c r="Z394" s="76" t="n">
        <f aca="false">IF(ISERROR(VLOOKUP($P394,Member_Tab,4,FALSE())),0,(VLOOKUP($P394,Member_Tab,4,FALSE()) * 0.2 * Z$7) * (IF(AND(Z$5 &gt;= VLOOKUP($P394,Member_Tab,6,FALSE()), Z$5 &lt;= VLOOKUP($P394,Member_Tab,7,FALSE())),1,0))  )</f>
        <v>0</v>
      </c>
      <c r="AA394" s="76" t="n">
        <f aca="false">IF(ISERROR(VLOOKUP($P394,Member_Tab,4,FALSE())),0,(VLOOKUP($P394,Member_Tab,4,FALSE()) * 0.2 * AA$7) * (IF(AND(AA$5 &gt;= VLOOKUP($P394,Member_Tab,6,FALSE()), AA$5 &lt;= VLOOKUP($P394,Member_Tab,7,FALSE())),1,0))  )</f>
        <v>0</v>
      </c>
      <c r="AB394" s="76" t="n">
        <f aca="false">IF(ISERROR(VLOOKUP($P394,Member_Tab,4,FALSE())),0,(VLOOKUP($P394,Member_Tab,4,FALSE()) * 0.2 * AB$7) * (IF(AND(AB$5 &gt;= VLOOKUP($P394,Member_Tab,6,FALSE()), AB$5 &lt;= VLOOKUP($P394,Member_Tab,7,FALSE())),1,0))  )</f>
        <v>0</v>
      </c>
      <c r="AC394" s="76" t="n">
        <f aca="false">IF(ISERROR(VLOOKUP($P394,Member_Tab,4,FALSE())),0,(VLOOKUP($P394,Member_Tab,4,FALSE()) * 0.2 * AC$7) * (IF(AND(AC$5 &gt;= VLOOKUP($P394,Member_Tab,6,FALSE()), AC$5 &lt;= VLOOKUP($P394,Member_Tab,7,FALSE())),1,0))  )</f>
        <v>0</v>
      </c>
      <c r="AD394" s="76" t="n">
        <f aca="false">IF(ISERROR(VLOOKUP($P394,Member_Tab,4,FALSE())),0,(VLOOKUP($P394,Member_Tab,4,FALSE()) * 0.2 * AD$7) * (IF(AND(AD$5 &gt;= VLOOKUP($P394,Member_Tab,6,FALSE()), AD$5 &lt;= VLOOKUP($P394,Member_Tab,7,FALSE())),1,0))  )</f>
        <v>0</v>
      </c>
      <c r="AE394" s="76" t="n">
        <f aca="false">IF(ISERROR(VLOOKUP($P394,Member_Tab,4,FALSE())),0,(VLOOKUP($P394,Member_Tab,4,FALSE()) * 0.2 * AE$7) * (IF(AND(AE$5 &gt;= VLOOKUP($P394,Member_Tab,6,FALSE()), AE$5 &lt;= VLOOKUP($P394,Member_Tab,7,FALSE())),1,0))  )</f>
        <v>0</v>
      </c>
      <c r="AF394" s="76" t="n">
        <f aca="false">IF(ISERROR(VLOOKUP($P394,Member_Tab,4,FALSE())),0,(VLOOKUP($P394,Member_Tab,4,FALSE()) * 0.2 * AF$7) * (IF(AND(AF$5 &gt;= VLOOKUP($P394,Member_Tab,6,FALSE()), AF$5 &lt;= VLOOKUP($P394,Member_Tab,7,FALSE())),1,0))  )</f>
        <v>0</v>
      </c>
      <c r="AG394" s="76" t="n">
        <f aca="false">IF(ISERROR(VLOOKUP($P394,Member_Tab,4,FALSE())),0,(VLOOKUP($P394,Member_Tab,4,FALSE()) * 0.2 * AG$7) * (IF(AND(AG$5 &gt;= VLOOKUP($P394,Member_Tab,6,FALSE()), AG$5 &lt;= VLOOKUP($P394,Member_Tab,7,FALSE())),1,0))  )</f>
        <v>0</v>
      </c>
      <c r="AH394" s="76" t="n">
        <f aca="false">IF(ISERROR(VLOOKUP($P394,Member_Tab,4,FALSE())),0,(VLOOKUP($P394,Member_Tab,4,FALSE()) * 0.2 * AH$7) * (IF(AND(AH$5 &gt;= VLOOKUP($P394,Member_Tab,6,FALSE()), AH$5 &lt;= VLOOKUP($P394,Member_Tab,7,FALSE())),1,0))  )</f>
        <v>0</v>
      </c>
      <c r="AI394" s="76" t="n">
        <f aca="false">IF(ISERROR(VLOOKUP($P394,Member_Tab,4,FALSE())),0,(VLOOKUP($P394,Member_Tab,4,FALSE()) * 0.2 * AI$7) * (IF(AND(AI$5 &gt;= VLOOKUP($P394,Member_Tab,6,FALSE()), AI$5 &lt;= VLOOKUP($P394,Member_Tab,7,FALSE())),1,0))  )</f>
        <v>0</v>
      </c>
      <c r="AJ394" s="76" t="n">
        <f aca="false">IF(ISERROR(VLOOKUP($P394,Member_Tab,4,FALSE())),0,(VLOOKUP($P394,Member_Tab,4,FALSE()) * 0.2 * AJ$7) * (IF(AND(AJ$5 &gt;= VLOOKUP($P394,Member_Tab,6,FALSE()), AJ$5 &lt;= VLOOKUP($P394,Member_Tab,7,FALSE())),1,0))  )</f>
        <v>0</v>
      </c>
      <c r="AK394" s="76" t="n">
        <f aca="false">IF(ISERROR(VLOOKUP($P394,Member_Tab,4,FALSE())),0,(VLOOKUP($P394,Member_Tab,4,FALSE()) * 0.2 * AK$7) * (IF(AND(AK$5 &gt;= VLOOKUP($P394,Member_Tab,6,FALSE()), AK$5 &lt;= VLOOKUP($P394,Member_Tab,7,FALSE())),1,0))  )</f>
        <v>0</v>
      </c>
      <c r="AL394" s="76" t="n">
        <f aca="false">IF(ISERROR(VLOOKUP($P394,Member_Tab,4,FALSE())),0,(VLOOKUP($P394,Member_Tab,4,FALSE()) * 0.2 * AL$7) * (IF(AND(AL$5 &gt;= VLOOKUP($P394,Member_Tab,6,FALSE()), AL$5 &lt;= VLOOKUP($P394,Member_Tab,7,FALSE())),1,0))  )</f>
        <v>0</v>
      </c>
      <c r="AM394" s="76" t="n">
        <f aca="false">IF(ISERROR(VLOOKUP($P394,Member_Tab,4,FALSE())),0,(VLOOKUP($P394,Member_Tab,4,FALSE()) * 0.2 * AM$7) * (IF(AND(AM$5 &gt;= VLOOKUP($P394,Member_Tab,6,FALSE()), AM$5 &lt;= VLOOKUP($P394,Member_Tab,7,FALSE())),1,0))  )</f>
        <v>0</v>
      </c>
      <c r="AN394" s="76" t="n">
        <f aca="false">IF(ISERROR(VLOOKUP($P394,Member_Tab,4,FALSE())),0,(VLOOKUP($P394,Member_Tab,4,FALSE()) * 0.2 * AN$7) * (IF(AND(AN$5 &gt;= VLOOKUP($P394,Member_Tab,6,FALSE()), AN$5 &lt;= VLOOKUP($P394,Member_Tab,7,FALSE())),1,0))  )</f>
        <v>0</v>
      </c>
      <c r="AO394" s="76" t="n">
        <f aca="false">IF(ISERROR(VLOOKUP($P394,Member_Tab,4,FALSE())),0,(VLOOKUP($P394,Member_Tab,4,FALSE()) * 0.2 * AO$7) * (IF(AND(AO$5 &gt;= VLOOKUP($P394,Member_Tab,6,FALSE()), AO$5 &lt;= VLOOKUP($P394,Member_Tab,7,FALSE())),1,0))  )</f>
        <v>0</v>
      </c>
      <c r="AP394" s="76" t="n">
        <f aca="false">IF(ISERROR(VLOOKUP($P394,Member_Tab,4,FALSE())),0,(VLOOKUP($P394,Member_Tab,4,FALSE()) * 0.2 * AP$7) * (IF(AND(AP$5 &gt;= VLOOKUP($P394,Member_Tab,6,FALSE()), AP$5 &lt;= VLOOKUP($P394,Member_Tab,7,FALSE())),1,0))  )</f>
        <v>0</v>
      </c>
      <c r="AQ394" s="76" t="n">
        <f aca="false">IF(ISERROR(VLOOKUP($P394,Member_Tab,4,FALSE())),0,(VLOOKUP($P394,Member_Tab,4,FALSE()) * 0.2 * AQ$7) * (IF(AND(AQ$5 &gt;= VLOOKUP($P394,Member_Tab,6,FALSE()), AQ$5 &lt;= VLOOKUP($P394,Member_Tab,7,FALSE())),1,0))  )</f>
        <v>0</v>
      </c>
      <c r="AR394" s="76" t="n">
        <f aca="false">IF(ISERROR(VLOOKUP($P394,Member_Tab,4,FALSE())),0,(VLOOKUP($P394,Member_Tab,4,FALSE()) * 0.2 * AR$7) * (IF(AND(AR$5 &gt;= VLOOKUP($P394,Member_Tab,6,FALSE()), AR$5 &lt;= VLOOKUP($P394,Member_Tab,7,FALSE())),1,0))  )</f>
        <v>0</v>
      </c>
      <c r="AS394" s="76" t="n">
        <f aca="false">IF(ISERROR(VLOOKUP($P394,Member_Tab,4,FALSE())),0,(VLOOKUP($P394,Member_Tab,4,FALSE()) * 0.2 * AS$7) * (IF(AND(AS$5 &gt;= VLOOKUP($P394,Member_Tab,6,FALSE()), AS$5 &lt;= VLOOKUP($P394,Member_Tab,7,FALSE())),1,0))  )</f>
        <v>0</v>
      </c>
      <c r="AT394" s="76" t="n">
        <f aca="false">IF(ISERROR(VLOOKUP($P394,Member_Tab,4,FALSE())),0,(VLOOKUP($P394,Member_Tab,4,FALSE()) * 0.2 * AT$7) * (IF(AND(AT$5 &gt;= VLOOKUP($P394,Member_Tab,6,FALSE()), AT$5 &lt;= VLOOKUP($P394,Member_Tab,7,FALSE())),1,0))  )</f>
        <v>0</v>
      </c>
      <c r="AU394" s="76" t="n">
        <f aca="false">IF(ISERROR(VLOOKUP($P394,Member_Tab,4,FALSE())),0,(VLOOKUP($P394,Member_Tab,4,FALSE()) * 0.2 * AU$7) * (IF(AND(AU$5 &gt;= VLOOKUP($P394,Member_Tab,6,FALSE()), AU$5 &lt;= VLOOKUP($P394,Member_Tab,7,FALSE())),1,0))  )</f>
        <v>0</v>
      </c>
      <c r="AV394" s="76" t="n">
        <f aca="false">IF(ISERROR(VLOOKUP($P394,Member_Tab,4,FALSE())),0,(VLOOKUP($P394,Member_Tab,4,FALSE()) * 0.2 * AV$7) * (IF(AND(AV$5 &gt;= VLOOKUP($P394,Member_Tab,6,FALSE()), AV$5 &lt;= VLOOKUP($P394,Member_Tab,7,FALSE())),1,0))  )</f>
        <v>0</v>
      </c>
      <c r="AW394" s="76" t="n">
        <f aca="false">IF(ISERROR(VLOOKUP($P394,Member_Tab,4,FALSE())),0,(VLOOKUP($P394,Member_Tab,4,FALSE()) * 0.2 * AW$7) * (IF(AND(AW$5 &gt;= VLOOKUP($P394,Member_Tab,6,FALSE()), AW$5 &lt;= VLOOKUP($P394,Member_Tab,7,FALSE())),1,0))  )</f>
        <v>0</v>
      </c>
      <c r="AX394" s="76" t="n">
        <f aca="false">IF(ISERROR(VLOOKUP($P394,Member_Tab,4,FALSE())),0,(VLOOKUP($P394,Member_Tab,4,FALSE()) * 0.2 * AX$7) * (IF(AND(AX$5 &gt;= VLOOKUP($P394,Member_Tab,6,FALSE()), AX$5 &lt;= VLOOKUP($P394,Member_Tab,7,FALSE())),1,0))  )</f>
        <v>0</v>
      </c>
      <c r="AY394" s="76" t="n">
        <f aca="false">IF(ISERROR(VLOOKUP($P394,Member_Tab,4,FALSE())),0,(VLOOKUP($P394,Member_Tab,4,FALSE()) * 0.2 * AY$7) * (IF(AND(AY$5 &gt;= VLOOKUP($P394,Member_Tab,6,FALSE()), AY$5 &lt;= VLOOKUP($P394,Member_Tab,7,FALSE())),1,0))  )</f>
        <v>0</v>
      </c>
      <c r="AZ394" s="76" t="n">
        <f aca="false">IF(ISERROR(VLOOKUP($P394,Member_Tab,4,FALSE())),0,(VLOOKUP($P394,Member_Tab,4,FALSE()) * 0.2 * AZ$7) * (IF(AND(AZ$5 &gt;= VLOOKUP($P394,Member_Tab,6,FALSE()), AZ$5 &lt;= VLOOKUP($P394,Member_Tab,7,FALSE())),1,0))  )</f>
        <v>0</v>
      </c>
      <c r="BA394" s="76" t="n">
        <f aca="false">IF(ISERROR(VLOOKUP($P394,Member_Tab,4,FALSE())),0,(VLOOKUP($P394,Member_Tab,4,FALSE()) * 0.2 * BA$7) * (IF(AND(BA$5 &gt;= VLOOKUP($P394,Member_Tab,6,FALSE()), BA$5 &lt;= VLOOKUP($P394,Member_Tab,7,FALSE())),1,0))  )</f>
        <v>0</v>
      </c>
      <c r="BB394" s="76" t="n">
        <f aca="false">IF(ISERROR(VLOOKUP($P394,Member_Tab,4,FALSE())),0,(VLOOKUP($P394,Member_Tab,4,FALSE()) * 0.2 * BB$7) * (IF(AND(BB$5 &gt;= VLOOKUP($P394,Member_Tab,6,FALSE()), BB$5 &lt;= VLOOKUP($P394,Member_Tab,7,FALSE())),1,0))  )</f>
        <v>0</v>
      </c>
    </row>
    <row r="395" s="173" customFormat="true" ht="15" hidden="true" customHeight="false" outlineLevel="1" collapsed="false">
      <c r="E395" s="40"/>
      <c r="K395" s="40"/>
      <c r="L395" s="40"/>
      <c r="M395" s="40"/>
      <c r="N395" s="40"/>
      <c r="P395" s="177" t="str">
        <f aca="false">P258</f>
        <v>Lastname5, Firstname5</v>
      </c>
      <c r="Q395" s="40"/>
      <c r="R395" s="178"/>
      <c r="S395" s="76" t="n">
        <f aca="false">IF(ISERROR(VLOOKUP($P395,Member_Tab,4,FALSE())),0,(VLOOKUP($P395,Member_Tab,4,FALSE()) * 0.2 * S$7) * (IF(AND(S$5 &gt;= VLOOKUP($P395,Member_Tab,6,FALSE()), S$5 &lt;= VLOOKUP($P395,Member_Tab,7,FALSE())),1,0))  )</f>
        <v>0</v>
      </c>
      <c r="T395" s="76" t="n">
        <f aca="false">IF(ISERROR(VLOOKUP($P395,Member_Tab,4,FALSE())),0,(VLOOKUP($P395,Member_Tab,4,FALSE()) * 0.2 * T$7) * (IF(AND(T$5 &gt;= VLOOKUP($P395,Member_Tab,6,FALSE()), T$5 &lt;= VLOOKUP($P395,Member_Tab,7,FALSE())),1,0))  )</f>
        <v>0</v>
      </c>
      <c r="U395" s="76" t="n">
        <f aca="false">IF(ISERROR(VLOOKUP($P395,Member_Tab,4,FALSE())),0,(VLOOKUP($P395,Member_Tab,4,FALSE()) * 0.2 * U$7) * (IF(AND(U$5 &gt;= VLOOKUP($P395,Member_Tab,6,FALSE()), U$5 &lt;= VLOOKUP($P395,Member_Tab,7,FALSE())),1,0))  )</f>
        <v>0</v>
      </c>
      <c r="V395" s="76" t="n">
        <f aca="false">IF(ISERROR(VLOOKUP($P395,Member_Tab,4,FALSE())),0,(VLOOKUP($P395,Member_Tab,4,FALSE()) * 0.2 * V$7) * (IF(AND(V$5 &gt;= VLOOKUP($P395,Member_Tab,6,FALSE()), V$5 &lt;= VLOOKUP($P395,Member_Tab,7,FALSE())),1,0))  )</f>
        <v>0</v>
      </c>
      <c r="W395" s="76" t="n">
        <f aca="false">IF(ISERROR(VLOOKUP($P395,Member_Tab,4,FALSE())),0,(VLOOKUP($P395,Member_Tab,4,FALSE()) * 0.2 * W$7) * (IF(AND(W$5 &gt;= VLOOKUP($P395,Member_Tab,6,FALSE()), W$5 &lt;= VLOOKUP($P395,Member_Tab,7,FALSE())),1,0))  )</f>
        <v>0</v>
      </c>
      <c r="X395" s="76" t="n">
        <f aca="false">IF(ISERROR(VLOOKUP($P395,Member_Tab,4,FALSE())),0,(VLOOKUP($P395,Member_Tab,4,FALSE()) * 0.2 * X$7) * (IF(AND(X$5 &gt;= VLOOKUP($P395,Member_Tab,6,FALSE()), X$5 &lt;= VLOOKUP($P395,Member_Tab,7,FALSE())),1,0))  )</f>
        <v>0</v>
      </c>
      <c r="Y395" s="76" t="n">
        <f aca="false">IF(ISERROR(VLOOKUP($P395,Member_Tab,4,FALSE())),0,(VLOOKUP($P395,Member_Tab,4,FALSE()) * 0.2 * Y$7) * (IF(AND(Y$5 &gt;= VLOOKUP($P395,Member_Tab,6,FALSE()), Y$5 &lt;= VLOOKUP($P395,Member_Tab,7,FALSE())),1,0))  )</f>
        <v>0</v>
      </c>
      <c r="Z395" s="76" t="n">
        <f aca="false">IF(ISERROR(VLOOKUP($P395,Member_Tab,4,FALSE())),0,(VLOOKUP($P395,Member_Tab,4,FALSE()) * 0.2 * Z$7) * (IF(AND(Z$5 &gt;= VLOOKUP($P395,Member_Tab,6,FALSE()), Z$5 &lt;= VLOOKUP($P395,Member_Tab,7,FALSE())),1,0))  )</f>
        <v>0</v>
      </c>
      <c r="AA395" s="76" t="n">
        <f aca="false">IF(ISERROR(VLOOKUP($P395,Member_Tab,4,FALSE())),0,(VLOOKUP($P395,Member_Tab,4,FALSE()) * 0.2 * AA$7) * (IF(AND(AA$5 &gt;= VLOOKUP($P395,Member_Tab,6,FALSE()), AA$5 &lt;= VLOOKUP($P395,Member_Tab,7,FALSE())),1,0))  )</f>
        <v>0</v>
      </c>
      <c r="AB395" s="76" t="n">
        <f aca="false">IF(ISERROR(VLOOKUP($P395,Member_Tab,4,FALSE())),0,(VLOOKUP($P395,Member_Tab,4,FALSE()) * 0.2 * AB$7) * (IF(AND(AB$5 &gt;= VLOOKUP($P395,Member_Tab,6,FALSE()), AB$5 &lt;= VLOOKUP($P395,Member_Tab,7,FALSE())),1,0))  )</f>
        <v>0</v>
      </c>
      <c r="AC395" s="76" t="n">
        <f aca="false">IF(ISERROR(VLOOKUP($P395,Member_Tab,4,FALSE())),0,(VLOOKUP($P395,Member_Tab,4,FALSE()) * 0.2 * AC$7) * (IF(AND(AC$5 &gt;= VLOOKUP($P395,Member_Tab,6,FALSE()), AC$5 &lt;= VLOOKUP($P395,Member_Tab,7,FALSE())),1,0))  )</f>
        <v>0</v>
      </c>
      <c r="AD395" s="76" t="n">
        <f aca="false">IF(ISERROR(VLOOKUP($P395,Member_Tab,4,FALSE())),0,(VLOOKUP($P395,Member_Tab,4,FALSE()) * 0.2 * AD$7) * (IF(AND(AD$5 &gt;= VLOOKUP($P395,Member_Tab,6,FALSE()), AD$5 &lt;= VLOOKUP($P395,Member_Tab,7,FALSE())),1,0))  )</f>
        <v>0</v>
      </c>
      <c r="AE395" s="76" t="n">
        <f aca="false">IF(ISERROR(VLOOKUP($P395,Member_Tab,4,FALSE())),0,(VLOOKUP($P395,Member_Tab,4,FALSE()) * 0.2 * AE$7) * (IF(AND(AE$5 &gt;= VLOOKUP($P395,Member_Tab,6,FALSE()), AE$5 &lt;= VLOOKUP($P395,Member_Tab,7,FALSE())),1,0))  )</f>
        <v>0</v>
      </c>
      <c r="AF395" s="76" t="n">
        <f aca="false">IF(ISERROR(VLOOKUP($P395,Member_Tab,4,FALSE())),0,(VLOOKUP($P395,Member_Tab,4,FALSE()) * 0.2 * AF$7) * (IF(AND(AF$5 &gt;= VLOOKUP($P395,Member_Tab,6,FALSE()), AF$5 &lt;= VLOOKUP($P395,Member_Tab,7,FALSE())),1,0))  )</f>
        <v>0</v>
      </c>
      <c r="AG395" s="76" t="n">
        <f aca="false">IF(ISERROR(VLOOKUP($P395,Member_Tab,4,FALSE())),0,(VLOOKUP($P395,Member_Tab,4,FALSE()) * 0.2 * AG$7) * (IF(AND(AG$5 &gt;= VLOOKUP($P395,Member_Tab,6,FALSE()), AG$5 &lt;= VLOOKUP($P395,Member_Tab,7,FALSE())),1,0))  )</f>
        <v>0</v>
      </c>
      <c r="AH395" s="76" t="n">
        <f aca="false">IF(ISERROR(VLOOKUP($P395,Member_Tab,4,FALSE())),0,(VLOOKUP($P395,Member_Tab,4,FALSE()) * 0.2 * AH$7) * (IF(AND(AH$5 &gt;= VLOOKUP($P395,Member_Tab,6,FALSE()), AH$5 &lt;= VLOOKUP($P395,Member_Tab,7,FALSE())),1,0))  )</f>
        <v>0</v>
      </c>
      <c r="AI395" s="76" t="n">
        <f aca="false">IF(ISERROR(VLOOKUP($P395,Member_Tab,4,FALSE())),0,(VLOOKUP($P395,Member_Tab,4,FALSE()) * 0.2 * AI$7) * (IF(AND(AI$5 &gt;= VLOOKUP($P395,Member_Tab,6,FALSE()), AI$5 &lt;= VLOOKUP($P395,Member_Tab,7,FALSE())),1,0))  )</f>
        <v>0</v>
      </c>
      <c r="AJ395" s="76" t="n">
        <f aca="false">IF(ISERROR(VLOOKUP($P395,Member_Tab,4,FALSE())),0,(VLOOKUP($P395,Member_Tab,4,FALSE()) * 0.2 * AJ$7) * (IF(AND(AJ$5 &gt;= VLOOKUP($P395,Member_Tab,6,FALSE()), AJ$5 &lt;= VLOOKUP($P395,Member_Tab,7,FALSE())),1,0))  )</f>
        <v>0</v>
      </c>
      <c r="AK395" s="76" t="n">
        <f aca="false">IF(ISERROR(VLOOKUP($P395,Member_Tab,4,FALSE())),0,(VLOOKUP($P395,Member_Tab,4,FALSE()) * 0.2 * AK$7) * (IF(AND(AK$5 &gt;= VLOOKUP($P395,Member_Tab,6,FALSE()), AK$5 &lt;= VLOOKUP($P395,Member_Tab,7,FALSE())),1,0))  )</f>
        <v>0</v>
      </c>
      <c r="AL395" s="76" t="n">
        <f aca="false">IF(ISERROR(VLOOKUP($P395,Member_Tab,4,FALSE())),0,(VLOOKUP($P395,Member_Tab,4,FALSE()) * 0.2 * AL$7) * (IF(AND(AL$5 &gt;= VLOOKUP($P395,Member_Tab,6,FALSE()), AL$5 &lt;= VLOOKUP($P395,Member_Tab,7,FALSE())),1,0))  )</f>
        <v>0</v>
      </c>
      <c r="AM395" s="76" t="n">
        <f aca="false">IF(ISERROR(VLOOKUP($P395,Member_Tab,4,FALSE())),0,(VLOOKUP($P395,Member_Tab,4,FALSE()) * 0.2 * AM$7) * (IF(AND(AM$5 &gt;= VLOOKUP($P395,Member_Tab,6,FALSE()), AM$5 &lt;= VLOOKUP($P395,Member_Tab,7,FALSE())),1,0))  )</f>
        <v>0</v>
      </c>
      <c r="AN395" s="76" t="n">
        <f aca="false">IF(ISERROR(VLOOKUP($P395,Member_Tab,4,FALSE())),0,(VLOOKUP($P395,Member_Tab,4,FALSE()) * 0.2 * AN$7) * (IF(AND(AN$5 &gt;= VLOOKUP($P395,Member_Tab,6,FALSE()), AN$5 &lt;= VLOOKUP($P395,Member_Tab,7,FALSE())),1,0))  )</f>
        <v>0</v>
      </c>
      <c r="AO395" s="76" t="n">
        <f aca="false">IF(ISERROR(VLOOKUP($P395,Member_Tab,4,FALSE())),0,(VLOOKUP($P395,Member_Tab,4,FALSE()) * 0.2 * AO$7) * (IF(AND(AO$5 &gt;= VLOOKUP($P395,Member_Tab,6,FALSE()), AO$5 &lt;= VLOOKUP($P395,Member_Tab,7,FALSE())),1,0))  )</f>
        <v>0</v>
      </c>
      <c r="AP395" s="76" t="n">
        <f aca="false">IF(ISERROR(VLOOKUP($P395,Member_Tab,4,FALSE())),0,(VLOOKUP($P395,Member_Tab,4,FALSE()) * 0.2 * AP$7) * (IF(AND(AP$5 &gt;= VLOOKUP($P395,Member_Tab,6,FALSE()), AP$5 &lt;= VLOOKUP($P395,Member_Tab,7,FALSE())),1,0))  )</f>
        <v>0</v>
      </c>
      <c r="AQ395" s="76" t="n">
        <f aca="false">IF(ISERROR(VLOOKUP($P395,Member_Tab,4,FALSE())),0,(VLOOKUP($P395,Member_Tab,4,FALSE()) * 0.2 * AQ$7) * (IF(AND(AQ$5 &gt;= VLOOKUP($P395,Member_Tab,6,FALSE()), AQ$5 &lt;= VLOOKUP($P395,Member_Tab,7,FALSE())),1,0))  )</f>
        <v>0</v>
      </c>
      <c r="AR395" s="76" t="n">
        <f aca="false">IF(ISERROR(VLOOKUP($P395,Member_Tab,4,FALSE())),0,(VLOOKUP($P395,Member_Tab,4,FALSE()) * 0.2 * AR$7) * (IF(AND(AR$5 &gt;= VLOOKUP($P395,Member_Tab,6,FALSE()), AR$5 &lt;= VLOOKUP($P395,Member_Tab,7,FALSE())),1,0))  )</f>
        <v>0</v>
      </c>
      <c r="AS395" s="76" t="n">
        <f aca="false">IF(ISERROR(VLOOKUP($P395,Member_Tab,4,FALSE())),0,(VLOOKUP($P395,Member_Tab,4,FALSE()) * 0.2 * AS$7) * (IF(AND(AS$5 &gt;= VLOOKUP($P395,Member_Tab,6,FALSE()), AS$5 &lt;= VLOOKUP($P395,Member_Tab,7,FALSE())),1,0))  )</f>
        <v>0</v>
      </c>
      <c r="AT395" s="76" t="n">
        <f aca="false">IF(ISERROR(VLOOKUP($P395,Member_Tab,4,FALSE())),0,(VLOOKUP($P395,Member_Tab,4,FALSE()) * 0.2 * AT$7) * (IF(AND(AT$5 &gt;= VLOOKUP($P395,Member_Tab,6,FALSE()), AT$5 &lt;= VLOOKUP($P395,Member_Tab,7,FALSE())),1,0))  )</f>
        <v>0</v>
      </c>
      <c r="AU395" s="76" t="n">
        <f aca="false">IF(ISERROR(VLOOKUP($P395,Member_Tab,4,FALSE())),0,(VLOOKUP($P395,Member_Tab,4,FALSE()) * 0.2 * AU$7) * (IF(AND(AU$5 &gt;= VLOOKUP($P395,Member_Tab,6,FALSE()), AU$5 &lt;= VLOOKUP($P395,Member_Tab,7,FALSE())),1,0))  )</f>
        <v>0</v>
      </c>
      <c r="AV395" s="76" t="n">
        <f aca="false">IF(ISERROR(VLOOKUP($P395,Member_Tab,4,FALSE())),0,(VLOOKUP($P395,Member_Tab,4,FALSE()) * 0.2 * AV$7) * (IF(AND(AV$5 &gt;= VLOOKUP($P395,Member_Tab,6,FALSE()), AV$5 &lt;= VLOOKUP($P395,Member_Tab,7,FALSE())),1,0))  )</f>
        <v>0</v>
      </c>
      <c r="AW395" s="76" t="n">
        <f aca="false">IF(ISERROR(VLOOKUP($P395,Member_Tab,4,FALSE())),0,(VLOOKUP($P395,Member_Tab,4,FALSE()) * 0.2 * AW$7) * (IF(AND(AW$5 &gt;= VLOOKUP($P395,Member_Tab,6,FALSE()), AW$5 &lt;= VLOOKUP($P395,Member_Tab,7,FALSE())),1,0))  )</f>
        <v>0</v>
      </c>
      <c r="AX395" s="76" t="n">
        <f aca="false">IF(ISERROR(VLOOKUP($P395,Member_Tab,4,FALSE())),0,(VLOOKUP($P395,Member_Tab,4,FALSE()) * 0.2 * AX$7) * (IF(AND(AX$5 &gt;= VLOOKUP($P395,Member_Tab,6,FALSE()), AX$5 &lt;= VLOOKUP($P395,Member_Tab,7,FALSE())),1,0))  )</f>
        <v>0</v>
      </c>
      <c r="AY395" s="76" t="n">
        <f aca="false">IF(ISERROR(VLOOKUP($P395,Member_Tab,4,FALSE())),0,(VLOOKUP($P395,Member_Tab,4,FALSE()) * 0.2 * AY$7) * (IF(AND(AY$5 &gt;= VLOOKUP($P395,Member_Tab,6,FALSE()), AY$5 &lt;= VLOOKUP($P395,Member_Tab,7,FALSE())),1,0))  )</f>
        <v>0</v>
      </c>
      <c r="AZ395" s="76" t="n">
        <f aca="false">IF(ISERROR(VLOOKUP($P395,Member_Tab,4,FALSE())),0,(VLOOKUP($P395,Member_Tab,4,FALSE()) * 0.2 * AZ$7) * (IF(AND(AZ$5 &gt;= VLOOKUP($P395,Member_Tab,6,FALSE()), AZ$5 &lt;= VLOOKUP($P395,Member_Tab,7,FALSE())),1,0))  )</f>
        <v>0</v>
      </c>
      <c r="BA395" s="76" t="n">
        <f aca="false">IF(ISERROR(VLOOKUP($P395,Member_Tab,4,FALSE())),0,(VLOOKUP($P395,Member_Tab,4,FALSE()) * 0.2 * BA$7) * (IF(AND(BA$5 &gt;= VLOOKUP($P395,Member_Tab,6,FALSE()), BA$5 &lt;= VLOOKUP($P395,Member_Tab,7,FALSE())),1,0))  )</f>
        <v>0</v>
      </c>
      <c r="BB395" s="76" t="n">
        <f aca="false">IF(ISERROR(VLOOKUP($P395,Member_Tab,4,FALSE())),0,(VLOOKUP($P395,Member_Tab,4,FALSE()) * 0.2 * BB$7) * (IF(AND(BB$5 &gt;= VLOOKUP($P395,Member_Tab,6,FALSE()), BB$5 &lt;= VLOOKUP($P395,Member_Tab,7,FALSE())),1,0))  )</f>
        <v>0</v>
      </c>
    </row>
    <row r="396" s="173" customFormat="true" ht="15" hidden="true" customHeight="false" outlineLevel="1" collapsed="false">
      <c r="E396" s="40"/>
      <c r="K396" s="40"/>
      <c r="L396" s="40"/>
      <c r="M396" s="40"/>
      <c r="N396" s="40"/>
      <c r="P396" s="177" t="str">
        <f aca="false">P259</f>
        <v>Lastname6, Firstname6</v>
      </c>
      <c r="Q396" s="40"/>
      <c r="R396" s="178"/>
      <c r="S396" s="76" t="n">
        <f aca="false">IF(ISERROR(VLOOKUP($P396,Member_Tab,4,FALSE())),0,(VLOOKUP($P396,Member_Tab,4,FALSE()) * 0.2 * S$7) * (IF(AND(S$5 &gt;= VLOOKUP($P396,Member_Tab,6,FALSE()), S$5 &lt;= VLOOKUP($P396,Member_Tab,7,FALSE())),1,0))  )</f>
        <v>0</v>
      </c>
      <c r="T396" s="76" t="n">
        <f aca="false">IF(ISERROR(VLOOKUP($P396,Member_Tab,4,FALSE())),0,(VLOOKUP($P396,Member_Tab,4,FALSE()) * 0.2 * T$7) * (IF(AND(T$5 &gt;= VLOOKUP($P396,Member_Tab,6,FALSE()), T$5 &lt;= VLOOKUP($P396,Member_Tab,7,FALSE())),1,0))  )</f>
        <v>0</v>
      </c>
      <c r="U396" s="76" t="n">
        <f aca="false">IF(ISERROR(VLOOKUP($P396,Member_Tab,4,FALSE())),0,(VLOOKUP($P396,Member_Tab,4,FALSE()) * 0.2 * U$7) * (IF(AND(U$5 &gt;= VLOOKUP($P396,Member_Tab,6,FALSE()), U$5 &lt;= VLOOKUP($P396,Member_Tab,7,FALSE())),1,0))  )</f>
        <v>0</v>
      </c>
      <c r="V396" s="76" t="n">
        <f aca="false">IF(ISERROR(VLOOKUP($P396,Member_Tab,4,FALSE())),0,(VLOOKUP($P396,Member_Tab,4,FALSE()) * 0.2 * V$7) * (IF(AND(V$5 &gt;= VLOOKUP($P396,Member_Tab,6,FALSE()), V$5 &lt;= VLOOKUP($P396,Member_Tab,7,FALSE())),1,0))  )</f>
        <v>0</v>
      </c>
      <c r="W396" s="76" t="n">
        <f aca="false">IF(ISERROR(VLOOKUP($P396,Member_Tab,4,FALSE())),0,(VLOOKUP($P396,Member_Tab,4,FALSE()) * 0.2 * W$7) * (IF(AND(W$5 &gt;= VLOOKUP($P396,Member_Tab,6,FALSE()), W$5 &lt;= VLOOKUP($P396,Member_Tab,7,FALSE())),1,0))  )</f>
        <v>0</v>
      </c>
      <c r="X396" s="76" t="n">
        <f aca="false">IF(ISERROR(VLOOKUP($P396,Member_Tab,4,FALSE())),0,(VLOOKUP($P396,Member_Tab,4,FALSE()) * 0.2 * X$7) * (IF(AND(X$5 &gt;= VLOOKUP($P396,Member_Tab,6,FALSE()), X$5 &lt;= VLOOKUP($P396,Member_Tab,7,FALSE())),1,0))  )</f>
        <v>0</v>
      </c>
      <c r="Y396" s="76" t="n">
        <f aca="false">IF(ISERROR(VLOOKUP($P396,Member_Tab,4,FALSE())),0,(VLOOKUP($P396,Member_Tab,4,FALSE()) * 0.2 * Y$7) * (IF(AND(Y$5 &gt;= VLOOKUP($P396,Member_Tab,6,FALSE()), Y$5 &lt;= VLOOKUP($P396,Member_Tab,7,FALSE())),1,0))  )</f>
        <v>0</v>
      </c>
      <c r="Z396" s="76" t="n">
        <f aca="false">IF(ISERROR(VLOOKUP($P396,Member_Tab,4,FALSE())),0,(VLOOKUP($P396,Member_Tab,4,FALSE()) * 0.2 * Z$7) * (IF(AND(Z$5 &gt;= VLOOKUP($P396,Member_Tab,6,FALSE()), Z$5 &lt;= VLOOKUP($P396,Member_Tab,7,FALSE())),1,0))  )</f>
        <v>0</v>
      </c>
      <c r="AA396" s="76" t="n">
        <f aca="false">IF(ISERROR(VLOOKUP($P396,Member_Tab,4,FALSE())),0,(VLOOKUP($P396,Member_Tab,4,FALSE()) * 0.2 * AA$7) * (IF(AND(AA$5 &gt;= VLOOKUP($P396,Member_Tab,6,FALSE()), AA$5 &lt;= VLOOKUP($P396,Member_Tab,7,FALSE())),1,0))  )</f>
        <v>0</v>
      </c>
      <c r="AB396" s="76" t="n">
        <f aca="false">IF(ISERROR(VLOOKUP($P396,Member_Tab,4,FALSE())),0,(VLOOKUP($P396,Member_Tab,4,FALSE()) * 0.2 * AB$7) * (IF(AND(AB$5 &gt;= VLOOKUP($P396,Member_Tab,6,FALSE()), AB$5 &lt;= VLOOKUP($P396,Member_Tab,7,FALSE())),1,0))  )</f>
        <v>0</v>
      </c>
      <c r="AC396" s="76" t="n">
        <f aca="false">IF(ISERROR(VLOOKUP($P396,Member_Tab,4,FALSE())),0,(VLOOKUP($P396,Member_Tab,4,FALSE()) * 0.2 * AC$7) * (IF(AND(AC$5 &gt;= VLOOKUP($P396,Member_Tab,6,FALSE()), AC$5 &lt;= VLOOKUP($P396,Member_Tab,7,FALSE())),1,0))  )</f>
        <v>0</v>
      </c>
      <c r="AD396" s="76" t="n">
        <f aca="false">IF(ISERROR(VLOOKUP($P396,Member_Tab,4,FALSE())),0,(VLOOKUP($P396,Member_Tab,4,FALSE()) * 0.2 * AD$7) * (IF(AND(AD$5 &gt;= VLOOKUP($P396,Member_Tab,6,FALSE()), AD$5 &lt;= VLOOKUP($P396,Member_Tab,7,FALSE())),1,0))  )</f>
        <v>0</v>
      </c>
      <c r="AE396" s="76" t="n">
        <f aca="false">IF(ISERROR(VLOOKUP($P396,Member_Tab,4,FALSE())),0,(VLOOKUP($P396,Member_Tab,4,FALSE()) * 0.2 * AE$7) * (IF(AND(AE$5 &gt;= VLOOKUP($P396,Member_Tab,6,FALSE()), AE$5 &lt;= VLOOKUP($P396,Member_Tab,7,FALSE())),1,0))  )</f>
        <v>0</v>
      </c>
      <c r="AF396" s="76" t="n">
        <f aca="false">IF(ISERROR(VLOOKUP($P396,Member_Tab,4,FALSE())),0,(VLOOKUP($P396,Member_Tab,4,FALSE()) * 0.2 * AF$7) * (IF(AND(AF$5 &gt;= VLOOKUP($P396,Member_Tab,6,FALSE()), AF$5 &lt;= VLOOKUP($P396,Member_Tab,7,FALSE())),1,0))  )</f>
        <v>0</v>
      </c>
      <c r="AG396" s="76" t="n">
        <f aca="false">IF(ISERROR(VLOOKUP($P396,Member_Tab,4,FALSE())),0,(VLOOKUP($P396,Member_Tab,4,FALSE()) * 0.2 * AG$7) * (IF(AND(AG$5 &gt;= VLOOKUP($P396,Member_Tab,6,FALSE()), AG$5 &lt;= VLOOKUP($P396,Member_Tab,7,FALSE())),1,0))  )</f>
        <v>0</v>
      </c>
      <c r="AH396" s="76" t="n">
        <f aca="false">IF(ISERROR(VLOOKUP($P396,Member_Tab,4,FALSE())),0,(VLOOKUP($P396,Member_Tab,4,FALSE()) * 0.2 * AH$7) * (IF(AND(AH$5 &gt;= VLOOKUP($P396,Member_Tab,6,FALSE()), AH$5 &lt;= VLOOKUP($P396,Member_Tab,7,FALSE())),1,0))  )</f>
        <v>0</v>
      </c>
      <c r="AI396" s="76" t="n">
        <f aca="false">IF(ISERROR(VLOOKUP($P396,Member_Tab,4,FALSE())),0,(VLOOKUP($P396,Member_Tab,4,FALSE()) * 0.2 * AI$7) * (IF(AND(AI$5 &gt;= VLOOKUP($P396,Member_Tab,6,FALSE()), AI$5 &lt;= VLOOKUP($P396,Member_Tab,7,FALSE())),1,0))  )</f>
        <v>0</v>
      </c>
      <c r="AJ396" s="76" t="n">
        <f aca="false">IF(ISERROR(VLOOKUP($P396,Member_Tab,4,FALSE())),0,(VLOOKUP($P396,Member_Tab,4,FALSE()) * 0.2 * AJ$7) * (IF(AND(AJ$5 &gt;= VLOOKUP($P396,Member_Tab,6,FALSE()), AJ$5 &lt;= VLOOKUP($P396,Member_Tab,7,FALSE())),1,0))  )</f>
        <v>0</v>
      </c>
      <c r="AK396" s="76" t="n">
        <f aca="false">IF(ISERROR(VLOOKUP($P396,Member_Tab,4,FALSE())),0,(VLOOKUP($P396,Member_Tab,4,FALSE()) * 0.2 * AK$7) * (IF(AND(AK$5 &gt;= VLOOKUP($P396,Member_Tab,6,FALSE()), AK$5 &lt;= VLOOKUP($P396,Member_Tab,7,FALSE())),1,0))  )</f>
        <v>0</v>
      </c>
      <c r="AL396" s="76" t="n">
        <f aca="false">IF(ISERROR(VLOOKUP($P396,Member_Tab,4,FALSE())),0,(VLOOKUP($P396,Member_Tab,4,FALSE()) * 0.2 * AL$7) * (IF(AND(AL$5 &gt;= VLOOKUP($P396,Member_Tab,6,FALSE()), AL$5 &lt;= VLOOKUP($P396,Member_Tab,7,FALSE())),1,0))  )</f>
        <v>0</v>
      </c>
      <c r="AM396" s="76" t="n">
        <f aca="false">IF(ISERROR(VLOOKUP($P396,Member_Tab,4,FALSE())),0,(VLOOKUP($P396,Member_Tab,4,FALSE()) * 0.2 * AM$7) * (IF(AND(AM$5 &gt;= VLOOKUP($P396,Member_Tab,6,FALSE()), AM$5 &lt;= VLOOKUP($P396,Member_Tab,7,FALSE())),1,0))  )</f>
        <v>0</v>
      </c>
      <c r="AN396" s="76" t="n">
        <f aca="false">IF(ISERROR(VLOOKUP($P396,Member_Tab,4,FALSE())),0,(VLOOKUP($P396,Member_Tab,4,FALSE()) * 0.2 * AN$7) * (IF(AND(AN$5 &gt;= VLOOKUP($P396,Member_Tab,6,FALSE()), AN$5 &lt;= VLOOKUP($P396,Member_Tab,7,FALSE())),1,0))  )</f>
        <v>0</v>
      </c>
      <c r="AO396" s="76" t="n">
        <f aca="false">IF(ISERROR(VLOOKUP($P396,Member_Tab,4,FALSE())),0,(VLOOKUP($P396,Member_Tab,4,FALSE()) * 0.2 * AO$7) * (IF(AND(AO$5 &gt;= VLOOKUP($P396,Member_Tab,6,FALSE()), AO$5 &lt;= VLOOKUP($P396,Member_Tab,7,FALSE())),1,0))  )</f>
        <v>0</v>
      </c>
      <c r="AP396" s="76" t="n">
        <f aca="false">IF(ISERROR(VLOOKUP($P396,Member_Tab,4,FALSE())),0,(VLOOKUP($P396,Member_Tab,4,FALSE()) * 0.2 * AP$7) * (IF(AND(AP$5 &gt;= VLOOKUP($P396,Member_Tab,6,FALSE()), AP$5 &lt;= VLOOKUP($P396,Member_Tab,7,FALSE())),1,0))  )</f>
        <v>0</v>
      </c>
      <c r="AQ396" s="76" t="n">
        <f aca="false">IF(ISERROR(VLOOKUP($P396,Member_Tab,4,FALSE())),0,(VLOOKUP($P396,Member_Tab,4,FALSE()) * 0.2 * AQ$7) * (IF(AND(AQ$5 &gt;= VLOOKUP($P396,Member_Tab,6,FALSE()), AQ$5 &lt;= VLOOKUP($P396,Member_Tab,7,FALSE())),1,0))  )</f>
        <v>0</v>
      </c>
      <c r="AR396" s="76" t="n">
        <f aca="false">IF(ISERROR(VLOOKUP($P396,Member_Tab,4,FALSE())),0,(VLOOKUP($P396,Member_Tab,4,FALSE()) * 0.2 * AR$7) * (IF(AND(AR$5 &gt;= VLOOKUP($P396,Member_Tab,6,FALSE()), AR$5 &lt;= VLOOKUP($P396,Member_Tab,7,FALSE())),1,0))  )</f>
        <v>0</v>
      </c>
      <c r="AS396" s="76" t="n">
        <f aca="false">IF(ISERROR(VLOOKUP($P396,Member_Tab,4,FALSE())),0,(VLOOKUP($P396,Member_Tab,4,FALSE()) * 0.2 * AS$7) * (IF(AND(AS$5 &gt;= VLOOKUP($P396,Member_Tab,6,FALSE()), AS$5 &lt;= VLOOKUP($P396,Member_Tab,7,FALSE())),1,0))  )</f>
        <v>0</v>
      </c>
      <c r="AT396" s="76" t="n">
        <f aca="false">IF(ISERROR(VLOOKUP($P396,Member_Tab,4,FALSE())),0,(VLOOKUP($P396,Member_Tab,4,FALSE()) * 0.2 * AT$7) * (IF(AND(AT$5 &gt;= VLOOKUP($P396,Member_Tab,6,FALSE()), AT$5 &lt;= VLOOKUP($P396,Member_Tab,7,FALSE())),1,0))  )</f>
        <v>0</v>
      </c>
      <c r="AU396" s="76" t="n">
        <f aca="false">IF(ISERROR(VLOOKUP($P396,Member_Tab,4,FALSE())),0,(VLOOKUP($P396,Member_Tab,4,FALSE()) * 0.2 * AU$7) * (IF(AND(AU$5 &gt;= VLOOKUP($P396,Member_Tab,6,FALSE()), AU$5 &lt;= VLOOKUP($P396,Member_Tab,7,FALSE())),1,0))  )</f>
        <v>0</v>
      </c>
      <c r="AV396" s="76" t="n">
        <f aca="false">IF(ISERROR(VLOOKUP($P396,Member_Tab,4,FALSE())),0,(VLOOKUP($P396,Member_Tab,4,FALSE()) * 0.2 * AV$7) * (IF(AND(AV$5 &gt;= VLOOKUP($P396,Member_Tab,6,FALSE()), AV$5 &lt;= VLOOKUP($P396,Member_Tab,7,FALSE())),1,0))  )</f>
        <v>0</v>
      </c>
      <c r="AW396" s="76" t="n">
        <f aca="false">IF(ISERROR(VLOOKUP($P396,Member_Tab,4,FALSE())),0,(VLOOKUP($P396,Member_Tab,4,FALSE()) * 0.2 * AW$7) * (IF(AND(AW$5 &gt;= VLOOKUP($P396,Member_Tab,6,FALSE()), AW$5 &lt;= VLOOKUP($P396,Member_Tab,7,FALSE())),1,0))  )</f>
        <v>0</v>
      </c>
      <c r="AX396" s="76" t="n">
        <f aca="false">IF(ISERROR(VLOOKUP($P396,Member_Tab,4,FALSE())),0,(VLOOKUP($P396,Member_Tab,4,FALSE()) * 0.2 * AX$7) * (IF(AND(AX$5 &gt;= VLOOKUP($P396,Member_Tab,6,FALSE()), AX$5 &lt;= VLOOKUP($P396,Member_Tab,7,FALSE())),1,0))  )</f>
        <v>0</v>
      </c>
      <c r="AY396" s="76" t="n">
        <f aca="false">IF(ISERROR(VLOOKUP($P396,Member_Tab,4,FALSE())),0,(VLOOKUP($P396,Member_Tab,4,FALSE()) * 0.2 * AY$7) * (IF(AND(AY$5 &gt;= VLOOKUP($P396,Member_Tab,6,FALSE()), AY$5 &lt;= VLOOKUP($P396,Member_Tab,7,FALSE())),1,0))  )</f>
        <v>0</v>
      </c>
      <c r="AZ396" s="76" t="n">
        <f aca="false">IF(ISERROR(VLOOKUP($P396,Member_Tab,4,FALSE())),0,(VLOOKUP($P396,Member_Tab,4,FALSE()) * 0.2 * AZ$7) * (IF(AND(AZ$5 &gt;= VLOOKUP($P396,Member_Tab,6,FALSE()), AZ$5 &lt;= VLOOKUP($P396,Member_Tab,7,FALSE())),1,0))  )</f>
        <v>0</v>
      </c>
      <c r="BA396" s="76" t="n">
        <f aca="false">IF(ISERROR(VLOOKUP($P396,Member_Tab,4,FALSE())),0,(VLOOKUP($P396,Member_Tab,4,FALSE()) * 0.2 * BA$7) * (IF(AND(BA$5 &gt;= VLOOKUP($P396,Member_Tab,6,FALSE()), BA$5 &lt;= VLOOKUP($P396,Member_Tab,7,FALSE())),1,0))  )</f>
        <v>0</v>
      </c>
      <c r="BB396" s="76" t="n">
        <f aca="false">IF(ISERROR(VLOOKUP($P396,Member_Tab,4,FALSE())),0,(VLOOKUP($P396,Member_Tab,4,FALSE()) * 0.2 * BB$7) * (IF(AND(BB$5 &gt;= VLOOKUP($P396,Member_Tab,6,FALSE()), BB$5 &lt;= VLOOKUP($P396,Member_Tab,7,FALSE())),1,0))  )</f>
        <v>0</v>
      </c>
    </row>
    <row r="397" s="173" customFormat="true" ht="15" hidden="true" customHeight="false" outlineLevel="1" collapsed="false">
      <c r="E397" s="40"/>
      <c r="K397" s="40"/>
      <c r="L397" s="40"/>
      <c r="M397" s="40"/>
      <c r="N397" s="40"/>
      <c r="P397" s="177" t="str">
        <f aca="false">P260</f>
        <v>Lastname7, Firstname7</v>
      </c>
      <c r="Q397" s="40"/>
      <c r="R397" s="178"/>
      <c r="S397" s="76" t="n">
        <f aca="false">IF(ISERROR(VLOOKUP($P397,Member_Tab,4,FALSE())),0,(VLOOKUP($P397,Member_Tab,4,FALSE()) * 0.2 * S$7) * (IF(AND(S$5 &gt;= VLOOKUP($P397,Member_Tab,6,FALSE()), S$5 &lt;= VLOOKUP($P397,Member_Tab,7,FALSE())),1,0))  )</f>
        <v>0</v>
      </c>
      <c r="T397" s="76" t="n">
        <f aca="false">IF(ISERROR(VLOOKUP($P397,Member_Tab,4,FALSE())),0,(VLOOKUP($P397,Member_Tab,4,FALSE()) * 0.2 * T$7) * (IF(AND(T$5 &gt;= VLOOKUP($P397,Member_Tab,6,FALSE()), T$5 &lt;= VLOOKUP($P397,Member_Tab,7,FALSE())),1,0))  )</f>
        <v>0</v>
      </c>
      <c r="U397" s="76" t="n">
        <f aca="false">IF(ISERROR(VLOOKUP($P397,Member_Tab,4,FALSE())),0,(VLOOKUP($P397,Member_Tab,4,FALSE()) * 0.2 * U$7) * (IF(AND(U$5 &gt;= VLOOKUP($P397,Member_Tab,6,FALSE()), U$5 &lt;= VLOOKUP($P397,Member_Tab,7,FALSE())),1,0))  )</f>
        <v>0</v>
      </c>
      <c r="V397" s="76" t="n">
        <f aca="false">IF(ISERROR(VLOOKUP($P397,Member_Tab,4,FALSE())),0,(VLOOKUP($P397,Member_Tab,4,FALSE()) * 0.2 * V$7) * (IF(AND(V$5 &gt;= VLOOKUP($P397,Member_Tab,6,FALSE()), V$5 &lt;= VLOOKUP($P397,Member_Tab,7,FALSE())),1,0))  )</f>
        <v>0</v>
      </c>
      <c r="W397" s="76" t="n">
        <f aca="false">IF(ISERROR(VLOOKUP($P397,Member_Tab,4,FALSE())),0,(VLOOKUP($P397,Member_Tab,4,FALSE()) * 0.2 * W$7) * (IF(AND(W$5 &gt;= VLOOKUP($P397,Member_Tab,6,FALSE()), W$5 &lt;= VLOOKUP($P397,Member_Tab,7,FALSE())),1,0))  )</f>
        <v>0</v>
      </c>
      <c r="X397" s="76" t="n">
        <f aca="false">IF(ISERROR(VLOOKUP($P397,Member_Tab,4,FALSE())),0,(VLOOKUP($P397,Member_Tab,4,FALSE()) * 0.2 * X$7) * (IF(AND(X$5 &gt;= VLOOKUP($P397,Member_Tab,6,FALSE()), X$5 &lt;= VLOOKUP($P397,Member_Tab,7,FALSE())),1,0))  )</f>
        <v>0</v>
      </c>
      <c r="Y397" s="76" t="n">
        <f aca="false">IF(ISERROR(VLOOKUP($P397,Member_Tab,4,FALSE())),0,(VLOOKUP($P397,Member_Tab,4,FALSE()) * 0.2 * Y$7) * (IF(AND(Y$5 &gt;= VLOOKUP($P397,Member_Tab,6,FALSE()), Y$5 &lt;= VLOOKUP($P397,Member_Tab,7,FALSE())),1,0))  )</f>
        <v>0</v>
      </c>
      <c r="Z397" s="76" t="n">
        <f aca="false">IF(ISERROR(VLOOKUP($P397,Member_Tab,4,FALSE())),0,(VLOOKUP($P397,Member_Tab,4,FALSE()) * 0.2 * Z$7) * (IF(AND(Z$5 &gt;= VLOOKUP($P397,Member_Tab,6,FALSE()), Z$5 &lt;= VLOOKUP($P397,Member_Tab,7,FALSE())),1,0))  )</f>
        <v>0</v>
      </c>
      <c r="AA397" s="76" t="n">
        <f aca="false">IF(ISERROR(VLOOKUP($P397,Member_Tab,4,FALSE())),0,(VLOOKUP($P397,Member_Tab,4,FALSE()) * 0.2 * AA$7) * (IF(AND(AA$5 &gt;= VLOOKUP($P397,Member_Tab,6,FALSE()), AA$5 &lt;= VLOOKUP($P397,Member_Tab,7,FALSE())),1,0))  )</f>
        <v>0</v>
      </c>
      <c r="AB397" s="76" t="n">
        <f aca="false">IF(ISERROR(VLOOKUP($P397,Member_Tab,4,FALSE())),0,(VLOOKUP($P397,Member_Tab,4,FALSE()) * 0.2 * AB$7) * (IF(AND(AB$5 &gt;= VLOOKUP($P397,Member_Tab,6,FALSE()), AB$5 &lt;= VLOOKUP($P397,Member_Tab,7,FALSE())),1,0))  )</f>
        <v>0</v>
      </c>
      <c r="AC397" s="76" t="n">
        <f aca="false">IF(ISERROR(VLOOKUP($P397,Member_Tab,4,FALSE())),0,(VLOOKUP($P397,Member_Tab,4,FALSE()) * 0.2 * AC$7) * (IF(AND(AC$5 &gt;= VLOOKUP($P397,Member_Tab,6,FALSE()), AC$5 &lt;= VLOOKUP($P397,Member_Tab,7,FALSE())),1,0))  )</f>
        <v>0</v>
      </c>
      <c r="AD397" s="76" t="n">
        <f aca="false">IF(ISERROR(VLOOKUP($P397,Member_Tab,4,FALSE())),0,(VLOOKUP($P397,Member_Tab,4,FALSE()) * 0.2 * AD$7) * (IF(AND(AD$5 &gt;= VLOOKUP($P397,Member_Tab,6,FALSE()), AD$5 &lt;= VLOOKUP($P397,Member_Tab,7,FALSE())),1,0))  )</f>
        <v>0</v>
      </c>
      <c r="AE397" s="76" t="n">
        <f aca="false">IF(ISERROR(VLOOKUP($P397,Member_Tab,4,FALSE())),0,(VLOOKUP($P397,Member_Tab,4,FALSE()) * 0.2 * AE$7) * (IF(AND(AE$5 &gt;= VLOOKUP($P397,Member_Tab,6,FALSE()), AE$5 &lt;= VLOOKUP($P397,Member_Tab,7,FALSE())),1,0))  )</f>
        <v>0</v>
      </c>
      <c r="AF397" s="76" t="n">
        <f aca="false">IF(ISERROR(VLOOKUP($P397,Member_Tab,4,FALSE())),0,(VLOOKUP($P397,Member_Tab,4,FALSE()) * 0.2 * AF$7) * (IF(AND(AF$5 &gt;= VLOOKUP($P397,Member_Tab,6,FALSE()), AF$5 &lt;= VLOOKUP($P397,Member_Tab,7,FALSE())),1,0))  )</f>
        <v>0</v>
      </c>
      <c r="AG397" s="76" t="n">
        <f aca="false">IF(ISERROR(VLOOKUP($P397,Member_Tab,4,FALSE())),0,(VLOOKUP($P397,Member_Tab,4,FALSE()) * 0.2 * AG$7) * (IF(AND(AG$5 &gt;= VLOOKUP($P397,Member_Tab,6,FALSE()), AG$5 &lt;= VLOOKUP($P397,Member_Tab,7,FALSE())),1,0))  )</f>
        <v>0</v>
      </c>
      <c r="AH397" s="76" t="n">
        <f aca="false">IF(ISERROR(VLOOKUP($P397,Member_Tab,4,FALSE())),0,(VLOOKUP($P397,Member_Tab,4,FALSE()) * 0.2 * AH$7) * (IF(AND(AH$5 &gt;= VLOOKUP($P397,Member_Tab,6,FALSE()), AH$5 &lt;= VLOOKUP($P397,Member_Tab,7,FALSE())),1,0))  )</f>
        <v>0</v>
      </c>
      <c r="AI397" s="76" t="n">
        <f aca="false">IF(ISERROR(VLOOKUP($P397,Member_Tab,4,FALSE())),0,(VLOOKUP($P397,Member_Tab,4,FALSE()) * 0.2 * AI$7) * (IF(AND(AI$5 &gt;= VLOOKUP($P397,Member_Tab,6,FALSE()), AI$5 &lt;= VLOOKUP($P397,Member_Tab,7,FALSE())),1,0))  )</f>
        <v>0</v>
      </c>
      <c r="AJ397" s="76" t="n">
        <f aca="false">IF(ISERROR(VLOOKUP($P397,Member_Tab,4,FALSE())),0,(VLOOKUP($P397,Member_Tab,4,FALSE()) * 0.2 * AJ$7) * (IF(AND(AJ$5 &gt;= VLOOKUP($P397,Member_Tab,6,FALSE()), AJ$5 &lt;= VLOOKUP($P397,Member_Tab,7,FALSE())),1,0))  )</f>
        <v>0</v>
      </c>
      <c r="AK397" s="76" t="n">
        <f aca="false">IF(ISERROR(VLOOKUP($P397,Member_Tab,4,FALSE())),0,(VLOOKUP($P397,Member_Tab,4,FALSE()) * 0.2 * AK$7) * (IF(AND(AK$5 &gt;= VLOOKUP($P397,Member_Tab,6,FALSE()), AK$5 &lt;= VLOOKUP($P397,Member_Tab,7,FALSE())),1,0))  )</f>
        <v>0</v>
      </c>
      <c r="AL397" s="76" t="n">
        <f aca="false">IF(ISERROR(VLOOKUP($P397,Member_Tab,4,FALSE())),0,(VLOOKUP($P397,Member_Tab,4,FALSE()) * 0.2 * AL$7) * (IF(AND(AL$5 &gt;= VLOOKUP($P397,Member_Tab,6,FALSE()), AL$5 &lt;= VLOOKUP($P397,Member_Tab,7,FALSE())),1,0))  )</f>
        <v>0</v>
      </c>
      <c r="AM397" s="76" t="n">
        <f aca="false">IF(ISERROR(VLOOKUP($P397,Member_Tab,4,FALSE())),0,(VLOOKUP($P397,Member_Tab,4,FALSE()) * 0.2 * AM$7) * (IF(AND(AM$5 &gt;= VLOOKUP($P397,Member_Tab,6,FALSE()), AM$5 &lt;= VLOOKUP($P397,Member_Tab,7,FALSE())),1,0))  )</f>
        <v>0</v>
      </c>
      <c r="AN397" s="76" t="n">
        <f aca="false">IF(ISERROR(VLOOKUP($P397,Member_Tab,4,FALSE())),0,(VLOOKUP($P397,Member_Tab,4,FALSE()) * 0.2 * AN$7) * (IF(AND(AN$5 &gt;= VLOOKUP($P397,Member_Tab,6,FALSE()), AN$5 &lt;= VLOOKUP($P397,Member_Tab,7,FALSE())),1,0))  )</f>
        <v>0</v>
      </c>
      <c r="AO397" s="76" t="n">
        <f aca="false">IF(ISERROR(VLOOKUP($P397,Member_Tab,4,FALSE())),0,(VLOOKUP($P397,Member_Tab,4,FALSE()) * 0.2 * AO$7) * (IF(AND(AO$5 &gt;= VLOOKUP($P397,Member_Tab,6,FALSE()), AO$5 &lt;= VLOOKUP($P397,Member_Tab,7,FALSE())),1,0))  )</f>
        <v>0</v>
      </c>
      <c r="AP397" s="76" t="n">
        <f aca="false">IF(ISERROR(VLOOKUP($P397,Member_Tab,4,FALSE())),0,(VLOOKUP($P397,Member_Tab,4,FALSE()) * 0.2 * AP$7) * (IF(AND(AP$5 &gt;= VLOOKUP($P397,Member_Tab,6,FALSE()), AP$5 &lt;= VLOOKUP($P397,Member_Tab,7,FALSE())),1,0))  )</f>
        <v>0</v>
      </c>
      <c r="AQ397" s="76" t="n">
        <f aca="false">IF(ISERROR(VLOOKUP($P397,Member_Tab,4,FALSE())),0,(VLOOKUP($P397,Member_Tab,4,FALSE()) * 0.2 * AQ$7) * (IF(AND(AQ$5 &gt;= VLOOKUP($P397,Member_Tab,6,FALSE()), AQ$5 &lt;= VLOOKUP($P397,Member_Tab,7,FALSE())),1,0))  )</f>
        <v>0</v>
      </c>
      <c r="AR397" s="76" t="n">
        <f aca="false">IF(ISERROR(VLOOKUP($P397,Member_Tab,4,FALSE())),0,(VLOOKUP($P397,Member_Tab,4,FALSE()) * 0.2 * AR$7) * (IF(AND(AR$5 &gt;= VLOOKUP($P397,Member_Tab,6,FALSE()), AR$5 &lt;= VLOOKUP($P397,Member_Tab,7,FALSE())),1,0))  )</f>
        <v>0</v>
      </c>
      <c r="AS397" s="76" t="n">
        <f aca="false">IF(ISERROR(VLOOKUP($P397,Member_Tab,4,FALSE())),0,(VLOOKUP($P397,Member_Tab,4,FALSE()) * 0.2 * AS$7) * (IF(AND(AS$5 &gt;= VLOOKUP($P397,Member_Tab,6,FALSE()), AS$5 &lt;= VLOOKUP($P397,Member_Tab,7,FALSE())),1,0))  )</f>
        <v>0</v>
      </c>
      <c r="AT397" s="76" t="n">
        <f aca="false">IF(ISERROR(VLOOKUP($P397,Member_Tab,4,FALSE())),0,(VLOOKUP($P397,Member_Tab,4,FALSE()) * 0.2 * AT$7) * (IF(AND(AT$5 &gt;= VLOOKUP($P397,Member_Tab,6,FALSE()), AT$5 &lt;= VLOOKUP($P397,Member_Tab,7,FALSE())),1,0))  )</f>
        <v>0</v>
      </c>
      <c r="AU397" s="76" t="n">
        <f aca="false">IF(ISERROR(VLOOKUP($P397,Member_Tab,4,FALSE())),0,(VLOOKUP($P397,Member_Tab,4,FALSE()) * 0.2 * AU$7) * (IF(AND(AU$5 &gt;= VLOOKUP($P397,Member_Tab,6,FALSE()), AU$5 &lt;= VLOOKUP($P397,Member_Tab,7,FALSE())),1,0))  )</f>
        <v>0</v>
      </c>
      <c r="AV397" s="76" t="n">
        <f aca="false">IF(ISERROR(VLOOKUP($P397,Member_Tab,4,FALSE())),0,(VLOOKUP($P397,Member_Tab,4,FALSE()) * 0.2 * AV$7) * (IF(AND(AV$5 &gt;= VLOOKUP($P397,Member_Tab,6,FALSE()), AV$5 &lt;= VLOOKUP($P397,Member_Tab,7,FALSE())),1,0))  )</f>
        <v>0</v>
      </c>
      <c r="AW397" s="76" t="n">
        <f aca="false">IF(ISERROR(VLOOKUP($P397,Member_Tab,4,FALSE())),0,(VLOOKUP($P397,Member_Tab,4,FALSE()) * 0.2 * AW$7) * (IF(AND(AW$5 &gt;= VLOOKUP($P397,Member_Tab,6,FALSE()), AW$5 &lt;= VLOOKUP($P397,Member_Tab,7,FALSE())),1,0))  )</f>
        <v>0</v>
      </c>
      <c r="AX397" s="76" t="n">
        <f aca="false">IF(ISERROR(VLOOKUP($P397,Member_Tab,4,FALSE())),0,(VLOOKUP($P397,Member_Tab,4,FALSE()) * 0.2 * AX$7) * (IF(AND(AX$5 &gt;= VLOOKUP($P397,Member_Tab,6,FALSE()), AX$5 &lt;= VLOOKUP($P397,Member_Tab,7,FALSE())),1,0))  )</f>
        <v>0</v>
      </c>
      <c r="AY397" s="76" t="n">
        <f aca="false">IF(ISERROR(VLOOKUP($P397,Member_Tab,4,FALSE())),0,(VLOOKUP($P397,Member_Tab,4,FALSE()) * 0.2 * AY$7) * (IF(AND(AY$5 &gt;= VLOOKUP($P397,Member_Tab,6,FALSE()), AY$5 &lt;= VLOOKUP($P397,Member_Tab,7,FALSE())),1,0))  )</f>
        <v>0</v>
      </c>
      <c r="AZ397" s="76" t="n">
        <f aca="false">IF(ISERROR(VLOOKUP($P397,Member_Tab,4,FALSE())),0,(VLOOKUP($P397,Member_Tab,4,FALSE()) * 0.2 * AZ$7) * (IF(AND(AZ$5 &gt;= VLOOKUP($P397,Member_Tab,6,FALSE()), AZ$5 &lt;= VLOOKUP($P397,Member_Tab,7,FALSE())),1,0))  )</f>
        <v>0</v>
      </c>
      <c r="BA397" s="76" t="n">
        <f aca="false">IF(ISERROR(VLOOKUP($P397,Member_Tab,4,FALSE())),0,(VLOOKUP($P397,Member_Tab,4,FALSE()) * 0.2 * BA$7) * (IF(AND(BA$5 &gt;= VLOOKUP($P397,Member_Tab,6,FALSE()), BA$5 &lt;= VLOOKUP($P397,Member_Tab,7,FALSE())),1,0))  )</f>
        <v>0</v>
      </c>
      <c r="BB397" s="76" t="n">
        <f aca="false">IF(ISERROR(VLOOKUP($P397,Member_Tab,4,FALSE())),0,(VLOOKUP($P397,Member_Tab,4,FALSE()) * 0.2 * BB$7) * (IF(AND(BB$5 &gt;= VLOOKUP($P397,Member_Tab,6,FALSE()), BB$5 &lt;= VLOOKUP($P397,Member_Tab,7,FALSE())),1,0))  )</f>
        <v>0</v>
      </c>
    </row>
    <row r="398" s="173" customFormat="true" ht="15" hidden="true" customHeight="false" outlineLevel="1" collapsed="false">
      <c r="E398" s="40"/>
      <c r="K398" s="40"/>
      <c r="L398" s="40"/>
      <c r="M398" s="40"/>
      <c r="N398" s="40"/>
      <c r="P398" s="177" t="str">
        <f aca="false">P261</f>
        <v>Lastname8, Firstname8</v>
      </c>
      <c r="Q398" s="40"/>
      <c r="R398" s="178"/>
      <c r="S398" s="76" t="n">
        <f aca="false">IF(ISERROR(VLOOKUP($P398,Member_Tab,4,FALSE())),0,(VLOOKUP($P398,Member_Tab,4,FALSE()) * 0.2 * S$7) * (IF(AND(S$5 &gt;= VLOOKUP($P398,Member_Tab,6,FALSE()), S$5 &lt;= VLOOKUP($P398,Member_Tab,7,FALSE())),1,0))  )</f>
        <v>0</v>
      </c>
      <c r="T398" s="76" t="n">
        <f aca="false">IF(ISERROR(VLOOKUP($P398,Member_Tab,4,FALSE())),0,(VLOOKUP($P398,Member_Tab,4,FALSE()) * 0.2 * T$7) * (IF(AND(T$5 &gt;= VLOOKUP($P398,Member_Tab,6,FALSE()), T$5 &lt;= VLOOKUP($P398,Member_Tab,7,FALSE())),1,0))  )</f>
        <v>0</v>
      </c>
      <c r="U398" s="76" t="n">
        <f aca="false">IF(ISERROR(VLOOKUP($P398,Member_Tab,4,FALSE())),0,(VLOOKUP($P398,Member_Tab,4,FALSE()) * 0.2 * U$7) * (IF(AND(U$5 &gt;= VLOOKUP($P398,Member_Tab,6,FALSE()), U$5 &lt;= VLOOKUP($P398,Member_Tab,7,FALSE())),1,0))  )</f>
        <v>0</v>
      </c>
      <c r="V398" s="76" t="n">
        <f aca="false">IF(ISERROR(VLOOKUP($P398,Member_Tab,4,FALSE())),0,(VLOOKUP($P398,Member_Tab,4,FALSE()) * 0.2 * V$7) * (IF(AND(V$5 &gt;= VLOOKUP($P398,Member_Tab,6,FALSE()), V$5 &lt;= VLOOKUP($P398,Member_Tab,7,FALSE())),1,0))  )</f>
        <v>0</v>
      </c>
      <c r="W398" s="76" t="n">
        <f aca="false">IF(ISERROR(VLOOKUP($P398,Member_Tab,4,FALSE())),0,(VLOOKUP($P398,Member_Tab,4,FALSE()) * 0.2 * W$7) * (IF(AND(W$5 &gt;= VLOOKUP($P398,Member_Tab,6,FALSE()), W$5 &lt;= VLOOKUP($P398,Member_Tab,7,FALSE())),1,0))  )</f>
        <v>0</v>
      </c>
      <c r="X398" s="76" t="n">
        <f aca="false">IF(ISERROR(VLOOKUP($P398,Member_Tab,4,FALSE())),0,(VLOOKUP($P398,Member_Tab,4,FALSE()) * 0.2 * X$7) * (IF(AND(X$5 &gt;= VLOOKUP($P398,Member_Tab,6,FALSE()), X$5 &lt;= VLOOKUP($P398,Member_Tab,7,FALSE())),1,0))  )</f>
        <v>0</v>
      </c>
      <c r="Y398" s="76" t="n">
        <f aca="false">IF(ISERROR(VLOOKUP($P398,Member_Tab,4,FALSE())),0,(VLOOKUP($P398,Member_Tab,4,FALSE()) * 0.2 * Y$7) * (IF(AND(Y$5 &gt;= VLOOKUP($P398,Member_Tab,6,FALSE()), Y$5 &lt;= VLOOKUP($P398,Member_Tab,7,FALSE())),1,0))  )</f>
        <v>0</v>
      </c>
      <c r="Z398" s="76" t="n">
        <f aca="false">IF(ISERROR(VLOOKUP($P398,Member_Tab,4,FALSE())),0,(VLOOKUP($P398,Member_Tab,4,FALSE()) * 0.2 * Z$7) * (IF(AND(Z$5 &gt;= VLOOKUP($P398,Member_Tab,6,FALSE()), Z$5 &lt;= VLOOKUP($P398,Member_Tab,7,FALSE())),1,0))  )</f>
        <v>0</v>
      </c>
      <c r="AA398" s="76" t="n">
        <f aca="false">IF(ISERROR(VLOOKUP($P398,Member_Tab,4,FALSE())),0,(VLOOKUP($P398,Member_Tab,4,FALSE()) * 0.2 * AA$7) * (IF(AND(AA$5 &gt;= VLOOKUP($P398,Member_Tab,6,FALSE()), AA$5 &lt;= VLOOKUP($P398,Member_Tab,7,FALSE())),1,0))  )</f>
        <v>0</v>
      </c>
      <c r="AB398" s="76" t="n">
        <f aca="false">IF(ISERROR(VLOOKUP($P398,Member_Tab,4,FALSE())),0,(VLOOKUP($P398,Member_Tab,4,FALSE()) * 0.2 * AB$7) * (IF(AND(AB$5 &gt;= VLOOKUP($P398,Member_Tab,6,FALSE()), AB$5 &lt;= VLOOKUP($P398,Member_Tab,7,FALSE())),1,0))  )</f>
        <v>0</v>
      </c>
      <c r="AC398" s="76" t="n">
        <f aca="false">IF(ISERROR(VLOOKUP($P398,Member_Tab,4,FALSE())),0,(VLOOKUP($P398,Member_Tab,4,FALSE()) * 0.2 * AC$7) * (IF(AND(AC$5 &gt;= VLOOKUP($P398,Member_Tab,6,FALSE()), AC$5 &lt;= VLOOKUP($P398,Member_Tab,7,FALSE())),1,0))  )</f>
        <v>0</v>
      </c>
      <c r="AD398" s="76" t="n">
        <f aca="false">IF(ISERROR(VLOOKUP($P398,Member_Tab,4,FALSE())),0,(VLOOKUP($P398,Member_Tab,4,FALSE()) * 0.2 * AD$7) * (IF(AND(AD$5 &gt;= VLOOKUP($P398,Member_Tab,6,FALSE()), AD$5 &lt;= VLOOKUP($P398,Member_Tab,7,FALSE())),1,0))  )</f>
        <v>0</v>
      </c>
      <c r="AE398" s="76" t="n">
        <f aca="false">IF(ISERROR(VLOOKUP($P398,Member_Tab,4,FALSE())),0,(VLOOKUP($P398,Member_Tab,4,FALSE()) * 0.2 * AE$7) * (IF(AND(AE$5 &gt;= VLOOKUP($P398,Member_Tab,6,FALSE()), AE$5 &lt;= VLOOKUP($P398,Member_Tab,7,FALSE())),1,0))  )</f>
        <v>0</v>
      </c>
      <c r="AF398" s="76" t="n">
        <f aca="false">IF(ISERROR(VLOOKUP($P398,Member_Tab,4,FALSE())),0,(VLOOKUP($P398,Member_Tab,4,FALSE()) * 0.2 * AF$7) * (IF(AND(AF$5 &gt;= VLOOKUP($P398,Member_Tab,6,FALSE()), AF$5 &lt;= VLOOKUP($P398,Member_Tab,7,FALSE())),1,0))  )</f>
        <v>0</v>
      </c>
      <c r="AG398" s="76" t="n">
        <f aca="false">IF(ISERROR(VLOOKUP($P398,Member_Tab,4,FALSE())),0,(VLOOKUP($P398,Member_Tab,4,FALSE()) * 0.2 * AG$7) * (IF(AND(AG$5 &gt;= VLOOKUP($P398,Member_Tab,6,FALSE()), AG$5 &lt;= VLOOKUP($P398,Member_Tab,7,FALSE())),1,0))  )</f>
        <v>0</v>
      </c>
      <c r="AH398" s="76" t="n">
        <f aca="false">IF(ISERROR(VLOOKUP($P398,Member_Tab,4,FALSE())),0,(VLOOKUP($P398,Member_Tab,4,FALSE()) * 0.2 * AH$7) * (IF(AND(AH$5 &gt;= VLOOKUP($P398,Member_Tab,6,FALSE()), AH$5 &lt;= VLOOKUP($P398,Member_Tab,7,FALSE())),1,0))  )</f>
        <v>0</v>
      </c>
      <c r="AI398" s="76" t="n">
        <f aca="false">IF(ISERROR(VLOOKUP($P398,Member_Tab,4,FALSE())),0,(VLOOKUP($P398,Member_Tab,4,FALSE()) * 0.2 * AI$7) * (IF(AND(AI$5 &gt;= VLOOKUP($P398,Member_Tab,6,FALSE()), AI$5 &lt;= VLOOKUP($P398,Member_Tab,7,FALSE())),1,0))  )</f>
        <v>0</v>
      </c>
      <c r="AJ398" s="76" t="n">
        <f aca="false">IF(ISERROR(VLOOKUP($P398,Member_Tab,4,FALSE())),0,(VLOOKUP($P398,Member_Tab,4,FALSE()) * 0.2 * AJ$7) * (IF(AND(AJ$5 &gt;= VLOOKUP($P398,Member_Tab,6,FALSE()), AJ$5 &lt;= VLOOKUP($P398,Member_Tab,7,FALSE())),1,0))  )</f>
        <v>0</v>
      </c>
      <c r="AK398" s="76" t="n">
        <f aca="false">IF(ISERROR(VLOOKUP($P398,Member_Tab,4,FALSE())),0,(VLOOKUP($P398,Member_Tab,4,FALSE()) * 0.2 * AK$7) * (IF(AND(AK$5 &gt;= VLOOKUP($P398,Member_Tab,6,FALSE()), AK$5 &lt;= VLOOKUP($P398,Member_Tab,7,FALSE())),1,0))  )</f>
        <v>0</v>
      </c>
      <c r="AL398" s="76" t="n">
        <f aca="false">IF(ISERROR(VLOOKUP($P398,Member_Tab,4,FALSE())),0,(VLOOKUP($P398,Member_Tab,4,FALSE()) * 0.2 * AL$7) * (IF(AND(AL$5 &gt;= VLOOKUP($P398,Member_Tab,6,FALSE()), AL$5 &lt;= VLOOKUP($P398,Member_Tab,7,FALSE())),1,0))  )</f>
        <v>0</v>
      </c>
      <c r="AM398" s="76" t="n">
        <f aca="false">IF(ISERROR(VLOOKUP($P398,Member_Tab,4,FALSE())),0,(VLOOKUP($P398,Member_Tab,4,FALSE()) * 0.2 * AM$7) * (IF(AND(AM$5 &gt;= VLOOKUP($P398,Member_Tab,6,FALSE()), AM$5 &lt;= VLOOKUP($P398,Member_Tab,7,FALSE())),1,0))  )</f>
        <v>0</v>
      </c>
      <c r="AN398" s="76" t="n">
        <f aca="false">IF(ISERROR(VLOOKUP($P398,Member_Tab,4,FALSE())),0,(VLOOKUP($P398,Member_Tab,4,FALSE()) * 0.2 * AN$7) * (IF(AND(AN$5 &gt;= VLOOKUP($P398,Member_Tab,6,FALSE()), AN$5 &lt;= VLOOKUP($P398,Member_Tab,7,FALSE())),1,0))  )</f>
        <v>0</v>
      </c>
      <c r="AO398" s="76" t="n">
        <f aca="false">IF(ISERROR(VLOOKUP($P398,Member_Tab,4,FALSE())),0,(VLOOKUP($P398,Member_Tab,4,FALSE()) * 0.2 * AO$7) * (IF(AND(AO$5 &gt;= VLOOKUP($P398,Member_Tab,6,FALSE()), AO$5 &lt;= VLOOKUP($P398,Member_Tab,7,FALSE())),1,0))  )</f>
        <v>0</v>
      </c>
      <c r="AP398" s="76" t="n">
        <f aca="false">IF(ISERROR(VLOOKUP($P398,Member_Tab,4,FALSE())),0,(VLOOKUP($P398,Member_Tab,4,FALSE()) * 0.2 * AP$7) * (IF(AND(AP$5 &gt;= VLOOKUP($P398,Member_Tab,6,FALSE()), AP$5 &lt;= VLOOKUP($P398,Member_Tab,7,FALSE())),1,0))  )</f>
        <v>0</v>
      </c>
      <c r="AQ398" s="76" t="n">
        <f aca="false">IF(ISERROR(VLOOKUP($P398,Member_Tab,4,FALSE())),0,(VLOOKUP($P398,Member_Tab,4,FALSE()) * 0.2 * AQ$7) * (IF(AND(AQ$5 &gt;= VLOOKUP($P398,Member_Tab,6,FALSE()), AQ$5 &lt;= VLOOKUP($P398,Member_Tab,7,FALSE())),1,0))  )</f>
        <v>0</v>
      </c>
      <c r="AR398" s="76" t="n">
        <f aca="false">IF(ISERROR(VLOOKUP($P398,Member_Tab,4,FALSE())),0,(VLOOKUP($P398,Member_Tab,4,FALSE()) * 0.2 * AR$7) * (IF(AND(AR$5 &gt;= VLOOKUP($P398,Member_Tab,6,FALSE()), AR$5 &lt;= VLOOKUP($P398,Member_Tab,7,FALSE())),1,0))  )</f>
        <v>0</v>
      </c>
      <c r="AS398" s="76" t="n">
        <f aca="false">IF(ISERROR(VLOOKUP($P398,Member_Tab,4,FALSE())),0,(VLOOKUP($P398,Member_Tab,4,FALSE()) * 0.2 * AS$7) * (IF(AND(AS$5 &gt;= VLOOKUP($P398,Member_Tab,6,FALSE()), AS$5 &lt;= VLOOKUP($P398,Member_Tab,7,FALSE())),1,0))  )</f>
        <v>0</v>
      </c>
      <c r="AT398" s="76" t="n">
        <f aca="false">IF(ISERROR(VLOOKUP($P398,Member_Tab,4,FALSE())),0,(VLOOKUP($P398,Member_Tab,4,FALSE()) * 0.2 * AT$7) * (IF(AND(AT$5 &gt;= VLOOKUP($P398,Member_Tab,6,FALSE()), AT$5 &lt;= VLOOKUP($P398,Member_Tab,7,FALSE())),1,0))  )</f>
        <v>0</v>
      </c>
      <c r="AU398" s="76" t="n">
        <f aca="false">IF(ISERROR(VLOOKUP($P398,Member_Tab,4,FALSE())),0,(VLOOKUP($P398,Member_Tab,4,FALSE()) * 0.2 * AU$7) * (IF(AND(AU$5 &gt;= VLOOKUP($P398,Member_Tab,6,FALSE()), AU$5 &lt;= VLOOKUP($P398,Member_Tab,7,FALSE())),1,0))  )</f>
        <v>0</v>
      </c>
      <c r="AV398" s="76" t="n">
        <f aca="false">IF(ISERROR(VLOOKUP($P398,Member_Tab,4,FALSE())),0,(VLOOKUP($P398,Member_Tab,4,FALSE()) * 0.2 * AV$7) * (IF(AND(AV$5 &gt;= VLOOKUP($P398,Member_Tab,6,FALSE()), AV$5 &lt;= VLOOKUP($P398,Member_Tab,7,FALSE())),1,0))  )</f>
        <v>0</v>
      </c>
      <c r="AW398" s="76" t="n">
        <f aca="false">IF(ISERROR(VLOOKUP($P398,Member_Tab,4,FALSE())),0,(VLOOKUP($P398,Member_Tab,4,FALSE()) * 0.2 * AW$7) * (IF(AND(AW$5 &gt;= VLOOKUP($P398,Member_Tab,6,FALSE()), AW$5 &lt;= VLOOKUP($P398,Member_Tab,7,FALSE())),1,0))  )</f>
        <v>0</v>
      </c>
      <c r="AX398" s="76" t="n">
        <f aca="false">IF(ISERROR(VLOOKUP($P398,Member_Tab,4,FALSE())),0,(VLOOKUP($P398,Member_Tab,4,FALSE()) * 0.2 * AX$7) * (IF(AND(AX$5 &gt;= VLOOKUP($P398,Member_Tab,6,FALSE()), AX$5 &lt;= VLOOKUP($P398,Member_Tab,7,FALSE())),1,0))  )</f>
        <v>0</v>
      </c>
      <c r="AY398" s="76" t="n">
        <f aca="false">IF(ISERROR(VLOOKUP($P398,Member_Tab,4,FALSE())),0,(VLOOKUP($P398,Member_Tab,4,FALSE()) * 0.2 * AY$7) * (IF(AND(AY$5 &gt;= VLOOKUP($P398,Member_Tab,6,FALSE()), AY$5 &lt;= VLOOKUP($P398,Member_Tab,7,FALSE())),1,0))  )</f>
        <v>0</v>
      </c>
      <c r="AZ398" s="76" t="n">
        <f aca="false">IF(ISERROR(VLOOKUP($P398,Member_Tab,4,FALSE())),0,(VLOOKUP($P398,Member_Tab,4,FALSE()) * 0.2 * AZ$7) * (IF(AND(AZ$5 &gt;= VLOOKUP($P398,Member_Tab,6,FALSE()), AZ$5 &lt;= VLOOKUP($P398,Member_Tab,7,FALSE())),1,0))  )</f>
        <v>0</v>
      </c>
      <c r="BA398" s="76" t="n">
        <f aca="false">IF(ISERROR(VLOOKUP($P398,Member_Tab,4,FALSE())),0,(VLOOKUP($P398,Member_Tab,4,FALSE()) * 0.2 * BA$7) * (IF(AND(BA$5 &gt;= VLOOKUP($P398,Member_Tab,6,FALSE()), BA$5 &lt;= VLOOKUP($P398,Member_Tab,7,FALSE())),1,0))  )</f>
        <v>0</v>
      </c>
      <c r="BB398" s="76" t="n">
        <f aca="false">IF(ISERROR(VLOOKUP($P398,Member_Tab,4,FALSE())),0,(VLOOKUP($P398,Member_Tab,4,FALSE()) * 0.2 * BB$7) * (IF(AND(BB$5 &gt;= VLOOKUP($P398,Member_Tab,6,FALSE()), BB$5 &lt;= VLOOKUP($P398,Member_Tab,7,FALSE())),1,0))  )</f>
        <v>0</v>
      </c>
    </row>
    <row r="399" s="173" customFormat="true" ht="15" hidden="true" customHeight="false" outlineLevel="1" collapsed="false">
      <c r="E399" s="40"/>
      <c r="K399" s="40"/>
      <c r="L399" s="40"/>
      <c r="M399" s="40"/>
      <c r="N399" s="40"/>
      <c r="P399" s="177" t="str">
        <f aca="false">P262</f>
        <v>Lastname9, Firstname9</v>
      </c>
      <c r="Q399" s="40"/>
      <c r="R399" s="178"/>
      <c r="S399" s="76" t="n">
        <f aca="false">IF(ISERROR(VLOOKUP($P399,Member_Tab,4,FALSE())),0,(VLOOKUP($P399,Member_Tab,4,FALSE()) * 0.2 * S$7) * (IF(AND(S$5 &gt;= VLOOKUP($P399,Member_Tab,6,FALSE()), S$5 &lt;= VLOOKUP($P399,Member_Tab,7,FALSE())),1,0))  )</f>
        <v>0</v>
      </c>
      <c r="T399" s="76" t="n">
        <f aca="false">IF(ISERROR(VLOOKUP($P399,Member_Tab,4,FALSE())),0,(VLOOKUP($P399,Member_Tab,4,FALSE()) * 0.2 * T$7) * (IF(AND(T$5 &gt;= VLOOKUP($P399,Member_Tab,6,FALSE()), T$5 &lt;= VLOOKUP($P399,Member_Tab,7,FALSE())),1,0))  )</f>
        <v>0</v>
      </c>
      <c r="U399" s="76" t="n">
        <f aca="false">IF(ISERROR(VLOOKUP($P399,Member_Tab,4,FALSE())),0,(VLOOKUP($P399,Member_Tab,4,FALSE()) * 0.2 * U$7) * (IF(AND(U$5 &gt;= VLOOKUP($P399,Member_Tab,6,FALSE()), U$5 &lt;= VLOOKUP($P399,Member_Tab,7,FALSE())),1,0))  )</f>
        <v>0</v>
      </c>
      <c r="V399" s="76" t="n">
        <f aca="false">IF(ISERROR(VLOOKUP($P399,Member_Tab,4,FALSE())),0,(VLOOKUP($P399,Member_Tab,4,FALSE()) * 0.2 * V$7) * (IF(AND(V$5 &gt;= VLOOKUP($P399,Member_Tab,6,FALSE()), V$5 &lt;= VLOOKUP($P399,Member_Tab,7,FALSE())),1,0))  )</f>
        <v>0</v>
      </c>
      <c r="W399" s="76" t="n">
        <f aca="false">IF(ISERROR(VLOOKUP($P399,Member_Tab,4,FALSE())),0,(VLOOKUP($P399,Member_Tab,4,FALSE()) * 0.2 * W$7) * (IF(AND(W$5 &gt;= VLOOKUP($P399,Member_Tab,6,FALSE()), W$5 &lt;= VLOOKUP($P399,Member_Tab,7,FALSE())),1,0))  )</f>
        <v>0</v>
      </c>
      <c r="X399" s="76" t="n">
        <f aca="false">IF(ISERROR(VLOOKUP($P399,Member_Tab,4,FALSE())),0,(VLOOKUP($P399,Member_Tab,4,FALSE()) * 0.2 * X$7) * (IF(AND(X$5 &gt;= VLOOKUP($P399,Member_Tab,6,FALSE()), X$5 &lt;= VLOOKUP($P399,Member_Tab,7,FALSE())),1,0))  )</f>
        <v>0</v>
      </c>
      <c r="Y399" s="76" t="n">
        <f aca="false">IF(ISERROR(VLOOKUP($P399,Member_Tab,4,FALSE())),0,(VLOOKUP($P399,Member_Tab,4,FALSE()) * 0.2 * Y$7) * (IF(AND(Y$5 &gt;= VLOOKUP($P399,Member_Tab,6,FALSE()), Y$5 &lt;= VLOOKUP($P399,Member_Tab,7,FALSE())),1,0))  )</f>
        <v>0</v>
      </c>
      <c r="Z399" s="76" t="n">
        <f aca="false">IF(ISERROR(VLOOKUP($P399,Member_Tab,4,FALSE())),0,(VLOOKUP($P399,Member_Tab,4,FALSE()) * 0.2 * Z$7) * (IF(AND(Z$5 &gt;= VLOOKUP($P399,Member_Tab,6,FALSE()), Z$5 &lt;= VLOOKUP($P399,Member_Tab,7,FALSE())),1,0))  )</f>
        <v>0</v>
      </c>
      <c r="AA399" s="76" t="n">
        <f aca="false">IF(ISERROR(VLOOKUP($P399,Member_Tab,4,FALSE())),0,(VLOOKUP($P399,Member_Tab,4,FALSE()) * 0.2 * AA$7) * (IF(AND(AA$5 &gt;= VLOOKUP($P399,Member_Tab,6,FALSE()), AA$5 &lt;= VLOOKUP($P399,Member_Tab,7,FALSE())),1,0))  )</f>
        <v>0</v>
      </c>
      <c r="AB399" s="76" t="n">
        <f aca="false">IF(ISERROR(VLOOKUP($P399,Member_Tab,4,FALSE())),0,(VLOOKUP($P399,Member_Tab,4,FALSE()) * 0.2 * AB$7) * (IF(AND(AB$5 &gt;= VLOOKUP($P399,Member_Tab,6,FALSE()), AB$5 &lt;= VLOOKUP($P399,Member_Tab,7,FALSE())),1,0))  )</f>
        <v>0</v>
      </c>
      <c r="AC399" s="76" t="n">
        <f aca="false">IF(ISERROR(VLOOKUP($P399,Member_Tab,4,FALSE())),0,(VLOOKUP($P399,Member_Tab,4,FALSE()) * 0.2 * AC$7) * (IF(AND(AC$5 &gt;= VLOOKUP($P399,Member_Tab,6,FALSE()), AC$5 &lt;= VLOOKUP($P399,Member_Tab,7,FALSE())),1,0))  )</f>
        <v>0</v>
      </c>
      <c r="AD399" s="76" t="n">
        <f aca="false">IF(ISERROR(VLOOKUP($P399,Member_Tab,4,FALSE())),0,(VLOOKUP($P399,Member_Tab,4,FALSE()) * 0.2 * AD$7) * (IF(AND(AD$5 &gt;= VLOOKUP($P399,Member_Tab,6,FALSE()), AD$5 &lt;= VLOOKUP($P399,Member_Tab,7,FALSE())),1,0))  )</f>
        <v>0</v>
      </c>
      <c r="AE399" s="76" t="n">
        <f aca="false">IF(ISERROR(VLOOKUP($P399,Member_Tab,4,FALSE())),0,(VLOOKUP($P399,Member_Tab,4,FALSE()) * 0.2 * AE$7) * (IF(AND(AE$5 &gt;= VLOOKUP($P399,Member_Tab,6,FALSE()), AE$5 &lt;= VLOOKUP($P399,Member_Tab,7,FALSE())),1,0))  )</f>
        <v>0</v>
      </c>
      <c r="AF399" s="76" t="n">
        <f aca="false">IF(ISERROR(VLOOKUP($P399,Member_Tab,4,FALSE())),0,(VLOOKUP($P399,Member_Tab,4,FALSE()) * 0.2 * AF$7) * (IF(AND(AF$5 &gt;= VLOOKUP($P399,Member_Tab,6,FALSE()), AF$5 &lt;= VLOOKUP($P399,Member_Tab,7,FALSE())),1,0))  )</f>
        <v>0</v>
      </c>
      <c r="AG399" s="76" t="n">
        <f aca="false">IF(ISERROR(VLOOKUP($P399,Member_Tab,4,FALSE())),0,(VLOOKUP($P399,Member_Tab,4,FALSE()) * 0.2 * AG$7) * (IF(AND(AG$5 &gt;= VLOOKUP($P399,Member_Tab,6,FALSE()), AG$5 &lt;= VLOOKUP($P399,Member_Tab,7,FALSE())),1,0))  )</f>
        <v>0</v>
      </c>
      <c r="AH399" s="76" t="n">
        <f aca="false">IF(ISERROR(VLOOKUP($P399,Member_Tab,4,FALSE())),0,(VLOOKUP($P399,Member_Tab,4,FALSE()) * 0.2 * AH$7) * (IF(AND(AH$5 &gt;= VLOOKUP($P399,Member_Tab,6,FALSE()), AH$5 &lt;= VLOOKUP($P399,Member_Tab,7,FALSE())),1,0))  )</f>
        <v>0</v>
      </c>
      <c r="AI399" s="76" t="n">
        <f aca="false">IF(ISERROR(VLOOKUP($P399,Member_Tab,4,FALSE())),0,(VLOOKUP($P399,Member_Tab,4,FALSE()) * 0.2 * AI$7) * (IF(AND(AI$5 &gt;= VLOOKUP($P399,Member_Tab,6,FALSE()), AI$5 &lt;= VLOOKUP($P399,Member_Tab,7,FALSE())),1,0))  )</f>
        <v>0</v>
      </c>
      <c r="AJ399" s="76" t="n">
        <f aca="false">IF(ISERROR(VLOOKUP($P399,Member_Tab,4,FALSE())),0,(VLOOKUP($P399,Member_Tab,4,FALSE()) * 0.2 * AJ$7) * (IF(AND(AJ$5 &gt;= VLOOKUP($P399,Member_Tab,6,FALSE()), AJ$5 &lt;= VLOOKUP($P399,Member_Tab,7,FALSE())),1,0))  )</f>
        <v>0</v>
      </c>
      <c r="AK399" s="76" t="n">
        <f aca="false">IF(ISERROR(VLOOKUP($P399,Member_Tab,4,FALSE())),0,(VLOOKUP($P399,Member_Tab,4,FALSE()) * 0.2 * AK$7) * (IF(AND(AK$5 &gt;= VLOOKUP($P399,Member_Tab,6,FALSE()), AK$5 &lt;= VLOOKUP($P399,Member_Tab,7,FALSE())),1,0))  )</f>
        <v>0</v>
      </c>
      <c r="AL399" s="76" t="n">
        <f aca="false">IF(ISERROR(VLOOKUP($P399,Member_Tab,4,FALSE())),0,(VLOOKUP($P399,Member_Tab,4,FALSE()) * 0.2 * AL$7) * (IF(AND(AL$5 &gt;= VLOOKUP($P399,Member_Tab,6,FALSE()), AL$5 &lt;= VLOOKUP($P399,Member_Tab,7,FALSE())),1,0))  )</f>
        <v>0</v>
      </c>
      <c r="AM399" s="76" t="n">
        <f aca="false">IF(ISERROR(VLOOKUP($P399,Member_Tab,4,FALSE())),0,(VLOOKUP($P399,Member_Tab,4,FALSE()) * 0.2 * AM$7) * (IF(AND(AM$5 &gt;= VLOOKUP($P399,Member_Tab,6,FALSE()), AM$5 &lt;= VLOOKUP($P399,Member_Tab,7,FALSE())),1,0))  )</f>
        <v>0</v>
      </c>
      <c r="AN399" s="76" t="n">
        <f aca="false">IF(ISERROR(VLOOKUP($P399,Member_Tab,4,FALSE())),0,(VLOOKUP($P399,Member_Tab,4,FALSE()) * 0.2 * AN$7) * (IF(AND(AN$5 &gt;= VLOOKUP($P399,Member_Tab,6,FALSE()), AN$5 &lt;= VLOOKUP($P399,Member_Tab,7,FALSE())),1,0))  )</f>
        <v>0</v>
      </c>
      <c r="AO399" s="76" t="n">
        <f aca="false">IF(ISERROR(VLOOKUP($P399,Member_Tab,4,FALSE())),0,(VLOOKUP($P399,Member_Tab,4,FALSE()) * 0.2 * AO$7) * (IF(AND(AO$5 &gt;= VLOOKUP($P399,Member_Tab,6,FALSE()), AO$5 &lt;= VLOOKUP($P399,Member_Tab,7,FALSE())),1,0))  )</f>
        <v>0</v>
      </c>
      <c r="AP399" s="76" t="n">
        <f aca="false">IF(ISERROR(VLOOKUP($P399,Member_Tab,4,FALSE())),0,(VLOOKUP($P399,Member_Tab,4,FALSE()) * 0.2 * AP$7) * (IF(AND(AP$5 &gt;= VLOOKUP($P399,Member_Tab,6,FALSE()), AP$5 &lt;= VLOOKUP($P399,Member_Tab,7,FALSE())),1,0))  )</f>
        <v>0</v>
      </c>
      <c r="AQ399" s="76" t="n">
        <f aca="false">IF(ISERROR(VLOOKUP($P399,Member_Tab,4,FALSE())),0,(VLOOKUP($P399,Member_Tab,4,FALSE()) * 0.2 * AQ$7) * (IF(AND(AQ$5 &gt;= VLOOKUP($P399,Member_Tab,6,FALSE()), AQ$5 &lt;= VLOOKUP($P399,Member_Tab,7,FALSE())),1,0))  )</f>
        <v>0</v>
      </c>
      <c r="AR399" s="76" t="n">
        <f aca="false">IF(ISERROR(VLOOKUP($P399,Member_Tab,4,FALSE())),0,(VLOOKUP($P399,Member_Tab,4,FALSE()) * 0.2 * AR$7) * (IF(AND(AR$5 &gt;= VLOOKUP($P399,Member_Tab,6,FALSE()), AR$5 &lt;= VLOOKUP($P399,Member_Tab,7,FALSE())),1,0))  )</f>
        <v>0</v>
      </c>
      <c r="AS399" s="76" t="n">
        <f aca="false">IF(ISERROR(VLOOKUP($P399,Member_Tab,4,FALSE())),0,(VLOOKUP($P399,Member_Tab,4,FALSE()) * 0.2 * AS$7) * (IF(AND(AS$5 &gt;= VLOOKUP($P399,Member_Tab,6,FALSE()), AS$5 &lt;= VLOOKUP($P399,Member_Tab,7,FALSE())),1,0))  )</f>
        <v>0</v>
      </c>
      <c r="AT399" s="76" t="n">
        <f aca="false">IF(ISERROR(VLOOKUP($P399,Member_Tab,4,FALSE())),0,(VLOOKUP($P399,Member_Tab,4,FALSE()) * 0.2 * AT$7) * (IF(AND(AT$5 &gt;= VLOOKUP($P399,Member_Tab,6,FALSE()), AT$5 &lt;= VLOOKUP($P399,Member_Tab,7,FALSE())),1,0))  )</f>
        <v>0</v>
      </c>
      <c r="AU399" s="76" t="n">
        <f aca="false">IF(ISERROR(VLOOKUP($P399,Member_Tab,4,FALSE())),0,(VLOOKUP($P399,Member_Tab,4,FALSE()) * 0.2 * AU$7) * (IF(AND(AU$5 &gt;= VLOOKUP($P399,Member_Tab,6,FALSE()), AU$5 &lt;= VLOOKUP($P399,Member_Tab,7,FALSE())),1,0))  )</f>
        <v>0</v>
      </c>
      <c r="AV399" s="76" t="n">
        <f aca="false">IF(ISERROR(VLOOKUP($P399,Member_Tab,4,FALSE())),0,(VLOOKUP($P399,Member_Tab,4,FALSE()) * 0.2 * AV$7) * (IF(AND(AV$5 &gt;= VLOOKUP($P399,Member_Tab,6,FALSE()), AV$5 &lt;= VLOOKUP($P399,Member_Tab,7,FALSE())),1,0))  )</f>
        <v>0</v>
      </c>
      <c r="AW399" s="76" t="n">
        <f aca="false">IF(ISERROR(VLOOKUP($P399,Member_Tab,4,FALSE())),0,(VLOOKUP($P399,Member_Tab,4,FALSE()) * 0.2 * AW$7) * (IF(AND(AW$5 &gt;= VLOOKUP($P399,Member_Tab,6,FALSE()), AW$5 &lt;= VLOOKUP($P399,Member_Tab,7,FALSE())),1,0))  )</f>
        <v>0</v>
      </c>
      <c r="AX399" s="76" t="n">
        <f aca="false">IF(ISERROR(VLOOKUP($P399,Member_Tab,4,FALSE())),0,(VLOOKUP($P399,Member_Tab,4,FALSE()) * 0.2 * AX$7) * (IF(AND(AX$5 &gt;= VLOOKUP($P399,Member_Tab,6,FALSE()), AX$5 &lt;= VLOOKUP($P399,Member_Tab,7,FALSE())),1,0))  )</f>
        <v>0</v>
      </c>
      <c r="AY399" s="76" t="n">
        <f aca="false">IF(ISERROR(VLOOKUP($P399,Member_Tab,4,FALSE())),0,(VLOOKUP($P399,Member_Tab,4,FALSE()) * 0.2 * AY$7) * (IF(AND(AY$5 &gt;= VLOOKUP($P399,Member_Tab,6,FALSE()), AY$5 &lt;= VLOOKUP($P399,Member_Tab,7,FALSE())),1,0))  )</f>
        <v>0</v>
      </c>
      <c r="AZ399" s="76" t="n">
        <f aca="false">IF(ISERROR(VLOOKUP($P399,Member_Tab,4,FALSE())),0,(VLOOKUP($P399,Member_Tab,4,FALSE()) * 0.2 * AZ$7) * (IF(AND(AZ$5 &gt;= VLOOKUP($P399,Member_Tab,6,FALSE()), AZ$5 &lt;= VLOOKUP($P399,Member_Tab,7,FALSE())),1,0))  )</f>
        <v>0</v>
      </c>
      <c r="BA399" s="76" t="n">
        <f aca="false">IF(ISERROR(VLOOKUP($P399,Member_Tab,4,FALSE())),0,(VLOOKUP($P399,Member_Tab,4,FALSE()) * 0.2 * BA$7) * (IF(AND(BA$5 &gt;= VLOOKUP($P399,Member_Tab,6,FALSE()), BA$5 &lt;= VLOOKUP($P399,Member_Tab,7,FALSE())),1,0))  )</f>
        <v>0</v>
      </c>
      <c r="BB399" s="76" t="n">
        <f aca="false">IF(ISERROR(VLOOKUP($P399,Member_Tab,4,FALSE())),0,(VLOOKUP($P399,Member_Tab,4,FALSE()) * 0.2 * BB$7) * (IF(AND(BB$5 &gt;= VLOOKUP($P399,Member_Tab,6,FALSE()), BB$5 &lt;= VLOOKUP($P399,Member_Tab,7,FALSE())),1,0))  )</f>
        <v>0</v>
      </c>
    </row>
    <row r="400" s="173" customFormat="true" ht="15" hidden="true" customHeight="false" outlineLevel="1" collapsed="false">
      <c r="E400" s="40"/>
      <c r="K400" s="40"/>
      <c r="L400" s="40"/>
      <c r="M400" s="40"/>
      <c r="N400" s="40"/>
      <c r="P400" s="177" t="str">
        <f aca="false">P263</f>
        <v>Lastname10, Firstname10</v>
      </c>
      <c r="Q400" s="40"/>
      <c r="R400" s="178"/>
      <c r="S400" s="76" t="n">
        <f aca="false">IF(ISERROR(VLOOKUP($P400,Member_Tab,4,FALSE())),0,(VLOOKUP($P400,Member_Tab,4,FALSE()) * 0.2 * S$7) * (IF(AND(S$5 &gt;= VLOOKUP($P400,Member_Tab,6,FALSE()), S$5 &lt;= VLOOKUP($P400,Member_Tab,7,FALSE())),1,0))  )</f>
        <v>0</v>
      </c>
      <c r="T400" s="76" t="n">
        <f aca="false">IF(ISERROR(VLOOKUP($P400,Member_Tab,4,FALSE())),0,(VLOOKUP($P400,Member_Tab,4,FALSE()) * 0.2 * T$7) * (IF(AND(T$5 &gt;= VLOOKUP($P400,Member_Tab,6,FALSE()), T$5 &lt;= VLOOKUP($P400,Member_Tab,7,FALSE())),1,0))  )</f>
        <v>0</v>
      </c>
      <c r="U400" s="76" t="n">
        <f aca="false">IF(ISERROR(VLOOKUP($P400,Member_Tab,4,FALSE())),0,(VLOOKUP($P400,Member_Tab,4,FALSE()) * 0.2 * U$7) * (IF(AND(U$5 &gt;= VLOOKUP($P400,Member_Tab,6,FALSE()), U$5 &lt;= VLOOKUP($P400,Member_Tab,7,FALSE())),1,0))  )</f>
        <v>0</v>
      </c>
      <c r="V400" s="76" t="n">
        <f aca="false">IF(ISERROR(VLOOKUP($P400,Member_Tab,4,FALSE())),0,(VLOOKUP($P400,Member_Tab,4,FALSE()) * 0.2 * V$7) * (IF(AND(V$5 &gt;= VLOOKUP($P400,Member_Tab,6,FALSE()), V$5 &lt;= VLOOKUP($P400,Member_Tab,7,FALSE())),1,0))  )</f>
        <v>0</v>
      </c>
      <c r="W400" s="76" t="n">
        <f aca="false">IF(ISERROR(VLOOKUP($P400,Member_Tab,4,FALSE())),0,(VLOOKUP($P400,Member_Tab,4,FALSE()) * 0.2 * W$7) * (IF(AND(W$5 &gt;= VLOOKUP($P400,Member_Tab,6,FALSE()), W$5 &lt;= VLOOKUP($P400,Member_Tab,7,FALSE())),1,0))  )</f>
        <v>0</v>
      </c>
      <c r="X400" s="76" t="n">
        <f aca="false">IF(ISERROR(VLOOKUP($P400,Member_Tab,4,FALSE())),0,(VLOOKUP($P400,Member_Tab,4,FALSE()) * 0.2 * X$7) * (IF(AND(X$5 &gt;= VLOOKUP($P400,Member_Tab,6,FALSE()), X$5 &lt;= VLOOKUP($P400,Member_Tab,7,FALSE())),1,0))  )</f>
        <v>0</v>
      </c>
      <c r="Y400" s="76" t="n">
        <f aca="false">IF(ISERROR(VLOOKUP($P400,Member_Tab,4,FALSE())),0,(VLOOKUP($P400,Member_Tab,4,FALSE()) * 0.2 * Y$7) * (IF(AND(Y$5 &gt;= VLOOKUP($P400,Member_Tab,6,FALSE()), Y$5 &lt;= VLOOKUP($P400,Member_Tab,7,FALSE())),1,0))  )</f>
        <v>0</v>
      </c>
      <c r="Z400" s="76" t="n">
        <f aca="false">IF(ISERROR(VLOOKUP($P400,Member_Tab,4,FALSE())),0,(VLOOKUP($P400,Member_Tab,4,FALSE()) * 0.2 * Z$7) * (IF(AND(Z$5 &gt;= VLOOKUP($P400,Member_Tab,6,FALSE()), Z$5 &lt;= VLOOKUP($P400,Member_Tab,7,FALSE())),1,0))  )</f>
        <v>0</v>
      </c>
      <c r="AA400" s="76" t="n">
        <f aca="false">IF(ISERROR(VLOOKUP($P400,Member_Tab,4,FALSE())),0,(VLOOKUP($P400,Member_Tab,4,FALSE()) * 0.2 * AA$7) * (IF(AND(AA$5 &gt;= VLOOKUP($P400,Member_Tab,6,FALSE()), AA$5 &lt;= VLOOKUP($P400,Member_Tab,7,FALSE())),1,0))  )</f>
        <v>0</v>
      </c>
      <c r="AB400" s="76" t="n">
        <f aca="false">IF(ISERROR(VLOOKUP($P400,Member_Tab,4,FALSE())),0,(VLOOKUP($P400,Member_Tab,4,FALSE()) * 0.2 * AB$7) * (IF(AND(AB$5 &gt;= VLOOKUP($P400,Member_Tab,6,FALSE()), AB$5 &lt;= VLOOKUP($P400,Member_Tab,7,FALSE())),1,0))  )</f>
        <v>0</v>
      </c>
      <c r="AC400" s="76" t="n">
        <f aca="false">IF(ISERROR(VLOOKUP($P400,Member_Tab,4,FALSE())),0,(VLOOKUP($P400,Member_Tab,4,FALSE()) * 0.2 * AC$7) * (IF(AND(AC$5 &gt;= VLOOKUP($P400,Member_Tab,6,FALSE()), AC$5 &lt;= VLOOKUP($P400,Member_Tab,7,FALSE())),1,0))  )</f>
        <v>0</v>
      </c>
      <c r="AD400" s="76" t="n">
        <f aca="false">IF(ISERROR(VLOOKUP($P400,Member_Tab,4,FALSE())),0,(VLOOKUP($P400,Member_Tab,4,FALSE()) * 0.2 * AD$7) * (IF(AND(AD$5 &gt;= VLOOKUP($P400,Member_Tab,6,FALSE()), AD$5 &lt;= VLOOKUP($P400,Member_Tab,7,FALSE())),1,0))  )</f>
        <v>0</v>
      </c>
      <c r="AE400" s="76" t="n">
        <f aca="false">IF(ISERROR(VLOOKUP($P400,Member_Tab,4,FALSE())),0,(VLOOKUP($P400,Member_Tab,4,FALSE()) * 0.2 * AE$7) * (IF(AND(AE$5 &gt;= VLOOKUP($P400,Member_Tab,6,FALSE()), AE$5 &lt;= VLOOKUP($P400,Member_Tab,7,FALSE())),1,0))  )</f>
        <v>0</v>
      </c>
      <c r="AF400" s="76" t="n">
        <f aca="false">IF(ISERROR(VLOOKUP($P400,Member_Tab,4,FALSE())),0,(VLOOKUP($P400,Member_Tab,4,FALSE()) * 0.2 * AF$7) * (IF(AND(AF$5 &gt;= VLOOKUP($P400,Member_Tab,6,FALSE()), AF$5 &lt;= VLOOKUP($P400,Member_Tab,7,FALSE())),1,0))  )</f>
        <v>0</v>
      </c>
      <c r="AG400" s="76" t="n">
        <f aca="false">IF(ISERROR(VLOOKUP($P400,Member_Tab,4,FALSE())),0,(VLOOKUP($P400,Member_Tab,4,FALSE()) * 0.2 * AG$7) * (IF(AND(AG$5 &gt;= VLOOKUP($P400,Member_Tab,6,FALSE()), AG$5 &lt;= VLOOKUP($P400,Member_Tab,7,FALSE())),1,0))  )</f>
        <v>0</v>
      </c>
      <c r="AH400" s="76" t="n">
        <f aca="false">IF(ISERROR(VLOOKUP($P400,Member_Tab,4,FALSE())),0,(VLOOKUP($P400,Member_Tab,4,FALSE()) * 0.2 * AH$7) * (IF(AND(AH$5 &gt;= VLOOKUP($P400,Member_Tab,6,FALSE()), AH$5 &lt;= VLOOKUP($P400,Member_Tab,7,FALSE())),1,0))  )</f>
        <v>0</v>
      </c>
      <c r="AI400" s="76" t="n">
        <f aca="false">IF(ISERROR(VLOOKUP($P400,Member_Tab,4,FALSE())),0,(VLOOKUP($P400,Member_Tab,4,FALSE()) * 0.2 * AI$7) * (IF(AND(AI$5 &gt;= VLOOKUP($P400,Member_Tab,6,FALSE()), AI$5 &lt;= VLOOKUP($P400,Member_Tab,7,FALSE())),1,0))  )</f>
        <v>0</v>
      </c>
      <c r="AJ400" s="76" t="n">
        <f aca="false">IF(ISERROR(VLOOKUP($P400,Member_Tab,4,FALSE())),0,(VLOOKUP($P400,Member_Tab,4,FALSE()) * 0.2 * AJ$7) * (IF(AND(AJ$5 &gt;= VLOOKUP($P400,Member_Tab,6,FALSE()), AJ$5 &lt;= VLOOKUP($P400,Member_Tab,7,FALSE())),1,0))  )</f>
        <v>0</v>
      </c>
      <c r="AK400" s="76" t="n">
        <f aca="false">IF(ISERROR(VLOOKUP($P400,Member_Tab,4,FALSE())),0,(VLOOKUP($P400,Member_Tab,4,FALSE()) * 0.2 * AK$7) * (IF(AND(AK$5 &gt;= VLOOKUP($P400,Member_Tab,6,FALSE()), AK$5 &lt;= VLOOKUP($P400,Member_Tab,7,FALSE())),1,0))  )</f>
        <v>0</v>
      </c>
      <c r="AL400" s="76" t="n">
        <f aca="false">IF(ISERROR(VLOOKUP($P400,Member_Tab,4,FALSE())),0,(VLOOKUP($P400,Member_Tab,4,FALSE()) * 0.2 * AL$7) * (IF(AND(AL$5 &gt;= VLOOKUP($P400,Member_Tab,6,FALSE()), AL$5 &lt;= VLOOKUP($P400,Member_Tab,7,FALSE())),1,0))  )</f>
        <v>0</v>
      </c>
      <c r="AM400" s="76" t="n">
        <f aca="false">IF(ISERROR(VLOOKUP($P400,Member_Tab,4,FALSE())),0,(VLOOKUP($P400,Member_Tab,4,FALSE()) * 0.2 * AM$7) * (IF(AND(AM$5 &gt;= VLOOKUP($P400,Member_Tab,6,FALSE()), AM$5 &lt;= VLOOKUP($P400,Member_Tab,7,FALSE())),1,0))  )</f>
        <v>0</v>
      </c>
      <c r="AN400" s="76" t="n">
        <f aca="false">IF(ISERROR(VLOOKUP($P400,Member_Tab,4,FALSE())),0,(VLOOKUP($P400,Member_Tab,4,FALSE()) * 0.2 * AN$7) * (IF(AND(AN$5 &gt;= VLOOKUP($P400,Member_Tab,6,FALSE()), AN$5 &lt;= VLOOKUP($P400,Member_Tab,7,FALSE())),1,0))  )</f>
        <v>0</v>
      </c>
      <c r="AO400" s="76" t="n">
        <f aca="false">IF(ISERROR(VLOOKUP($P400,Member_Tab,4,FALSE())),0,(VLOOKUP($P400,Member_Tab,4,FALSE()) * 0.2 * AO$7) * (IF(AND(AO$5 &gt;= VLOOKUP($P400,Member_Tab,6,FALSE()), AO$5 &lt;= VLOOKUP($P400,Member_Tab,7,FALSE())),1,0))  )</f>
        <v>0</v>
      </c>
      <c r="AP400" s="76" t="n">
        <f aca="false">IF(ISERROR(VLOOKUP($P400,Member_Tab,4,FALSE())),0,(VLOOKUP($P400,Member_Tab,4,FALSE()) * 0.2 * AP$7) * (IF(AND(AP$5 &gt;= VLOOKUP($P400,Member_Tab,6,FALSE()), AP$5 &lt;= VLOOKUP($P400,Member_Tab,7,FALSE())),1,0))  )</f>
        <v>0</v>
      </c>
      <c r="AQ400" s="76" t="n">
        <f aca="false">IF(ISERROR(VLOOKUP($P400,Member_Tab,4,FALSE())),0,(VLOOKUP($P400,Member_Tab,4,FALSE()) * 0.2 * AQ$7) * (IF(AND(AQ$5 &gt;= VLOOKUP($P400,Member_Tab,6,FALSE()), AQ$5 &lt;= VLOOKUP($P400,Member_Tab,7,FALSE())),1,0))  )</f>
        <v>0</v>
      </c>
      <c r="AR400" s="76" t="n">
        <f aca="false">IF(ISERROR(VLOOKUP($P400,Member_Tab,4,FALSE())),0,(VLOOKUP($P400,Member_Tab,4,FALSE()) * 0.2 * AR$7) * (IF(AND(AR$5 &gt;= VLOOKUP($P400,Member_Tab,6,FALSE()), AR$5 &lt;= VLOOKUP($P400,Member_Tab,7,FALSE())),1,0))  )</f>
        <v>0</v>
      </c>
      <c r="AS400" s="76" t="n">
        <f aca="false">IF(ISERROR(VLOOKUP($P400,Member_Tab,4,FALSE())),0,(VLOOKUP($P400,Member_Tab,4,FALSE()) * 0.2 * AS$7) * (IF(AND(AS$5 &gt;= VLOOKUP($P400,Member_Tab,6,FALSE()), AS$5 &lt;= VLOOKUP($P400,Member_Tab,7,FALSE())),1,0))  )</f>
        <v>0</v>
      </c>
      <c r="AT400" s="76" t="n">
        <f aca="false">IF(ISERROR(VLOOKUP($P400,Member_Tab,4,FALSE())),0,(VLOOKUP($P400,Member_Tab,4,FALSE()) * 0.2 * AT$7) * (IF(AND(AT$5 &gt;= VLOOKUP($P400,Member_Tab,6,FALSE()), AT$5 &lt;= VLOOKUP($P400,Member_Tab,7,FALSE())),1,0))  )</f>
        <v>0</v>
      </c>
      <c r="AU400" s="76" t="n">
        <f aca="false">IF(ISERROR(VLOOKUP($P400,Member_Tab,4,FALSE())),0,(VLOOKUP($P400,Member_Tab,4,FALSE()) * 0.2 * AU$7) * (IF(AND(AU$5 &gt;= VLOOKUP($P400,Member_Tab,6,FALSE()), AU$5 &lt;= VLOOKUP($P400,Member_Tab,7,FALSE())),1,0))  )</f>
        <v>0</v>
      </c>
      <c r="AV400" s="76" t="n">
        <f aca="false">IF(ISERROR(VLOOKUP($P400,Member_Tab,4,FALSE())),0,(VLOOKUP($P400,Member_Tab,4,FALSE()) * 0.2 * AV$7) * (IF(AND(AV$5 &gt;= VLOOKUP($P400,Member_Tab,6,FALSE()), AV$5 &lt;= VLOOKUP($P400,Member_Tab,7,FALSE())),1,0))  )</f>
        <v>0</v>
      </c>
      <c r="AW400" s="76" t="n">
        <f aca="false">IF(ISERROR(VLOOKUP($P400,Member_Tab,4,FALSE())),0,(VLOOKUP($P400,Member_Tab,4,FALSE()) * 0.2 * AW$7) * (IF(AND(AW$5 &gt;= VLOOKUP($P400,Member_Tab,6,FALSE()), AW$5 &lt;= VLOOKUP($P400,Member_Tab,7,FALSE())),1,0))  )</f>
        <v>0</v>
      </c>
      <c r="AX400" s="76" t="n">
        <f aca="false">IF(ISERROR(VLOOKUP($P400,Member_Tab,4,FALSE())),0,(VLOOKUP($P400,Member_Tab,4,FALSE()) * 0.2 * AX$7) * (IF(AND(AX$5 &gt;= VLOOKUP($P400,Member_Tab,6,FALSE()), AX$5 &lt;= VLOOKUP($P400,Member_Tab,7,FALSE())),1,0))  )</f>
        <v>0</v>
      </c>
      <c r="AY400" s="76" t="n">
        <f aca="false">IF(ISERROR(VLOOKUP($P400,Member_Tab,4,FALSE())),0,(VLOOKUP($P400,Member_Tab,4,FALSE()) * 0.2 * AY$7) * (IF(AND(AY$5 &gt;= VLOOKUP($P400,Member_Tab,6,FALSE()), AY$5 &lt;= VLOOKUP($P400,Member_Tab,7,FALSE())),1,0))  )</f>
        <v>0</v>
      </c>
      <c r="AZ400" s="76" t="n">
        <f aca="false">IF(ISERROR(VLOOKUP($P400,Member_Tab,4,FALSE())),0,(VLOOKUP($P400,Member_Tab,4,FALSE()) * 0.2 * AZ$7) * (IF(AND(AZ$5 &gt;= VLOOKUP($P400,Member_Tab,6,FALSE()), AZ$5 &lt;= VLOOKUP($P400,Member_Tab,7,FALSE())),1,0))  )</f>
        <v>0</v>
      </c>
      <c r="BA400" s="76" t="n">
        <f aca="false">IF(ISERROR(VLOOKUP($P400,Member_Tab,4,FALSE())),0,(VLOOKUP($P400,Member_Tab,4,FALSE()) * 0.2 * BA$7) * (IF(AND(BA$5 &gt;= VLOOKUP($P400,Member_Tab,6,FALSE()), BA$5 &lt;= VLOOKUP($P400,Member_Tab,7,FALSE())),1,0))  )</f>
        <v>0</v>
      </c>
      <c r="BB400" s="76" t="n">
        <f aca="false">IF(ISERROR(VLOOKUP($P400,Member_Tab,4,FALSE())),0,(VLOOKUP($P400,Member_Tab,4,FALSE()) * 0.2 * BB$7) * (IF(AND(BB$5 &gt;= VLOOKUP($P400,Member_Tab,6,FALSE()), BB$5 &lt;= VLOOKUP($P400,Member_Tab,7,FALSE())),1,0))  )</f>
        <v>0</v>
      </c>
    </row>
    <row r="401" s="173" customFormat="true" ht="15" hidden="true" customHeight="false" outlineLevel="1" collapsed="false">
      <c r="E401" s="40"/>
      <c r="K401" s="40"/>
      <c r="L401" s="40"/>
      <c r="M401" s="40"/>
      <c r="N401" s="40"/>
      <c r="P401" s="177" t="str">
        <f aca="false">P264</f>
        <v>Lastname11, Firstname11</v>
      </c>
      <c r="Q401" s="40"/>
      <c r="R401" s="178"/>
      <c r="S401" s="76" t="n">
        <f aca="false">IF(ISERROR(VLOOKUP($P401,Member_Tab,4,FALSE())),0,(VLOOKUP($P401,Member_Tab,4,FALSE()) * 0.2 * S$7) * (IF(AND(S$5 &gt;= VLOOKUP($P401,Member_Tab,6,FALSE()), S$5 &lt;= VLOOKUP($P401,Member_Tab,7,FALSE())),1,0))  )</f>
        <v>0</v>
      </c>
      <c r="T401" s="76" t="n">
        <f aca="false">IF(ISERROR(VLOOKUP($P401,Member_Tab,4,FALSE())),0,(VLOOKUP($P401,Member_Tab,4,FALSE()) * 0.2 * T$7) * (IF(AND(T$5 &gt;= VLOOKUP($P401,Member_Tab,6,FALSE()), T$5 &lt;= VLOOKUP($P401,Member_Tab,7,FALSE())),1,0))  )</f>
        <v>0</v>
      </c>
      <c r="U401" s="76" t="n">
        <f aca="false">IF(ISERROR(VLOOKUP($P401,Member_Tab,4,FALSE())),0,(VLOOKUP($P401,Member_Tab,4,FALSE()) * 0.2 * U$7) * (IF(AND(U$5 &gt;= VLOOKUP($P401,Member_Tab,6,FALSE()), U$5 &lt;= VLOOKUP($P401,Member_Tab,7,FALSE())),1,0))  )</f>
        <v>0</v>
      </c>
      <c r="V401" s="76" t="n">
        <f aca="false">IF(ISERROR(VLOOKUP($P401,Member_Tab,4,FALSE())),0,(VLOOKUP($P401,Member_Tab,4,FALSE()) * 0.2 * V$7) * (IF(AND(V$5 &gt;= VLOOKUP($P401,Member_Tab,6,FALSE()), V$5 &lt;= VLOOKUP($P401,Member_Tab,7,FALSE())),1,0))  )</f>
        <v>0</v>
      </c>
      <c r="W401" s="76" t="n">
        <f aca="false">IF(ISERROR(VLOOKUP($P401,Member_Tab,4,FALSE())),0,(VLOOKUP($P401,Member_Tab,4,FALSE()) * 0.2 * W$7) * (IF(AND(W$5 &gt;= VLOOKUP($P401,Member_Tab,6,FALSE()), W$5 &lt;= VLOOKUP($P401,Member_Tab,7,FALSE())),1,0))  )</f>
        <v>0</v>
      </c>
      <c r="X401" s="76" t="n">
        <f aca="false">IF(ISERROR(VLOOKUP($P401,Member_Tab,4,FALSE())),0,(VLOOKUP($P401,Member_Tab,4,FALSE()) * 0.2 * X$7) * (IF(AND(X$5 &gt;= VLOOKUP($P401,Member_Tab,6,FALSE()), X$5 &lt;= VLOOKUP($P401,Member_Tab,7,FALSE())),1,0))  )</f>
        <v>0</v>
      </c>
      <c r="Y401" s="76" t="n">
        <f aca="false">IF(ISERROR(VLOOKUP($P401,Member_Tab,4,FALSE())),0,(VLOOKUP($P401,Member_Tab,4,FALSE()) * 0.2 * Y$7) * (IF(AND(Y$5 &gt;= VLOOKUP($P401,Member_Tab,6,FALSE()), Y$5 &lt;= VLOOKUP($P401,Member_Tab,7,FALSE())),1,0))  )</f>
        <v>0</v>
      </c>
      <c r="Z401" s="76" t="n">
        <f aca="false">IF(ISERROR(VLOOKUP($P401,Member_Tab,4,FALSE())),0,(VLOOKUP($P401,Member_Tab,4,FALSE()) * 0.2 * Z$7) * (IF(AND(Z$5 &gt;= VLOOKUP($P401,Member_Tab,6,FALSE()), Z$5 &lt;= VLOOKUP($P401,Member_Tab,7,FALSE())),1,0))  )</f>
        <v>0</v>
      </c>
      <c r="AA401" s="76" t="n">
        <f aca="false">IF(ISERROR(VLOOKUP($P401,Member_Tab,4,FALSE())),0,(VLOOKUP($P401,Member_Tab,4,FALSE()) * 0.2 * AA$7) * (IF(AND(AA$5 &gt;= VLOOKUP($P401,Member_Tab,6,FALSE()), AA$5 &lt;= VLOOKUP($P401,Member_Tab,7,FALSE())),1,0))  )</f>
        <v>0</v>
      </c>
      <c r="AB401" s="76" t="n">
        <f aca="false">IF(ISERROR(VLOOKUP($P401,Member_Tab,4,FALSE())),0,(VLOOKUP($P401,Member_Tab,4,FALSE()) * 0.2 * AB$7) * (IF(AND(AB$5 &gt;= VLOOKUP($P401,Member_Tab,6,FALSE()), AB$5 &lt;= VLOOKUP($P401,Member_Tab,7,FALSE())),1,0))  )</f>
        <v>0</v>
      </c>
      <c r="AC401" s="76" t="n">
        <f aca="false">IF(ISERROR(VLOOKUP($P401,Member_Tab,4,FALSE())),0,(VLOOKUP($P401,Member_Tab,4,FALSE()) * 0.2 * AC$7) * (IF(AND(AC$5 &gt;= VLOOKUP($P401,Member_Tab,6,FALSE()), AC$5 &lt;= VLOOKUP($P401,Member_Tab,7,FALSE())),1,0))  )</f>
        <v>0</v>
      </c>
      <c r="AD401" s="76" t="n">
        <f aca="false">IF(ISERROR(VLOOKUP($P401,Member_Tab,4,FALSE())),0,(VLOOKUP($P401,Member_Tab,4,FALSE()) * 0.2 * AD$7) * (IF(AND(AD$5 &gt;= VLOOKUP($P401,Member_Tab,6,FALSE()), AD$5 &lt;= VLOOKUP($P401,Member_Tab,7,FALSE())),1,0))  )</f>
        <v>0</v>
      </c>
      <c r="AE401" s="76" t="n">
        <f aca="false">IF(ISERROR(VLOOKUP($P401,Member_Tab,4,FALSE())),0,(VLOOKUP($P401,Member_Tab,4,FALSE()) * 0.2 * AE$7) * (IF(AND(AE$5 &gt;= VLOOKUP($P401,Member_Tab,6,FALSE()), AE$5 &lt;= VLOOKUP($P401,Member_Tab,7,FALSE())),1,0))  )</f>
        <v>0</v>
      </c>
      <c r="AF401" s="76" t="n">
        <f aca="false">IF(ISERROR(VLOOKUP($P401,Member_Tab,4,FALSE())),0,(VLOOKUP($P401,Member_Tab,4,FALSE()) * 0.2 * AF$7) * (IF(AND(AF$5 &gt;= VLOOKUP($P401,Member_Tab,6,FALSE()), AF$5 &lt;= VLOOKUP($P401,Member_Tab,7,FALSE())),1,0))  )</f>
        <v>0</v>
      </c>
      <c r="AG401" s="76" t="n">
        <f aca="false">IF(ISERROR(VLOOKUP($P401,Member_Tab,4,FALSE())),0,(VLOOKUP($P401,Member_Tab,4,FALSE()) * 0.2 * AG$7) * (IF(AND(AG$5 &gt;= VLOOKUP($P401,Member_Tab,6,FALSE()), AG$5 &lt;= VLOOKUP($P401,Member_Tab,7,FALSE())),1,0))  )</f>
        <v>0</v>
      </c>
      <c r="AH401" s="76" t="n">
        <f aca="false">IF(ISERROR(VLOOKUP($P401,Member_Tab,4,FALSE())),0,(VLOOKUP($P401,Member_Tab,4,FALSE()) * 0.2 * AH$7) * (IF(AND(AH$5 &gt;= VLOOKUP($P401,Member_Tab,6,FALSE()), AH$5 &lt;= VLOOKUP($P401,Member_Tab,7,FALSE())),1,0))  )</f>
        <v>0</v>
      </c>
      <c r="AI401" s="76" t="n">
        <f aca="false">IF(ISERROR(VLOOKUP($P401,Member_Tab,4,FALSE())),0,(VLOOKUP($P401,Member_Tab,4,FALSE()) * 0.2 * AI$7) * (IF(AND(AI$5 &gt;= VLOOKUP($P401,Member_Tab,6,FALSE()), AI$5 &lt;= VLOOKUP($P401,Member_Tab,7,FALSE())),1,0))  )</f>
        <v>0</v>
      </c>
      <c r="AJ401" s="76" t="n">
        <f aca="false">IF(ISERROR(VLOOKUP($P401,Member_Tab,4,FALSE())),0,(VLOOKUP($P401,Member_Tab,4,FALSE()) * 0.2 * AJ$7) * (IF(AND(AJ$5 &gt;= VLOOKUP($P401,Member_Tab,6,FALSE()), AJ$5 &lt;= VLOOKUP($P401,Member_Tab,7,FALSE())),1,0))  )</f>
        <v>0</v>
      </c>
      <c r="AK401" s="76" t="n">
        <f aca="false">IF(ISERROR(VLOOKUP($P401,Member_Tab,4,FALSE())),0,(VLOOKUP($P401,Member_Tab,4,FALSE()) * 0.2 * AK$7) * (IF(AND(AK$5 &gt;= VLOOKUP($P401,Member_Tab,6,FALSE()), AK$5 &lt;= VLOOKUP($P401,Member_Tab,7,FALSE())),1,0))  )</f>
        <v>0</v>
      </c>
      <c r="AL401" s="76" t="n">
        <f aca="false">IF(ISERROR(VLOOKUP($P401,Member_Tab,4,FALSE())),0,(VLOOKUP($P401,Member_Tab,4,FALSE()) * 0.2 * AL$7) * (IF(AND(AL$5 &gt;= VLOOKUP($P401,Member_Tab,6,FALSE()), AL$5 &lt;= VLOOKUP($P401,Member_Tab,7,FALSE())),1,0))  )</f>
        <v>0</v>
      </c>
      <c r="AM401" s="76" t="n">
        <f aca="false">IF(ISERROR(VLOOKUP($P401,Member_Tab,4,FALSE())),0,(VLOOKUP($P401,Member_Tab,4,FALSE()) * 0.2 * AM$7) * (IF(AND(AM$5 &gt;= VLOOKUP($P401,Member_Tab,6,FALSE()), AM$5 &lt;= VLOOKUP($P401,Member_Tab,7,FALSE())),1,0))  )</f>
        <v>0</v>
      </c>
      <c r="AN401" s="76" t="n">
        <f aca="false">IF(ISERROR(VLOOKUP($P401,Member_Tab,4,FALSE())),0,(VLOOKUP($P401,Member_Tab,4,FALSE()) * 0.2 * AN$7) * (IF(AND(AN$5 &gt;= VLOOKUP($P401,Member_Tab,6,FALSE()), AN$5 &lt;= VLOOKUP($P401,Member_Tab,7,FALSE())),1,0))  )</f>
        <v>0</v>
      </c>
      <c r="AO401" s="76" t="n">
        <f aca="false">IF(ISERROR(VLOOKUP($P401,Member_Tab,4,FALSE())),0,(VLOOKUP($P401,Member_Tab,4,FALSE()) * 0.2 * AO$7) * (IF(AND(AO$5 &gt;= VLOOKUP($P401,Member_Tab,6,FALSE()), AO$5 &lt;= VLOOKUP($P401,Member_Tab,7,FALSE())),1,0))  )</f>
        <v>0</v>
      </c>
      <c r="AP401" s="76" t="n">
        <f aca="false">IF(ISERROR(VLOOKUP($P401,Member_Tab,4,FALSE())),0,(VLOOKUP($P401,Member_Tab,4,FALSE()) * 0.2 * AP$7) * (IF(AND(AP$5 &gt;= VLOOKUP($P401,Member_Tab,6,FALSE()), AP$5 &lt;= VLOOKUP($P401,Member_Tab,7,FALSE())),1,0))  )</f>
        <v>0</v>
      </c>
      <c r="AQ401" s="76" t="n">
        <f aca="false">IF(ISERROR(VLOOKUP($P401,Member_Tab,4,FALSE())),0,(VLOOKUP($P401,Member_Tab,4,FALSE()) * 0.2 * AQ$7) * (IF(AND(AQ$5 &gt;= VLOOKUP($P401,Member_Tab,6,FALSE()), AQ$5 &lt;= VLOOKUP($P401,Member_Tab,7,FALSE())),1,0))  )</f>
        <v>0</v>
      </c>
      <c r="AR401" s="76" t="n">
        <f aca="false">IF(ISERROR(VLOOKUP($P401,Member_Tab,4,FALSE())),0,(VLOOKUP($P401,Member_Tab,4,FALSE()) * 0.2 * AR$7) * (IF(AND(AR$5 &gt;= VLOOKUP($P401,Member_Tab,6,FALSE()), AR$5 &lt;= VLOOKUP($P401,Member_Tab,7,FALSE())),1,0))  )</f>
        <v>0</v>
      </c>
      <c r="AS401" s="76" t="n">
        <f aca="false">IF(ISERROR(VLOOKUP($P401,Member_Tab,4,FALSE())),0,(VLOOKUP($P401,Member_Tab,4,FALSE()) * 0.2 * AS$7) * (IF(AND(AS$5 &gt;= VLOOKUP($P401,Member_Tab,6,FALSE()), AS$5 &lt;= VLOOKUP($P401,Member_Tab,7,FALSE())),1,0))  )</f>
        <v>0</v>
      </c>
      <c r="AT401" s="76" t="n">
        <f aca="false">IF(ISERROR(VLOOKUP($P401,Member_Tab,4,FALSE())),0,(VLOOKUP($P401,Member_Tab,4,FALSE()) * 0.2 * AT$7) * (IF(AND(AT$5 &gt;= VLOOKUP($P401,Member_Tab,6,FALSE()), AT$5 &lt;= VLOOKUP($P401,Member_Tab,7,FALSE())),1,0))  )</f>
        <v>0</v>
      </c>
      <c r="AU401" s="76" t="n">
        <f aca="false">IF(ISERROR(VLOOKUP($P401,Member_Tab,4,FALSE())),0,(VLOOKUP($P401,Member_Tab,4,FALSE()) * 0.2 * AU$7) * (IF(AND(AU$5 &gt;= VLOOKUP($P401,Member_Tab,6,FALSE()), AU$5 &lt;= VLOOKUP($P401,Member_Tab,7,FALSE())),1,0))  )</f>
        <v>0</v>
      </c>
      <c r="AV401" s="76" t="n">
        <f aca="false">IF(ISERROR(VLOOKUP($P401,Member_Tab,4,FALSE())),0,(VLOOKUP($P401,Member_Tab,4,FALSE()) * 0.2 * AV$7) * (IF(AND(AV$5 &gt;= VLOOKUP($P401,Member_Tab,6,FALSE()), AV$5 &lt;= VLOOKUP($P401,Member_Tab,7,FALSE())),1,0))  )</f>
        <v>0</v>
      </c>
      <c r="AW401" s="76" t="n">
        <f aca="false">IF(ISERROR(VLOOKUP($P401,Member_Tab,4,FALSE())),0,(VLOOKUP($P401,Member_Tab,4,FALSE()) * 0.2 * AW$7) * (IF(AND(AW$5 &gt;= VLOOKUP($P401,Member_Tab,6,FALSE()), AW$5 &lt;= VLOOKUP($P401,Member_Tab,7,FALSE())),1,0))  )</f>
        <v>0</v>
      </c>
      <c r="AX401" s="76" t="n">
        <f aca="false">IF(ISERROR(VLOOKUP($P401,Member_Tab,4,FALSE())),0,(VLOOKUP($P401,Member_Tab,4,FALSE()) * 0.2 * AX$7) * (IF(AND(AX$5 &gt;= VLOOKUP($P401,Member_Tab,6,FALSE()), AX$5 &lt;= VLOOKUP($P401,Member_Tab,7,FALSE())),1,0))  )</f>
        <v>0</v>
      </c>
      <c r="AY401" s="76" t="n">
        <f aca="false">IF(ISERROR(VLOOKUP($P401,Member_Tab,4,FALSE())),0,(VLOOKUP($P401,Member_Tab,4,FALSE()) * 0.2 * AY$7) * (IF(AND(AY$5 &gt;= VLOOKUP($P401,Member_Tab,6,FALSE()), AY$5 &lt;= VLOOKUP($P401,Member_Tab,7,FALSE())),1,0))  )</f>
        <v>0</v>
      </c>
      <c r="AZ401" s="76" t="n">
        <f aca="false">IF(ISERROR(VLOOKUP($P401,Member_Tab,4,FALSE())),0,(VLOOKUP($P401,Member_Tab,4,FALSE()) * 0.2 * AZ$7) * (IF(AND(AZ$5 &gt;= VLOOKUP($P401,Member_Tab,6,FALSE()), AZ$5 &lt;= VLOOKUP($P401,Member_Tab,7,FALSE())),1,0))  )</f>
        <v>0</v>
      </c>
      <c r="BA401" s="76" t="n">
        <f aca="false">IF(ISERROR(VLOOKUP($P401,Member_Tab,4,FALSE())),0,(VLOOKUP($P401,Member_Tab,4,FALSE()) * 0.2 * BA$7) * (IF(AND(BA$5 &gt;= VLOOKUP($P401,Member_Tab,6,FALSE()), BA$5 &lt;= VLOOKUP($P401,Member_Tab,7,FALSE())),1,0))  )</f>
        <v>0</v>
      </c>
      <c r="BB401" s="76" t="n">
        <f aca="false">IF(ISERROR(VLOOKUP($P401,Member_Tab,4,FALSE())),0,(VLOOKUP($P401,Member_Tab,4,FALSE()) * 0.2 * BB$7) * (IF(AND(BB$5 &gt;= VLOOKUP($P401,Member_Tab,6,FALSE()), BB$5 &lt;= VLOOKUP($P401,Member_Tab,7,FALSE())),1,0))  )</f>
        <v>0</v>
      </c>
    </row>
    <row r="402" s="173" customFormat="true" ht="15" hidden="true" customHeight="false" outlineLevel="1" collapsed="false">
      <c r="E402" s="40"/>
      <c r="K402" s="40"/>
      <c r="L402" s="40"/>
      <c r="M402" s="40"/>
      <c r="N402" s="40"/>
      <c r="P402" s="177" t="str">
        <f aca="false">P265</f>
        <v>Lastname12, Firstname12</v>
      </c>
      <c r="Q402" s="40"/>
      <c r="R402" s="178"/>
      <c r="S402" s="76" t="n">
        <f aca="false">IF(ISERROR(VLOOKUP($P402,Member_Tab,4,FALSE())),0,(VLOOKUP($P402,Member_Tab,4,FALSE()) * 0.2 * S$7) * (IF(AND(S$5 &gt;= VLOOKUP($P402,Member_Tab,6,FALSE()), S$5 &lt;= VLOOKUP($P402,Member_Tab,7,FALSE())),1,0))  )</f>
        <v>0</v>
      </c>
      <c r="T402" s="76" t="n">
        <f aca="false">IF(ISERROR(VLOOKUP($P402,Member_Tab,4,FALSE())),0,(VLOOKUP($P402,Member_Tab,4,FALSE()) * 0.2 * T$7) * (IF(AND(T$5 &gt;= VLOOKUP($P402,Member_Tab,6,FALSE()), T$5 &lt;= VLOOKUP($P402,Member_Tab,7,FALSE())),1,0))  )</f>
        <v>0</v>
      </c>
      <c r="U402" s="76" t="n">
        <f aca="false">IF(ISERROR(VLOOKUP($P402,Member_Tab,4,FALSE())),0,(VLOOKUP($P402,Member_Tab,4,FALSE()) * 0.2 * U$7) * (IF(AND(U$5 &gt;= VLOOKUP($P402,Member_Tab,6,FALSE()), U$5 &lt;= VLOOKUP($P402,Member_Tab,7,FALSE())),1,0))  )</f>
        <v>0</v>
      </c>
      <c r="V402" s="76" t="n">
        <f aca="false">IF(ISERROR(VLOOKUP($P402,Member_Tab,4,FALSE())),0,(VLOOKUP($P402,Member_Tab,4,FALSE()) * 0.2 * V$7) * (IF(AND(V$5 &gt;= VLOOKUP($P402,Member_Tab,6,FALSE()), V$5 &lt;= VLOOKUP($P402,Member_Tab,7,FALSE())),1,0))  )</f>
        <v>0</v>
      </c>
      <c r="W402" s="76" t="n">
        <f aca="false">IF(ISERROR(VLOOKUP($P402,Member_Tab,4,FALSE())),0,(VLOOKUP($P402,Member_Tab,4,FALSE()) * 0.2 * W$7) * (IF(AND(W$5 &gt;= VLOOKUP($P402,Member_Tab,6,FALSE()), W$5 &lt;= VLOOKUP($P402,Member_Tab,7,FALSE())),1,0))  )</f>
        <v>0</v>
      </c>
      <c r="X402" s="76" t="n">
        <f aca="false">IF(ISERROR(VLOOKUP($P402,Member_Tab,4,FALSE())),0,(VLOOKUP($P402,Member_Tab,4,FALSE()) * 0.2 * X$7) * (IF(AND(X$5 &gt;= VLOOKUP($P402,Member_Tab,6,FALSE()), X$5 &lt;= VLOOKUP($P402,Member_Tab,7,FALSE())),1,0))  )</f>
        <v>0</v>
      </c>
      <c r="Y402" s="76" t="n">
        <f aca="false">IF(ISERROR(VLOOKUP($P402,Member_Tab,4,FALSE())),0,(VLOOKUP($P402,Member_Tab,4,FALSE()) * 0.2 * Y$7) * (IF(AND(Y$5 &gt;= VLOOKUP($P402,Member_Tab,6,FALSE()), Y$5 &lt;= VLOOKUP($P402,Member_Tab,7,FALSE())),1,0))  )</f>
        <v>0</v>
      </c>
      <c r="Z402" s="76" t="n">
        <f aca="false">IF(ISERROR(VLOOKUP($P402,Member_Tab,4,FALSE())),0,(VLOOKUP($P402,Member_Tab,4,FALSE()) * 0.2 * Z$7) * (IF(AND(Z$5 &gt;= VLOOKUP($P402,Member_Tab,6,FALSE()), Z$5 &lt;= VLOOKUP($P402,Member_Tab,7,FALSE())),1,0))  )</f>
        <v>0</v>
      </c>
      <c r="AA402" s="76" t="n">
        <f aca="false">IF(ISERROR(VLOOKUP($P402,Member_Tab,4,FALSE())),0,(VLOOKUP($P402,Member_Tab,4,FALSE()) * 0.2 * AA$7) * (IF(AND(AA$5 &gt;= VLOOKUP($P402,Member_Tab,6,FALSE()), AA$5 &lt;= VLOOKUP($P402,Member_Tab,7,FALSE())),1,0))  )</f>
        <v>0</v>
      </c>
      <c r="AB402" s="76" t="n">
        <f aca="false">IF(ISERROR(VLOOKUP($P402,Member_Tab,4,FALSE())),0,(VLOOKUP($P402,Member_Tab,4,FALSE()) * 0.2 * AB$7) * (IF(AND(AB$5 &gt;= VLOOKUP($P402,Member_Tab,6,FALSE()), AB$5 &lt;= VLOOKUP($P402,Member_Tab,7,FALSE())),1,0))  )</f>
        <v>0</v>
      </c>
      <c r="AC402" s="76" t="n">
        <f aca="false">IF(ISERROR(VLOOKUP($P402,Member_Tab,4,FALSE())),0,(VLOOKUP($P402,Member_Tab,4,FALSE()) * 0.2 * AC$7) * (IF(AND(AC$5 &gt;= VLOOKUP($P402,Member_Tab,6,FALSE()), AC$5 &lt;= VLOOKUP($P402,Member_Tab,7,FALSE())),1,0))  )</f>
        <v>0</v>
      </c>
      <c r="AD402" s="76" t="n">
        <f aca="false">IF(ISERROR(VLOOKUP($P402,Member_Tab,4,FALSE())),0,(VLOOKUP($P402,Member_Tab,4,FALSE()) * 0.2 * AD$7) * (IF(AND(AD$5 &gt;= VLOOKUP($P402,Member_Tab,6,FALSE()), AD$5 &lt;= VLOOKUP($P402,Member_Tab,7,FALSE())),1,0))  )</f>
        <v>0</v>
      </c>
      <c r="AE402" s="76" t="n">
        <f aca="false">IF(ISERROR(VLOOKUP($P402,Member_Tab,4,FALSE())),0,(VLOOKUP($P402,Member_Tab,4,FALSE()) * 0.2 * AE$7) * (IF(AND(AE$5 &gt;= VLOOKUP($P402,Member_Tab,6,FALSE()), AE$5 &lt;= VLOOKUP($P402,Member_Tab,7,FALSE())),1,0))  )</f>
        <v>0</v>
      </c>
      <c r="AF402" s="76" t="n">
        <f aca="false">IF(ISERROR(VLOOKUP($P402,Member_Tab,4,FALSE())),0,(VLOOKUP($P402,Member_Tab,4,FALSE()) * 0.2 * AF$7) * (IF(AND(AF$5 &gt;= VLOOKUP($P402,Member_Tab,6,FALSE()), AF$5 &lt;= VLOOKUP($P402,Member_Tab,7,FALSE())),1,0))  )</f>
        <v>0</v>
      </c>
      <c r="AG402" s="76" t="n">
        <f aca="false">IF(ISERROR(VLOOKUP($P402,Member_Tab,4,FALSE())),0,(VLOOKUP($P402,Member_Tab,4,FALSE()) * 0.2 * AG$7) * (IF(AND(AG$5 &gt;= VLOOKUP($P402,Member_Tab,6,FALSE()), AG$5 &lt;= VLOOKUP($P402,Member_Tab,7,FALSE())),1,0))  )</f>
        <v>0</v>
      </c>
      <c r="AH402" s="76" t="n">
        <f aca="false">IF(ISERROR(VLOOKUP($P402,Member_Tab,4,FALSE())),0,(VLOOKUP($P402,Member_Tab,4,FALSE()) * 0.2 * AH$7) * (IF(AND(AH$5 &gt;= VLOOKUP($P402,Member_Tab,6,FALSE()), AH$5 &lt;= VLOOKUP($P402,Member_Tab,7,FALSE())),1,0))  )</f>
        <v>0</v>
      </c>
      <c r="AI402" s="76" t="n">
        <f aca="false">IF(ISERROR(VLOOKUP($P402,Member_Tab,4,FALSE())),0,(VLOOKUP($P402,Member_Tab,4,FALSE()) * 0.2 * AI$7) * (IF(AND(AI$5 &gt;= VLOOKUP($P402,Member_Tab,6,FALSE()), AI$5 &lt;= VLOOKUP($P402,Member_Tab,7,FALSE())),1,0))  )</f>
        <v>0</v>
      </c>
      <c r="AJ402" s="76" t="n">
        <f aca="false">IF(ISERROR(VLOOKUP($P402,Member_Tab,4,FALSE())),0,(VLOOKUP($P402,Member_Tab,4,FALSE()) * 0.2 * AJ$7) * (IF(AND(AJ$5 &gt;= VLOOKUP($P402,Member_Tab,6,FALSE()), AJ$5 &lt;= VLOOKUP($P402,Member_Tab,7,FALSE())),1,0))  )</f>
        <v>0</v>
      </c>
      <c r="AK402" s="76" t="n">
        <f aca="false">IF(ISERROR(VLOOKUP($P402,Member_Tab,4,FALSE())),0,(VLOOKUP($P402,Member_Tab,4,FALSE()) * 0.2 * AK$7) * (IF(AND(AK$5 &gt;= VLOOKUP($P402,Member_Tab,6,FALSE()), AK$5 &lt;= VLOOKUP($P402,Member_Tab,7,FALSE())),1,0))  )</f>
        <v>0</v>
      </c>
      <c r="AL402" s="76" t="n">
        <f aca="false">IF(ISERROR(VLOOKUP($P402,Member_Tab,4,FALSE())),0,(VLOOKUP($P402,Member_Tab,4,FALSE()) * 0.2 * AL$7) * (IF(AND(AL$5 &gt;= VLOOKUP($P402,Member_Tab,6,FALSE()), AL$5 &lt;= VLOOKUP($P402,Member_Tab,7,FALSE())),1,0))  )</f>
        <v>0</v>
      </c>
      <c r="AM402" s="76" t="n">
        <f aca="false">IF(ISERROR(VLOOKUP($P402,Member_Tab,4,FALSE())),0,(VLOOKUP($P402,Member_Tab,4,FALSE()) * 0.2 * AM$7) * (IF(AND(AM$5 &gt;= VLOOKUP($P402,Member_Tab,6,FALSE()), AM$5 &lt;= VLOOKUP($P402,Member_Tab,7,FALSE())),1,0))  )</f>
        <v>0</v>
      </c>
      <c r="AN402" s="76" t="n">
        <f aca="false">IF(ISERROR(VLOOKUP($P402,Member_Tab,4,FALSE())),0,(VLOOKUP($P402,Member_Tab,4,FALSE()) * 0.2 * AN$7) * (IF(AND(AN$5 &gt;= VLOOKUP($P402,Member_Tab,6,FALSE()), AN$5 &lt;= VLOOKUP($P402,Member_Tab,7,FALSE())),1,0))  )</f>
        <v>0</v>
      </c>
      <c r="AO402" s="76" t="n">
        <f aca="false">IF(ISERROR(VLOOKUP($P402,Member_Tab,4,FALSE())),0,(VLOOKUP($P402,Member_Tab,4,FALSE()) * 0.2 * AO$7) * (IF(AND(AO$5 &gt;= VLOOKUP($P402,Member_Tab,6,FALSE()), AO$5 &lt;= VLOOKUP($P402,Member_Tab,7,FALSE())),1,0))  )</f>
        <v>0</v>
      </c>
      <c r="AP402" s="76" t="n">
        <f aca="false">IF(ISERROR(VLOOKUP($P402,Member_Tab,4,FALSE())),0,(VLOOKUP($P402,Member_Tab,4,FALSE()) * 0.2 * AP$7) * (IF(AND(AP$5 &gt;= VLOOKUP($P402,Member_Tab,6,FALSE()), AP$5 &lt;= VLOOKUP($P402,Member_Tab,7,FALSE())),1,0))  )</f>
        <v>0</v>
      </c>
      <c r="AQ402" s="76" t="n">
        <f aca="false">IF(ISERROR(VLOOKUP($P402,Member_Tab,4,FALSE())),0,(VLOOKUP($P402,Member_Tab,4,FALSE()) * 0.2 * AQ$7) * (IF(AND(AQ$5 &gt;= VLOOKUP($P402,Member_Tab,6,FALSE()), AQ$5 &lt;= VLOOKUP($P402,Member_Tab,7,FALSE())),1,0))  )</f>
        <v>0</v>
      </c>
      <c r="AR402" s="76" t="n">
        <f aca="false">IF(ISERROR(VLOOKUP($P402,Member_Tab,4,FALSE())),0,(VLOOKUP($P402,Member_Tab,4,FALSE()) * 0.2 * AR$7) * (IF(AND(AR$5 &gt;= VLOOKUP($P402,Member_Tab,6,FALSE()), AR$5 &lt;= VLOOKUP($P402,Member_Tab,7,FALSE())),1,0))  )</f>
        <v>0</v>
      </c>
      <c r="AS402" s="76" t="n">
        <f aca="false">IF(ISERROR(VLOOKUP($P402,Member_Tab,4,FALSE())),0,(VLOOKUP($P402,Member_Tab,4,FALSE()) * 0.2 * AS$7) * (IF(AND(AS$5 &gt;= VLOOKUP($P402,Member_Tab,6,FALSE()), AS$5 &lt;= VLOOKUP($P402,Member_Tab,7,FALSE())),1,0))  )</f>
        <v>0</v>
      </c>
      <c r="AT402" s="76" t="n">
        <f aca="false">IF(ISERROR(VLOOKUP($P402,Member_Tab,4,FALSE())),0,(VLOOKUP($P402,Member_Tab,4,FALSE()) * 0.2 * AT$7) * (IF(AND(AT$5 &gt;= VLOOKUP($P402,Member_Tab,6,FALSE()), AT$5 &lt;= VLOOKUP($P402,Member_Tab,7,FALSE())),1,0))  )</f>
        <v>0</v>
      </c>
      <c r="AU402" s="76" t="n">
        <f aca="false">IF(ISERROR(VLOOKUP($P402,Member_Tab,4,FALSE())),0,(VLOOKUP($P402,Member_Tab,4,FALSE()) * 0.2 * AU$7) * (IF(AND(AU$5 &gt;= VLOOKUP($P402,Member_Tab,6,FALSE()), AU$5 &lt;= VLOOKUP($P402,Member_Tab,7,FALSE())),1,0))  )</f>
        <v>0</v>
      </c>
      <c r="AV402" s="76" t="n">
        <f aca="false">IF(ISERROR(VLOOKUP($P402,Member_Tab,4,FALSE())),0,(VLOOKUP($P402,Member_Tab,4,FALSE()) * 0.2 * AV$7) * (IF(AND(AV$5 &gt;= VLOOKUP($P402,Member_Tab,6,FALSE()), AV$5 &lt;= VLOOKUP($P402,Member_Tab,7,FALSE())),1,0))  )</f>
        <v>0</v>
      </c>
      <c r="AW402" s="76" t="n">
        <f aca="false">IF(ISERROR(VLOOKUP($P402,Member_Tab,4,FALSE())),0,(VLOOKUP($P402,Member_Tab,4,FALSE()) * 0.2 * AW$7) * (IF(AND(AW$5 &gt;= VLOOKUP($P402,Member_Tab,6,FALSE()), AW$5 &lt;= VLOOKUP($P402,Member_Tab,7,FALSE())),1,0))  )</f>
        <v>0</v>
      </c>
      <c r="AX402" s="76" t="n">
        <f aca="false">IF(ISERROR(VLOOKUP($P402,Member_Tab,4,FALSE())),0,(VLOOKUP($P402,Member_Tab,4,FALSE()) * 0.2 * AX$7) * (IF(AND(AX$5 &gt;= VLOOKUP($P402,Member_Tab,6,FALSE()), AX$5 &lt;= VLOOKUP($P402,Member_Tab,7,FALSE())),1,0))  )</f>
        <v>0</v>
      </c>
      <c r="AY402" s="76" t="n">
        <f aca="false">IF(ISERROR(VLOOKUP($P402,Member_Tab,4,FALSE())),0,(VLOOKUP($P402,Member_Tab,4,FALSE()) * 0.2 * AY$7) * (IF(AND(AY$5 &gt;= VLOOKUP($P402,Member_Tab,6,FALSE()), AY$5 &lt;= VLOOKUP($P402,Member_Tab,7,FALSE())),1,0))  )</f>
        <v>0</v>
      </c>
      <c r="AZ402" s="76" t="n">
        <f aca="false">IF(ISERROR(VLOOKUP($P402,Member_Tab,4,FALSE())),0,(VLOOKUP($P402,Member_Tab,4,FALSE()) * 0.2 * AZ$7) * (IF(AND(AZ$5 &gt;= VLOOKUP($P402,Member_Tab,6,FALSE()), AZ$5 &lt;= VLOOKUP($P402,Member_Tab,7,FALSE())),1,0))  )</f>
        <v>0</v>
      </c>
      <c r="BA402" s="76" t="n">
        <f aca="false">IF(ISERROR(VLOOKUP($P402,Member_Tab,4,FALSE())),0,(VLOOKUP($P402,Member_Tab,4,FALSE()) * 0.2 * BA$7) * (IF(AND(BA$5 &gt;= VLOOKUP($P402,Member_Tab,6,FALSE()), BA$5 &lt;= VLOOKUP($P402,Member_Tab,7,FALSE())),1,0))  )</f>
        <v>0</v>
      </c>
      <c r="BB402" s="76" t="n">
        <f aca="false">IF(ISERROR(VLOOKUP($P402,Member_Tab,4,FALSE())),0,(VLOOKUP($P402,Member_Tab,4,FALSE()) * 0.2 * BB$7) * (IF(AND(BB$5 &gt;= VLOOKUP($P402,Member_Tab,6,FALSE()), BB$5 &lt;= VLOOKUP($P402,Member_Tab,7,FALSE())),1,0))  )</f>
        <v>0</v>
      </c>
    </row>
    <row r="403" s="173" customFormat="true" ht="15" hidden="true" customHeight="false" outlineLevel="1" collapsed="false">
      <c r="E403" s="40"/>
      <c r="K403" s="40"/>
      <c r="L403" s="40"/>
      <c r="M403" s="40"/>
      <c r="N403" s="40"/>
      <c r="P403" s="177" t="str">
        <f aca="false">P266</f>
        <v>Lastname13, Firstname13</v>
      </c>
      <c r="Q403" s="40"/>
      <c r="R403" s="178"/>
      <c r="S403" s="76" t="n">
        <f aca="false">IF(ISERROR(VLOOKUP($P403,Member_Tab,4,FALSE())),0,(VLOOKUP($P403,Member_Tab,4,FALSE()) * 0.2 * S$7) * (IF(AND(S$5 &gt;= VLOOKUP($P403,Member_Tab,6,FALSE()), S$5 &lt;= VLOOKUP($P403,Member_Tab,7,FALSE())),1,0))  )</f>
        <v>0</v>
      </c>
      <c r="T403" s="76" t="n">
        <f aca="false">IF(ISERROR(VLOOKUP($P403,Member_Tab,4,FALSE())),0,(VLOOKUP($P403,Member_Tab,4,FALSE()) * 0.2 * T$7) * (IF(AND(T$5 &gt;= VLOOKUP($P403,Member_Tab,6,FALSE()), T$5 &lt;= VLOOKUP($P403,Member_Tab,7,FALSE())),1,0))  )</f>
        <v>0</v>
      </c>
      <c r="U403" s="76" t="n">
        <f aca="false">IF(ISERROR(VLOOKUP($P403,Member_Tab,4,FALSE())),0,(VLOOKUP($P403,Member_Tab,4,FALSE()) * 0.2 * U$7) * (IF(AND(U$5 &gt;= VLOOKUP($P403,Member_Tab,6,FALSE()), U$5 &lt;= VLOOKUP($P403,Member_Tab,7,FALSE())),1,0))  )</f>
        <v>0</v>
      </c>
      <c r="V403" s="76" t="n">
        <f aca="false">IF(ISERROR(VLOOKUP($P403,Member_Tab,4,FALSE())),0,(VLOOKUP($P403,Member_Tab,4,FALSE()) * 0.2 * V$7) * (IF(AND(V$5 &gt;= VLOOKUP($P403,Member_Tab,6,FALSE()), V$5 &lt;= VLOOKUP($P403,Member_Tab,7,FALSE())),1,0))  )</f>
        <v>0</v>
      </c>
      <c r="W403" s="76" t="n">
        <f aca="false">IF(ISERROR(VLOOKUP($P403,Member_Tab,4,FALSE())),0,(VLOOKUP($P403,Member_Tab,4,FALSE()) * 0.2 * W$7) * (IF(AND(W$5 &gt;= VLOOKUP($P403,Member_Tab,6,FALSE()), W$5 &lt;= VLOOKUP($P403,Member_Tab,7,FALSE())),1,0))  )</f>
        <v>0</v>
      </c>
      <c r="X403" s="76" t="n">
        <f aca="false">IF(ISERROR(VLOOKUP($P403,Member_Tab,4,FALSE())),0,(VLOOKUP($P403,Member_Tab,4,FALSE()) * 0.2 * X$7) * (IF(AND(X$5 &gt;= VLOOKUP($P403,Member_Tab,6,FALSE()), X$5 &lt;= VLOOKUP($P403,Member_Tab,7,FALSE())),1,0))  )</f>
        <v>0</v>
      </c>
      <c r="Y403" s="76" t="n">
        <f aca="false">IF(ISERROR(VLOOKUP($P403,Member_Tab,4,FALSE())),0,(VLOOKUP($P403,Member_Tab,4,FALSE()) * 0.2 * Y$7) * (IF(AND(Y$5 &gt;= VLOOKUP($P403,Member_Tab,6,FALSE()), Y$5 &lt;= VLOOKUP($P403,Member_Tab,7,FALSE())),1,0))  )</f>
        <v>0</v>
      </c>
      <c r="Z403" s="76" t="n">
        <f aca="false">IF(ISERROR(VLOOKUP($P403,Member_Tab,4,FALSE())),0,(VLOOKUP($P403,Member_Tab,4,FALSE()) * 0.2 * Z$7) * (IF(AND(Z$5 &gt;= VLOOKUP($P403,Member_Tab,6,FALSE()), Z$5 &lt;= VLOOKUP($P403,Member_Tab,7,FALSE())),1,0))  )</f>
        <v>0</v>
      </c>
      <c r="AA403" s="76" t="n">
        <f aca="false">IF(ISERROR(VLOOKUP($P403,Member_Tab,4,FALSE())),0,(VLOOKUP($P403,Member_Tab,4,FALSE()) * 0.2 * AA$7) * (IF(AND(AA$5 &gt;= VLOOKUP($P403,Member_Tab,6,FALSE()), AA$5 &lt;= VLOOKUP($P403,Member_Tab,7,FALSE())),1,0))  )</f>
        <v>0</v>
      </c>
      <c r="AB403" s="76" t="n">
        <f aca="false">IF(ISERROR(VLOOKUP($P403,Member_Tab,4,FALSE())),0,(VLOOKUP($P403,Member_Tab,4,FALSE()) * 0.2 * AB$7) * (IF(AND(AB$5 &gt;= VLOOKUP($P403,Member_Tab,6,FALSE()), AB$5 &lt;= VLOOKUP($P403,Member_Tab,7,FALSE())),1,0))  )</f>
        <v>0</v>
      </c>
      <c r="AC403" s="76" t="n">
        <f aca="false">IF(ISERROR(VLOOKUP($P403,Member_Tab,4,FALSE())),0,(VLOOKUP($P403,Member_Tab,4,FALSE()) * 0.2 * AC$7) * (IF(AND(AC$5 &gt;= VLOOKUP($P403,Member_Tab,6,FALSE()), AC$5 &lt;= VLOOKUP($P403,Member_Tab,7,FALSE())),1,0))  )</f>
        <v>0</v>
      </c>
      <c r="AD403" s="76" t="n">
        <f aca="false">IF(ISERROR(VLOOKUP($P403,Member_Tab,4,FALSE())),0,(VLOOKUP($P403,Member_Tab,4,FALSE()) * 0.2 * AD$7) * (IF(AND(AD$5 &gt;= VLOOKUP($P403,Member_Tab,6,FALSE()), AD$5 &lt;= VLOOKUP($P403,Member_Tab,7,FALSE())),1,0))  )</f>
        <v>0</v>
      </c>
      <c r="AE403" s="76" t="n">
        <f aca="false">IF(ISERROR(VLOOKUP($P403,Member_Tab,4,FALSE())),0,(VLOOKUP($P403,Member_Tab,4,FALSE()) * 0.2 * AE$7) * (IF(AND(AE$5 &gt;= VLOOKUP($P403,Member_Tab,6,FALSE()), AE$5 &lt;= VLOOKUP($P403,Member_Tab,7,FALSE())),1,0))  )</f>
        <v>0</v>
      </c>
      <c r="AF403" s="76" t="n">
        <f aca="false">IF(ISERROR(VLOOKUP($P403,Member_Tab,4,FALSE())),0,(VLOOKUP($P403,Member_Tab,4,FALSE()) * 0.2 * AF$7) * (IF(AND(AF$5 &gt;= VLOOKUP($P403,Member_Tab,6,FALSE()), AF$5 &lt;= VLOOKUP($P403,Member_Tab,7,FALSE())),1,0))  )</f>
        <v>0</v>
      </c>
      <c r="AG403" s="76" t="n">
        <f aca="false">IF(ISERROR(VLOOKUP($P403,Member_Tab,4,FALSE())),0,(VLOOKUP($P403,Member_Tab,4,FALSE()) * 0.2 * AG$7) * (IF(AND(AG$5 &gt;= VLOOKUP($P403,Member_Tab,6,FALSE()), AG$5 &lt;= VLOOKUP($P403,Member_Tab,7,FALSE())),1,0))  )</f>
        <v>0</v>
      </c>
      <c r="AH403" s="76" t="n">
        <f aca="false">IF(ISERROR(VLOOKUP($P403,Member_Tab,4,FALSE())),0,(VLOOKUP($P403,Member_Tab,4,FALSE()) * 0.2 * AH$7) * (IF(AND(AH$5 &gt;= VLOOKUP($P403,Member_Tab,6,FALSE()), AH$5 &lt;= VLOOKUP($P403,Member_Tab,7,FALSE())),1,0))  )</f>
        <v>0</v>
      </c>
      <c r="AI403" s="76" t="n">
        <f aca="false">IF(ISERROR(VLOOKUP($P403,Member_Tab,4,FALSE())),0,(VLOOKUP($P403,Member_Tab,4,FALSE()) * 0.2 * AI$7) * (IF(AND(AI$5 &gt;= VLOOKUP($P403,Member_Tab,6,FALSE()), AI$5 &lt;= VLOOKUP($P403,Member_Tab,7,FALSE())),1,0))  )</f>
        <v>0</v>
      </c>
      <c r="AJ403" s="76" t="n">
        <f aca="false">IF(ISERROR(VLOOKUP($P403,Member_Tab,4,FALSE())),0,(VLOOKUP($P403,Member_Tab,4,FALSE()) * 0.2 * AJ$7) * (IF(AND(AJ$5 &gt;= VLOOKUP($P403,Member_Tab,6,FALSE()), AJ$5 &lt;= VLOOKUP($P403,Member_Tab,7,FALSE())),1,0))  )</f>
        <v>0</v>
      </c>
      <c r="AK403" s="76" t="n">
        <f aca="false">IF(ISERROR(VLOOKUP($P403,Member_Tab,4,FALSE())),0,(VLOOKUP($P403,Member_Tab,4,FALSE()) * 0.2 * AK$7) * (IF(AND(AK$5 &gt;= VLOOKUP($P403,Member_Tab,6,FALSE()), AK$5 &lt;= VLOOKUP($P403,Member_Tab,7,FALSE())),1,0))  )</f>
        <v>0</v>
      </c>
      <c r="AL403" s="76" t="n">
        <f aca="false">IF(ISERROR(VLOOKUP($P403,Member_Tab,4,FALSE())),0,(VLOOKUP($P403,Member_Tab,4,FALSE()) * 0.2 * AL$7) * (IF(AND(AL$5 &gt;= VLOOKUP($P403,Member_Tab,6,FALSE()), AL$5 &lt;= VLOOKUP($P403,Member_Tab,7,FALSE())),1,0))  )</f>
        <v>0</v>
      </c>
      <c r="AM403" s="76" t="n">
        <f aca="false">IF(ISERROR(VLOOKUP($P403,Member_Tab,4,FALSE())),0,(VLOOKUP($P403,Member_Tab,4,FALSE()) * 0.2 * AM$7) * (IF(AND(AM$5 &gt;= VLOOKUP($P403,Member_Tab,6,FALSE()), AM$5 &lt;= VLOOKUP($P403,Member_Tab,7,FALSE())),1,0))  )</f>
        <v>0</v>
      </c>
      <c r="AN403" s="76" t="n">
        <f aca="false">IF(ISERROR(VLOOKUP($P403,Member_Tab,4,FALSE())),0,(VLOOKUP($P403,Member_Tab,4,FALSE()) * 0.2 * AN$7) * (IF(AND(AN$5 &gt;= VLOOKUP($P403,Member_Tab,6,FALSE()), AN$5 &lt;= VLOOKUP($P403,Member_Tab,7,FALSE())),1,0))  )</f>
        <v>0</v>
      </c>
      <c r="AO403" s="76" t="n">
        <f aca="false">IF(ISERROR(VLOOKUP($P403,Member_Tab,4,FALSE())),0,(VLOOKUP($P403,Member_Tab,4,FALSE()) * 0.2 * AO$7) * (IF(AND(AO$5 &gt;= VLOOKUP($P403,Member_Tab,6,FALSE()), AO$5 &lt;= VLOOKUP($P403,Member_Tab,7,FALSE())),1,0))  )</f>
        <v>0</v>
      </c>
      <c r="AP403" s="76" t="n">
        <f aca="false">IF(ISERROR(VLOOKUP($P403,Member_Tab,4,FALSE())),0,(VLOOKUP($P403,Member_Tab,4,FALSE()) * 0.2 * AP$7) * (IF(AND(AP$5 &gt;= VLOOKUP($P403,Member_Tab,6,FALSE()), AP$5 &lt;= VLOOKUP($P403,Member_Tab,7,FALSE())),1,0))  )</f>
        <v>0</v>
      </c>
      <c r="AQ403" s="76" t="n">
        <f aca="false">IF(ISERROR(VLOOKUP($P403,Member_Tab,4,FALSE())),0,(VLOOKUP($P403,Member_Tab,4,FALSE()) * 0.2 * AQ$7) * (IF(AND(AQ$5 &gt;= VLOOKUP($P403,Member_Tab,6,FALSE()), AQ$5 &lt;= VLOOKUP($P403,Member_Tab,7,FALSE())),1,0))  )</f>
        <v>0</v>
      </c>
      <c r="AR403" s="76" t="n">
        <f aca="false">IF(ISERROR(VLOOKUP($P403,Member_Tab,4,FALSE())),0,(VLOOKUP($P403,Member_Tab,4,FALSE()) * 0.2 * AR$7) * (IF(AND(AR$5 &gt;= VLOOKUP($P403,Member_Tab,6,FALSE()), AR$5 &lt;= VLOOKUP($P403,Member_Tab,7,FALSE())),1,0))  )</f>
        <v>0</v>
      </c>
      <c r="AS403" s="76" t="n">
        <f aca="false">IF(ISERROR(VLOOKUP($P403,Member_Tab,4,FALSE())),0,(VLOOKUP($P403,Member_Tab,4,FALSE()) * 0.2 * AS$7) * (IF(AND(AS$5 &gt;= VLOOKUP($P403,Member_Tab,6,FALSE()), AS$5 &lt;= VLOOKUP($P403,Member_Tab,7,FALSE())),1,0))  )</f>
        <v>0</v>
      </c>
      <c r="AT403" s="76" t="n">
        <f aca="false">IF(ISERROR(VLOOKUP($P403,Member_Tab,4,FALSE())),0,(VLOOKUP($P403,Member_Tab,4,FALSE()) * 0.2 * AT$7) * (IF(AND(AT$5 &gt;= VLOOKUP($P403,Member_Tab,6,FALSE()), AT$5 &lt;= VLOOKUP($P403,Member_Tab,7,FALSE())),1,0))  )</f>
        <v>0</v>
      </c>
      <c r="AU403" s="76" t="n">
        <f aca="false">IF(ISERROR(VLOOKUP($P403,Member_Tab,4,FALSE())),0,(VLOOKUP($P403,Member_Tab,4,FALSE()) * 0.2 * AU$7) * (IF(AND(AU$5 &gt;= VLOOKUP($P403,Member_Tab,6,FALSE()), AU$5 &lt;= VLOOKUP($P403,Member_Tab,7,FALSE())),1,0))  )</f>
        <v>0</v>
      </c>
      <c r="AV403" s="76" t="n">
        <f aca="false">IF(ISERROR(VLOOKUP($P403,Member_Tab,4,FALSE())),0,(VLOOKUP($P403,Member_Tab,4,FALSE()) * 0.2 * AV$7) * (IF(AND(AV$5 &gt;= VLOOKUP($P403,Member_Tab,6,FALSE()), AV$5 &lt;= VLOOKUP($P403,Member_Tab,7,FALSE())),1,0))  )</f>
        <v>0</v>
      </c>
      <c r="AW403" s="76" t="n">
        <f aca="false">IF(ISERROR(VLOOKUP($P403,Member_Tab,4,FALSE())),0,(VLOOKUP($P403,Member_Tab,4,FALSE()) * 0.2 * AW$7) * (IF(AND(AW$5 &gt;= VLOOKUP($P403,Member_Tab,6,FALSE()), AW$5 &lt;= VLOOKUP($P403,Member_Tab,7,FALSE())),1,0))  )</f>
        <v>0</v>
      </c>
      <c r="AX403" s="76" t="n">
        <f aca="false">IF(ISERROR(VLOOKUP($P403,Member_Tab,4,FALSE())),0,(VLOOKUP($P403,Member_Tab,4,FALSE()) * 0.2 * AX$7) * (IF(AND(AX$5 &gt;= VLOOKUP($P403,Member_Tab,6,FALSE()), AX$5 &lt;= VLOOKUP($P403,Member_Tab,7,FALSE())),1,0))  )</f>
        <v>0</v>
      </c>
      <c r="AY403" s="76" t="n">
        <f aca="false">IF(ISERROR(VLOOKUP($P403,Member_Tab,4,FALSE())),0,(VLOOKUP($P403,Member_Tab,4,FALSE()) * 0.2 * AY$7) * (IF(AND(AY$5 &gt;= VLOOKUP($P403,Member_Tab,6,FALSE()), AY$5 &lt;= VLOOKUP($P403,Member_Tab,7,FALSE())),1,0))  )</f>
        <v>0</v>
      </c>
      <c r="AZ403" s="76" t="n">
        <f aca="false">IF(ISERROR(VLOOKUP($P403,Member_Tab,4,FALSE())),0,(VLOOKUP($P403,Member_Tab,4,FALSE()) * 0.2 * AZ$7) * (IF(AND(AZ$5 &gt;= VLOOKUP($P403,Member_Tab,6,FALSE()), AZ$5 &lt;= VLOOKUP($P403,Member_Tab,7,FALSE())),1,0))  )</f>
        <v>0</v>
      </c>
      <c r="BA403" s="76" t="n">
        <f aca="false">IF(ISERROR(VLOOKUP($P403,Member_Tab,4,FALSE())),0,(VLOOKUP($P403,Member_Tab,4,FALSE()) * 0.2 * BA$7) * (IF(AND(BA$5 &gt;= VLOOKUP($P403,Member_Tab,6,FALSE()), BA$5 &lt;= VLOOKUP($P403,Member_Tab,7,FALSE())),1,0))  )</f>
        <v>0</v>
      </c>
      <c r="BB403" s="76" t="n">
        <f aca="false">IF(ISERROR(VLOOKUP($P403,Member_Tab,4,FALSE())),0,(VLOOKUP($P403,Member_Tab,4,FALSE()) * 0.2 * BB$7) * (IF(AND(BB$5 &gt;= VLOOKUP($P403,Member_Tab,6,FALSE()), BB$5 &lt;= VLOOKUP($P403,Member_Tab,7,FALSE())),1,0))  )</f>
        <v>0</v>
      </c>
    </row>
    <row r="404" s="173" customFormat="true" ht="15" hidden="true" customHeight="false" outlineLevel="1" collapsed="false">
      <c r="E404" s="40"/>
      <c r="K404" s="40"/>
      <c r="L404" s="40"/>
      <c r="M404" s="40"/>
      <c r="N404" s="40"/>
      <c r="P404" s="177" t="str">
        <f aca="false">P267</f>
        <v>Lastname14, Firstname14</v>
      </c>
      <c r="Q404" s="40"/>
      <c r="R404" s="178"/>
      <c r="S404" s="76" t="n">
        <f aca="false">IF(ISERROR(VLOOKUP($P404,Member_Tab,4,FALSE())),0,(VLOOKUP($P404,Member_Tab,4,FALSE()) * 0.2 * S$7) * (IF(AND(S$5 &gt;= VLOOKUP($P404,Member_Tab,6,FALSE()), S$5 &lt;= VLOOKUP($P404,Member_Tab,7,FALSE())),1,0))  )</f>
        <v>0</v>
      </c>
      <c r="T404" s="76" t="n">
        <f aca="false">IF(ISERROR(VLOOKUP($P404,Member_Tab,4,FALSE())),0,(VLOOKUP($P404,Member_Tab,4,FALSE()) * 0.2 * T$7) * (IF(AND(T$5 &gt;= VLOOKUP($P404,Member_Tab,6,FALSE()), T$5 &lt;= VLOOKUP($P404,Member_Tab,7,FALSE())),1,0))  )</f>
        <v>0</v>
      </c>
      <c r="U404" s="76" t="n">
        <f aca="false">IF(ISERROR(VLOOKUP($P404,Member_Tab,4,FALSE())),0,(VLOOKUP($P404,Member_Tab,4,FALSE()) * 0.2 * U$7) * (IF(AND(U$5 &gt;= VLOOKUP($P404,Member_Tab,6,FALSE()), U$5 &lt;= VLOOKUP($P404,Member_Tab,7,FALSE())),1,0))  )</f>
        <v>0</v>
      </c>
      <c r="V404" s="76" t="n">
        <f aca="false">IF(ISERROR(VLOOKUP($P404,Member_Tab,4,FALSE())),0,(VLOOKUP($P404,Member_Tab,4,FALSE()) * 0.2 * V$7) * (IF(AND(V$5 &gt;= VLOOKUP($P404,Member_Tab,6,FALSE()), V$5 &lt;= VLOOKUP($P404,Member_Tab,7,FALSE())),1,0))  )</f>
        <v>0</v>
      </c>
      <c r="W404" s="76" t="n">
        <f aca="false">IF(ISERROR(VLOOKUP($P404,Member_Tab,4,FALSE())),0,(VLOOKUP($P404,Member_Tab,4,FALSE()) * 0.2 * W$7) * (IF(AND(W$5 &gt;= VLOOKUP($P404,Member_Tab,6,FALSE()), W$5 &lt;= VLOOKUP($P404,Member_Tab,7,FALSE())),1,0))  )</f>
        <v>0</v>
      </c>
      <c r="X404" s="76" t="n">
        <f aca="false">IF(ISERROR(VLOOKUP($P404,Member_Tab,4,FALSE())),0,(VLOOKUP($P404,Member_Tab,4,FALSE()) * 0.2 * X$7) * (IF(AND(X$5 &gt;= VLOOKUP($P404,Member_Tab,6,FALSE()), X$5 &lt;= VLOOKUP($P404,Member_Tab,7,FALSE())),1,0))  )</f>
        <v>0</v>
      </c>
      <c r="Y404" s="76" t="n">
        <f aca="false">IF(ISERROR(VLOOKUP($P404,Member_Tab,4,FALSE())),0,(VLOOKUP($P404,Member_Tab,4,FALSE()) * 0.2 * Y$7) * (IF(AND(Y$5 &gt;= VLOOKUP($P404,Member_Tab,6,FALSE()), Y$5 &lt;= VLOOKUP($P404,Member_Tab,7,FALSE())),1,0))  )</f>
        <v>0</v>
      </c>
      <c r="Z404" s="76" t="n">
        <f aca="false">IF(ISERROR(VLOOKUP($P404,Member_Tab,4,FALSE())),0,(VLOOKUP($P404,Member_Tab,4,FALSE()) * 0.2 * Z$7) * (IF(AND(Z$5 &gt;= VLOOKUP($P404,Member_Tab,6,FALSE()), Z$5 &lt;= VLOOKUP($P404,Member_Tab,7,FALSE())),1,0))  )</f>
        <v>0</v>
      </c>
      <c r="AA404" s="76" t="n">
        <f aca="false">IF(ISERROR(VLOOKUP($P404,Member_Tab,4,FALSE())),0,(VLOOKUP($P404,Member_Tab,4,FALSE()) * 0.2 * AA$7) * (IF(AND(AA$5 &gt;= VLOOKUP($P404,Member_Tab,6,FALSE()), AA$5 &lt;= VLOOKUP($P404,Member_Tab,7,FALSE())),1,0))  )</f>
        <v>0</v>
      </c>
      <c r="AB404" s="76" t="n">
        <f aca="false">IF(ISERROR(VLOOKUP($P404,Member_Tab,4,FALSE())),0,(VLOOKUP($P404,Member_Tab,4,FALSE()) * 0.2 * AB$7) * (IF(AND(AB$5 &gt;= VLOOKUP($P404,Member_Tab,6,FALSE()), AB$5 &lt;= VLOOKUP($P404,Member_Tab,7,FALSE())),1,0))  )</f>
        <v>0</v>
      </c>
      <c r="AC404" s="76" t="n">
        <f aca="false">IF(ISERROR(VLOOKUP($P404,Member_Tab,4,FALSE())),0,(VLOOKUP($P404,Member_Tab,4,FALSE()) * 0.2 * AC$7) * (IF(AND(AC$5 &gt;= VLOOKUP($P404,Member_Tab,6,FALSE()), AC$5 &lt;= VLOOKUP($P404,Member_Tab,7,FALSE())),1,0))  )</f>
        <v>0</v>
      </c>
      <c r="AD404" s="76" t="n">
        <f aca="false">IF(ISERROR(VLOOKUP($P404,Member_Tab,4,FALSE())),0,(VLOOKUP($P404,Member_Tab,4,FALSE()) * 0.2 * AD$7) * (IF(AND(AD$5 &gt;= VLOOKUP($P404,Member_Tab,6,FALSE()), AD$5 &lt;= VLOOKUP($P404,Member_Tab,7,FALSE())),1,0))  )</f>
        <v>0</v>
      </c>
      <c r="AE404" s="76" t="n">
        <f aca="false">IF(ISERROR(VLOOKUP($P404,Member_Tab,4,FALSE())),0,(VLOOKUP($P404,Member_Tab,4,FALSE()) * 0.2 * AE$7) * (IF(AND(AE$5 &gt;= VLOOKUP($P404,Member_Tab,6,FALSE()), AE$5 &lt;= VLOOKUP($P404,Member_Tab,7,FALSE())),1,0))  )</f>
        <v>0</v>
      </c>
      <c r="AF404" s="76" t="n">
        <f aca="false">IF(ISERROR(VLOOKUP($P404,Member_Tab,4,FALSE())),0,(VLOOKUP($P404,Member_Tab,4,FALSE()) * 0.2 * AF$7) * (IF(AND(AF$5 &gt;= VLOOKUP($P404,Member_Tab,6,FALSE()), AF$5 &lt;= VLOOKUP($P404,Member_Tab,7,FALSE())),1,0))  )</f>
        <v>0</v>
      </c>
      <c r="AG404" s="76" t="n">
        <f aca="false">IF(ISERROR(VLOOKUP($P404,Member_Tab,4,FALSE())),0,(VLOOKUP($P404,Member_Tab,4,FALSE()) * 0.2 * AG$7) * (IF(AND(AG$5 &gt;= VLOOKUP($P404,Member_Tab,6,FALSE()), AG$5 &lt;= VLOOKUP($P404,Member_Tab,7,FALSE())),1,0))  )</f>
        <v>0</v>
      </c>
      <c r="AH404" s="76" t="n">
        <f aca="false">IF(ISERROR(VLOOKUP($P404,Member_Tab,4,FALSE())),0,(VLOOKUP($P404,Member_Tab,4,FALSE()) * 0.2 * AH$7) * (IF(AND(AH$5 &gt;= VLOOKUP($P404,Member_Tab,6,FALSE()), AH$5 &lt;= VLOOKUP($P404,Member_Tab,7,FALSE())),1,0))  )</f>
        <v>0</v>
      </c>
      <c r="AI404" s="76" t="n">
        <f aca="false">IF(ISERROR(VLOOKUP($P404,Member_Tab,4,FALSE())),0,(VLOOKUP($P404,Member_Tab,4,FALSE()) * 0.2 * AI$7) * (IF(AND(AI$5 &gt;= VLOOKUP($P404,Member_Tab,6,FALSE()), AI$5 &lt;= VLOOKUP($P404,Member_Tab,7,FALSE())),1,0))  )</f>
        <v>0</v>
      </c>
      <c r="AJ404" s="76" t="n">
        <f aca="false">IF(ISERROR(VLOOKUP($P404,Member_Tab,4,FALSE())),0,(VLOOKUP($P404,Member_Tab,4,FALSE()) * 0.2 * AJ$7) * (IF(AND(AJ$5 &gt;= VLOOKUP($P404,Member_Tab,6,FALSE()), AJ$5 &lt;= VLOOKUP($P404,Member_Tab,7,FALSE())),1,0))  )</f>
        <v>0</v>
      </c>
      <c r="AK404" s="76" t="n">
        <f aca="false">IF(ISERROR(VLOOKUP($P404,Member_Tab,4,FALSE())),0,(VLOOKUP($P404,Member_Tab,4,FALSE()) * 0.2 * AK$7) * (IF(AND(AK$5 &gt;= VLOOKUP($P404,Member_Tab,6,FALSE()), AK$5 &lt;= VLOOKUP($P404,Member_Tab,7,FALSE())),1,0))  )</f>
        <v>0</v>
      </c>
      <c r="AL404" s="76" t="n">
        <f aca="false">IF(ISERROR(VLOOKUP($P404,Member_Tab,4,FALSE())),0,(VLOOKUP($P404,Member_Tab,4,FALSE()) * 0.2 * AL$7) * (IF(AND(AL$5 &gt;= VLOOKUP($P404,Member_Tab,6,FALSE()), AL$5 &lt;= VLOOKUP($P404,Member_Tab,7,FALSE())),1,0))  )</f>
        <v>0</v>
      </c>
      <c r="AM404" s="76" t="n">
        <f aca="false">IF(ISERROR(VLOOKUP($P404,Member_Tab,4,FALSE())),0,(VLOOKUP($P404,Member_Tab,4,FALSE()) * 0.2 * AM$7) * (IF(AND(AM$5 &gt;= VLOOKUP($P404,Member_Tab,6,FALSE()), AM$5 &lt;= VLOOKUP($P404,Member_Tab,7,FALSE())),1,0))  )</f>
        <v>0</v>
      </c>
      <c r="AN404" s="76" t="n">
        <f aca="false">IF(ISERROR(VLOOKUP($P404,Member_Tab,4,FALSE())),0,(VLOOKUP($P404,Member_Tab,4,FALSE()) * 0.2 * AN$7) * (IF(AND(AN$5 &gt;= VLOOKUP($P404,Member_Tab,6,FALSE()), AN$5 &lt;= VLOOKUP($P404,Member_Tab,7,FALSE())),1,0))  )</f>
        <v>0</v>
      </c>
      <c r="AO404" s="76" t="n">
        <f aca="false">IF(ISERROR(VLOOKUP($P404,Member_Tab,4,FALSE())),0,(VLOOKUP($P404,Member_Tab,4,FALSE()) * 0.2 * AO$7) * (IF(AND(AO$5 &gt;= VLOOKUP($P404,Member_Tab,6,FALSE()), AO$5 &lt;= VLOOKUP($P404,Member_Tab,7,FALSE())),1,0))  )</f>
        <v>0</v>
      </c>
      <c r="AP404" s="76" t="n">
        <f aca="false">IF(ISERROR(VLOOKUP($P404,Member_Tab,4,FALSE())),0,(VLOOKUP($P404,Member_Tab,4,FALSE()) * 0.2 * AP$7) * (IF(AND(AP$5 &gt;= VLOOKUP($P404,Member_Tab,6,FALSE()), AP$5 &lt;= VLOOKUP($P404,Member_Tab,7,FALSE())),1,0))  )</f>
        <v>0</v>
      </c>
      <c r="AQ404" s="76" t="n">
        <f aca="false">IF(ISERROR(VLOOKUP($P404,Member_Tab,4,FALSE())),0,(VLOOKUP($P404,Member_Tab,4,FALSE()) * 0.2 * AQ$7) * (IF(AND(AQ$5 &gt;= VLOOKUP($P404,Member_Tab,6,FALSE()), AQ$5 &lt;= VLOOKUP($P404,Member_Tab,7,FALSE())),1,0))  )</f>
        <v>0</v>
      </c>
      <c r="AR404" s="76" t="n">
        <f aca="false">IF(ISERROR(VLOOKUP($P404,Member_Tab,4,FALSE())),0,(VLOOKUP($P404,Member_Tab,4,FALSE()) * 0.2 * AR$7) * (IF(AND(AR$5 &gt;= VLOOKUP($P404,Member_Tab,6,FALSE()), AR$5 &lt;= VLOOKUP($P404,Member_Tab,7,FALSE())),1,0))  )</f>
        <v>0</v>
      </c>
      <c r="AS404" s="76" t="n">
        <f aca="false">IF(ISERROR(VLOOKUP($P404,Member_Tab,4,FALSE())),0,(VLOOKUP($P404,Member_Tab,4,FALSE()) * 0.2 * AS$7) * (IF(AND(AS$5 &gt;= VLOOKUP($P404,Member_Tab,6,FALSE()), AS$5 &lt;= VLOOKUP($P404,Member_Tab,7,FALSE())),1,0))  )</f>
        <v>0</v>
      </c>
      <c r="AT404" s="76" t="n">
        <f aca="false">IF(ISERROR(VLOOKUP($P404,Member_Tab,4,FALSE())),0,(VLOOKUP($P404,Member_Tab,4,FALSE()) * 0.2 * AT$7) * (IF(AND(AT$5 &gt;= VLOOKUP($P404,Member_Tab,6,FALSE()), AT$5 &lt;= VLOOKUP($P404,Member_Tab,7,FALSE())),1,0))  )</f>
        <v>0</v>
      </c>
      <c r="AU404" s="76" t="n">
        <f aca="false">IF(ISERROR(VLOOKUP($P404,Member_Tab,4,FALSE())),0,(VLOOKUP($P404,Member_Tab,4,FALSE()) * 0.2 * AU$7) * (IF(AND(AU$5 &gt;= VLOOKUP($P404,Member_Tab,6,FALSE()), AU$5 &lt;= VLOOKUP($P404,Member_Tab,7,FALSE())),1,0))  )</f>
        <v>0</v>
      </c>
      <c r="AV404" s="76" t="n">
        <f aca="false">IF(ISERROR(VLOOKUP($P404,Member_Tab,4,FALSE())),0,(VLOOKUP($P404,Member_Tab,4,FALSE()) * 0.2 * AV$7) * (IF(AND(AV$5 &gt;= VLOOKUP($P404,Member_Tab,6,FALSE()), AV$5 &lt;= VLOOKUP($P404,Member_Tab,7,FALSE())),1,0))  )</f>
        <v>0</v>
      </c>
      <c r="AW404" s="76" t="n">
        <f aca="false">IF(ISERROR(VLOOKUP($P404,Member_Tab,4,FALSE())),0,(VLOOKUP($P404,Member_Tab,4,FALSE()) * 0.2 * AW$7) * (IF(AND(AW$5 &gt;= VLOOKUP($P404,Member_Tab,6,FALSE()), AW$5 &lt;= VLOOKUP($P404,Member_Tab,7,FALSE())),1,0))  )</f>
        <v>0</v>
      </c>
      <c r="AX404" s="76" t="n">
        <f aca="false">IF(ISERROR(VLOOKUP($P404,Member_Tab,4,FALSE())),0,(VLOOKUP($P404,Member_Tab,4,FALSE()) * 0.2 * AX$7) * (IF(AND(AX$5 &gt;= VLOOKUP($P404,Member_Tab,6,FALSE()), AX$5 &lt;= VLOOKUP($P404,Member_Tab,7,FALSE())),1,0))  )</f>
        <v>0</v>
      </c>
      <c r="AY404" s="76" t="n">
        <f aca="false">IF(ISERROR(VLOOKUP($P404,Member_Tab,4,FALSE())),0,(VLOOKUP($P404,Member_Tab,4,FALSE()) * 0.2 * AY$7) * (IF(AND(AY$5 &gt;= VLOOKUP($P404,Member_Tab,6,FALSE()), AY$5 &lt;= VLOOKUP($P404,Member_Tab,7,FALSE())),1,0))  )</f>
        <v>0</v>
      </c>
      <c r="AZ404" s="76" t="n">
        <f aca="false">IF(ISERROR(VLOOKUP($P404,Member_Tab,4,FALSE())),0,(VLOOKUP($P404,Member_Tab,4,FALSE()) * 0.2 * AZ$7) * (IF(AND(AZ$5 &gt;= VLOOKUP($P404,Member_Tab,6,FALSE()), AZ$5 &lt;= VLOOKUP($P404,Member_Tab,7,FALSE())),1,0))  )</f>
        <v>0</v>
      </c>
      <c r="BA404" s="76" t="n">
        <f aca="false">IF(ISERROR(VLOOKUP($P404,Member_Tab,4,FALSE())),0,(VLOOKUP($P404,Member_Tab,4,FALSE()) * 0.2 * BA$7) * (IF(AND(BA$5 &gt;= VLOOKUP($P404,Member_Tab,6,FALSE()), BA$5 &lt;= VLOOKUP($P404,Member_Tab,7,FALSE())),1,0))  )</f>
        <v>0</v>
      </c>
      <c r="BB404" s="76" t="n">
        <f aca="false">IF(ISERROR(VLOOKUP($P404,Member_Tab,4,FALSE())),0,(VLOOKUP($P404,Member_Tab,4,FALSE()) * 0.2 * BB$7) * (IF(AND(BB$5 &gt;= VLOOKUP($P404,Member_Tab,6,FALSE()), BB$5 &lt;= VLOOKUP($P404,Member_Tab,7,FALSE())),1,0))  )</f>
        <v>0</v>
      </c>
    </row>
    <row r="405" s="173" customFormat="true" ht="15" hidden="true" customHeight="false" outlineLevel="1" collapsed="false">
      <c r="E405" s="40"/>
      <c r="K405" s="40"/>
      <c r="L405" s="40"/>
      <c r="M405" s="40"/>
      <c r="N405" s="40"/>
      <c r="P405" s="177" t="str">
        <f aca="false">P268</f>
        <v>Lastname15, Firstname15</v>
      </c>
      <c r="Q405" s="40"/>
      <c r="R405" s="178"/>
      <c r="S405" s="76" t="n">
        <f aca="false">IF(ISERROR(VLOOKUP($P405,Member_Tab,4,FALSE())),0,(VLOOKUP($P405,Member_Tab,4,FALSE()) * 0.2 * S$7) * (IF(AND(S$5 &gt;= VLOOKUP($P405,Member_Tab,6,FALSE()), S$5 &lt;= VLOOKUP($P405,Member_Tab,7,FALSE())),1,0))  )</f>
        <v>0</v>
      </c>
      <c r="T405" s="76" t="n">
        <f aca="false">IF(ISERROR(VLOOKUP($P405,Member_Tab,4,FALSE())),0,(VLOOKUP($P405,Member_Tab,4,FALSE()) * 0.2 * T$7) * (IF(AND(T$5 &gt;= VLOOKUP($P405,Member_Tab,6,FALSE()), T$5 &lt;= VLOOKUP($P405,Member_Tab,7,FALSE())),1,0))  )</f>
        <v>0</v>
      </c>
      <c r="U405" s="76" t="n">
        <f aca="false">IF(ISERROR(VLOOKUP($P405,Member_Tab,4,FALSE())),0,(VLOOKUP($P405,Member_Tab,4,FALSE()) * 0.2 * U$7) * (IF(AND(U$5 &gt;= VLOOKUP($P405,Member_Tab,6,FALSE()), U$5 &lt;= VLOOKUP($P405,Member_Tab,7,FALSE())),1,0))  )</f>
        <v>0</v>
      </c>
      <c r="V405" s="76" t="n">
        <f aca="false">IF(ISERROR(VLOOKUP($P405,Member_Tab,4,FALSE())),0,(VLOOKUP($P405,Member_Tab,4,FALSE()) * 0.2 * V$7) * (IF(AND(V$5 &gt;= VLOOKUP($P405,Member_Tab,6,FALSE()), V$5 &lt;= VLOOKUP($P405,Member_Tab,7,FALSE())),1,0))  )</f>
        <v>0</v>
      </c>
      <c r="W405" s="76" t="n">
        <f aca="false">IF(ISERROR(VLOOKUP($P405,Member_Tab,4,FALSE())),0,(VLOOKUP($P405,Member_Tab,4,FALSE()) * 0.2 * W$7) * (IF(AND(W$5 &gt;= VLOOKUP($P405,Member_Tab,6,FALSE()), W$5 &lt;= VLOOKUP($P405,Member_Tab,7,FALSE())),1,0))  )</f>
        <v>0</v>
      </c>
      <c r="X405" s="76" t="n">
        <f aca="false">IF(ISERROR(VLOOKUP($P405,Member_Tab,4,FALSE())),0,(VLOOKUP($P405,Member_Tab,4,FALSE()) * 0.2 * X$7) * (IF(AND(X$5 &gt;= VLOOKUP($P405,Member_Tab,6,FALSE()), X$5 &lt;= VLOOKUP($P405,Member_Tab,7,FALSE())),1,0))  )</f>
        <v>0</v>
      </c>
      <c r="Y405" s="76" t="n">
        <f aca="false">IF(ISERROR(VLOOKUP($P405,Member_Tab,4,FALSE())),0,(VLOOKUP($P405,Member_Tab,4,FALSE()) * 0.2 * Y$7) * (IF(AND(Y$5 &gt;= VLOOKUP($P405,Member_Tab,6,FALSE()), Y$5 &lt;= VLOOKUP($P405,Member_Tab,7,FALSE())),1,0))  )</f>
        <v>0</v>
      </c>
      <c r="Z405" s="76" t="n">
        <f aca="false">IF(ISERROR(VLOOKUP($P405,Member_Tab,4,FALSE())),0,(VLOOKUP($P405,Member_Tab,4,FALSE()) * 0.2 * Z$7) * (IF(AND(Z$5 &gt;= VLOOKUP($P405,Member_Tab,6,FALSE()), Z$5 &lt;= VLOOKUP($P405,Member_Tab,7,FALSE())),1,0))  )</f>
        <v>0</v>
      </c>
      <c r="AA405" s="76" t="n">
        <f aca="false">IF(ISERROR(VLOOKUP($P405,Member_Tab,4,FALSE())),0,(VLOOKUP($P405,Member_Tab,4,FALSE()) * 0.2 * AA$7) * (IF(AND(AA$5 &gt;= VLOOKUP($P405,Member_Tab,6,FALSE()), AA$5 &lt;= VLOOKUP($P405,Member_Tab,7,FALSE())),1,0))  )</f>
        <v>0</v>
      </c>
      <c r="AB405" s="76" t="n">
        <f aca="false">IF(ISERROR(VLOOKUP($P405,Member_Tab,4,FALSE())),0,(VLOOKUP($P405,Member_Tab,4,FALSE()) * 0.2 * AB$7) * (IF(AND(AB$5 &gt;= VLOOKUP($P405,Member_Tab,6,FALSE()), AB$5 &lt;= VLOOKUP($P405,Member_Tab,7,FALSE())),1,0))  )</f>
        <v>0</v>
      </c>
      <c r="AC405" s="76" t="n">
        <f aca="false">IF(ISERROR(VLOOKUP($P405,Member_Tab,4,FALSE())),0,(VLOOKUP($P405,Member_Tab,4,FALSE()) * 0.2 * AC$7) * (IF(AND(AC$5 &gt;= VLOOKUP($P405,Member_Tab,6,FALSE()), AC$5 &lt;= VLOOKUP($P405,Member_Tab,7,FALSE())),1,0))  )</f>
        <v>0</v>
      </c>
      <c r="AD405" s="76" t="n">
        <f aca="false">IF(ISERROR(VLOOKUP($P405,Member_Tab,4,FALSE())),0,(VLOOKUP($P405,Member_Tab,4,FALSE()) * 0.2 * AD$7) * (IF(AND(AD$5 &gt;= VLOOKUP($P405,Member_Tab,6,FALSE()), AD$5 &lt;= VLOOKUP($P405,Member_Tab,7,FALSE())),1,0))  )</f>
        <v>0</v>
      </c>
      <c r="AE405" s="76" t="n">
        <f aca="false">IF(ISERROR(VLOOKUP($P405,Member_Tab,4,FALSE())),0,(VLOOKUP($P405,Member_Tab,4,FALSE()) * 0.2 * AE$7) * (IF(AND(AE$5 &gt;= VLOOKUP($P405,Member_Tab,6,FALSE()), AE$5 &lt;= VLOOKUP($P405,Member_Tab,7,FALSE())),1,0))  )</f>
        <v>0</v>
      </c>
      <c r="AF405" s="76" t="n">
        <f aca="false">IF(ISERROR(VLOOKUP($P405,Member_Tab,4,FALSE())),0,(VLOOKUP($P405,Member_Tab,4,FALSE()) * 0.2 * AF$7) * (IF(AND(AF$5 &gt;= VLOOKUP($P405,Member_Tab,6,FALSE()), AF$5 &lt;= VLOOKUP($P405,Member_Tab,7,FALSE())),1,0))  )</f>
        <v>0</v>
      </c>
      <c r="AG405" s="76" t="n">
        <f aca="false">IF(ISERROR(VLOOKUP($P405,Member_Tab,4,FALSE())),0,(VLOOKUP($P405,Member_Tab,4,FALSE()) * 0.2 * AG$7) * (IF(AND(AG$5 &gt;= VLOOKUP($P405,Member_Tab,6,FALSE()), AG$5 &lt;= VLOOKUP($P405,Member_Tab,7,FALSE())),1,0))  )</f>
        <v>0</v>
      </c>
      <c r="AH405" s="76" t="n">
        <f aca="false">IF(ISERROR(VLOOKUP($P405,Member_Tab,4,FALSE())),0,(VLOOKUP($P405,Member_Tab,4,FALSE()) * 0.2 * AH$7) * (IF(AND(AH$5 &gt;= VLOOKUP($P405,Member_Tab,6,FALSE()), AH$5 &lt;= VLOOKUP($P405,Member_Tab,7,FALSE())),1,0))  )</f>
        <v>0</v>
      </c>
      <c r="AI405" s="76" t="n">
        <f aca="false">IF(ISERROR(VLOOKUP($P405,Member_Tab,4,FALSE())),0,(VLOOKUP($P405,Member_Tab,4,FALSE()) * 0.2 * AI$7) * (IF(AND(AI$5 &gt;= VLOOKUP($P405,Member_Tab,6,FALSE()), AI$5 &lt;= VLOOKUP($P405,Member_Tab,7,FALSE())),1,0))  )</f>
        <v>0</v>
      </c>
      <c r="AJ405" s="76" t="n">
        <f aca="false">IF(ISERROR(VLOOKUP($P405,Member_Tab,4,FALSE())),0,(VLOOKUP($P405,Member_Tab,4,FALSE()) * 0.2 * AJ$7) * (IF(AND(AJ$5 &gt;= VLOOKUP($P405,Member_Tab,6,FALSE()), AJ$5 &lt;= VLOOKUP($P405,Member_Tab,7,FALSE())),1,0))  )</f>
        <v>0</v>
      </c>
      <c r="AK405" s="76" t="n">
        <f aca="false">IF(ISERROR(VLOOKUP($P405,Member_Tab,4,FALSE())),0,(VLOOKUP($P405,Member_Tab,4,FALSE()) * 0.2 * AK$7) * (IF(AND(AK$5 &gt;= VLOOKUP($P405,Member_Tab,6,FALSE()), AK$5 &lt;= VLOOKUP($P405,Member_Tab,7,FALSE())),1,0))  )</f>
        <v>0</v>
      </c>
      <c r="AL405" s="76" t="n">
        <f aca="false">IF(ISERROR(VLOOKUP($P405,Member_Tab,4,FALSE())),0,(VLOOKUP($P405,Member_Tab,4,FALSE()) * 0.2 * AL$7) * (IF(AND(AL$5 &gt;= VLOOKUP($P405,Member_Tab,6,FALSE()), AL$5 &lt;= VLOOKUP($P405,Member_Tab,7,FALSE())),1,0))  )</f>
        <v>0</v>
      </c>
      <c r="AM405" s="76" t="n">
        <f aca="false">IF(ISERROR(VLOOKUP($P405,Member_Tab,4,FALSE())),0,(VLOOKUP($P405,Member_Tab,4,FALSE()) * 0.2 * AM$7) * (IF(AND(AM$5 &gt;= VLOOKUP($P405,Member_Tab,6,FALSE()), AM$5 &lt;= VLOOKUP($P405,Member_Tab,7,FALSE())),1,0))  )</f>
        <v>0</v>
      </c>
      <c r="AN405" s="76" t="n">
        <f aca="false">IF(ISERROR(VLOOKUP($P405,Member_Tab,4,FALSE())),0,(VLOOKUP($P405,Member_Tab,4,FALSE()) * 0.2 * AN$7) * (IF(AND(AN$5 &gt;= VLOOKUP($P405,Member_Tab,6,FALSE()), AN$5 &lt;= VLOOKUP($P405,Member_Tab,7,FALSE())),1,0))  )</f>
        <v>0</v>
      </c>
      <c r="AO405" s="76" t="n">
        <f aca="false">IF(ISERROR(VLOOKUP($P405,Member_Tab,4,FALSE())),0,(VLOOKUP($P405,Member_Tab,4,FALSE()) * 0.2 * AO$7) * (IF(AND(AO$5 &gt;= VLOOKUP($P405,Member_Tab,6,FALSE()), AO$5 &lt;= VLOOKUP($P405,Member_Tab,7,FALSE())),1,0))  )</f>
        <v>0</v>
      </c>
      <c r="AP405" s="76" t="n">
        <f aca="false">IF(ISERROR(VLOOKUP($P405,Member_Tab,4,FALSE())),0,(VLOOKUP($P405,Member_Tab,4,FALSE()) * 0.2 * AP$7) * (IF(AND(AP$5 &gt;= VLOOKUP($P405,Member_Tab,6,FALSE()), AP$5 &lt;= VLOOKUP($P405,Member_Tab,7,FALSE())),1,0))  )</f>
        <v>0</v>
      </c>
      <c r="AQ405" s="76" t="n">
        <f aca="false">IF(ISERROR(VLOOKUP($P405,Member_Tab,4,FALSE())),0,(VLOOKUP($P405,Member_Tab,4,FALSE()) * 0.2 * AQ$7) * (IF(AND(AQ$5 &gt;= VLOOKUP($P405,Member_Tab,6,FALSE()), AQ$5 &lt;= VLOOKUP($P405,Member_Tab,7,FALSE())),1,0))  )</f>
        <v>0</v>
      </c>
      <c r="AR405" s="76" t="n">
        <f aca="false">IF(ISERROR(VLOOKUP($P405,Member_Tab,4,FALSE())),0,(VLOOKUP($P405,Member_Tab,4,FALSE()) * 0.2 * AR$7) * (IF(AND(AR$5 &gt;= VLOOKUP($P405,Member_Tab,6,FALSE()), AR$5 &lt;= VLOOKUP($P405,Member_Tab,7,FALSE())),1,0))  )</f>
        <v>0</v>
      </c>
      <c r="AS405" s="76" t="n">
        <f aca="false">IF(ISERROR(VLOOKUP($P405,Member_Tab,4,FALSE())),0,(VLOOKUP($P405,Member_Tab,4,FALSE()) * 0.2 * AS$7) * (IF(AND(AS$5 &gt;= VLOOKUP($P405,Member_Tab,6,FALSE()), AS$5 &lt;= VLOOKUP($P405,Member_Tab,7,FALSE())),1,0))  )</f>
        <v>0</v>
      </c>
      <c r="AT405" s="76" t="n">
        <f aca="false">IF(ISERROR(VLOOKUP($P405,Member_Tab,4,FALSE())),0,(VLOOKUP($P405,Member_Tab,4,FALSE()) * 0.2 * AT$7) * (IF(AND(AT$5 &gt;= VLOOKUP($P405,Member_Tab,6,FALSE()), AT$5 &lt;= VLOOKUP($P405,Member_Tab,7,FALSE())),1,0))  )</f>
        <v>0</v>
      </c>
      <c r="AU405" s="76" t="n">
        <f aca="false">IF(ISERROR(VLOOKUP($P405,Member_Tab,4,FALSE())),0,(VLOOKUP($P405,Member_Tab,4,FALSE()) * 0.2 * AU$7) * (IF(AND(AU$5 &gt;= VLOOKUP($P405,Member_Tab,6,FALSE()), AU$5 &lt;= VLOOKUP($P405,Member_Tab,7,FALSE())),1,0))  )</f>
        <v>0</v>
      </c>
      <c r="AV405" s="76" t="n">
        <f aca="false">IF(ISERROR(VLOOKUP($P405,Member_Tab,4,FALSE())),0,(VLOOKUP($P405,Member_Tab,4,FALSE()) * 0.2 * AV$7) * (IF(AND(AV$5 &gt;= VLOOKUP($P405,Member_Tab,6,FALSE()), AV$5 &lt;= VLOOKUP($P405,Member_Tab,7,FALSE())),1,0))  )</f>
        <v>0</v>
      </c>
      <c r="AW405" s="76" t="n">
        <f aca="false">IF(ISERROR(VLOOKUP($P405,Member_Tab,4,FALSE())),0,(VLOOKUP($P405,Member_Tab,4,FALSE()) * 0.2 * AW$7) * (IF(AND(AW$5 &gt;= VLOOKUP($P405,Member_Tab,6,FALSE()), AW$5 &lt;= VLOOKUP($P405,Member_Tab,7,FALSE())),1,0))  )</f>
        <v>0</v>
      </c>
      <c r="AX405" s="76" t="n">
        <f aca="false">IF(ISERROR(VLOOKUP($P405,Member_Tab,4,FALSE())),0,(VLOOKUP($P405,Member_Tab,4,FALSE()) * 0.2 * AX$7) * (IF(AND(AX$5 &gt;= VLOOKUP($P405,Member_Tab,6,FALSE()), AX$5 &lt;= VLOOKUP($P405,Member_Tab,7,FALSE())),1,0))  )</f>
        <v>0</v>
      </c>
      <c r="AY405" s="76" t="n">
        <f aca="false">IF(ISERROR(VLOOKUP($P405,Member_Tab,4,FALSE())),0,(VLOOKUP($P405,Member_Tab,4,FALSE()) * 0.2 * AY$7) * (IF(AND(AY$5 &gt;= VLOOKUP($P405,Member_Tab,6,FALSE()), AY$5 &lt;= VLOOKUP($P405,Member_Tab,7,FALSE())),1,0))  )</f>
        <v>0</v>
      </c>
      <c r="AZ405" s="76" t="n">
        <f aca="false">IF(ISERROR(VLOOKUP($P405,Member_Tab,4,FALSE())),0,(VLOOKUP($P405,Member_Tab,4,FALSE()) * 0.2 * AZ$7) * (IF(AND(AZ$5 &gt;= VLOOKUP($P405,Member_Tab,6,FALSE()), AZ$5 &lt;= VLOOKUP($P405,Member_Tab,7,FALSE())),1,0))  )</f>
        <v>0</v>
      </c>
      <c r="BA405" s="76" t="n">
        <f aca="false">IF(ISERROR(VLOOKUP($P405,Member_Tab,4,FALSE())),0,(VLOOKUP($P405,Member_Tab,4,FALSE()) * 0.2 * BA$7) * (IF(AND(BA$5 &gt;= VLOOKUP($P405,Member_Tab,6,FALSE()), BA$5 &lt;= VLOOKUP($P405,Member_Tab,7,FALSE())),1,0))  )</f>
        <v>0</v>
      </c>
      <c r="BB405" s="76" t="n">
        <f aca="false">IF(ISERROR(VLOOKUP($P405,Member_Tab,4,FALSE())),0,(VLOOKUP($P405,Member_Tab,4,FALSE()) * 0.2 * BB$7) * (IF(AND(BB$5 &gt;= VLOOKUP($P405,Member_Tab,6,FALSE()), BB$5 &lt;= VLOOKUP($P405,Member_Tab,7,FALSE())),1,0))  )</f>
        <v>0</v>
      </c>
    </row>
    <row r="406" s="173" customFormat="true" ht="15" hidden="true" customHeight="false" outlineLevel="1" collapsed="false">
      <c r="E406" s="40"/>
      <c r="K406" s="40"/>
      <c r="L406" s="40"/>
      <c r="M406" s="40"/>
      <c r="N406" s="40"/>
      <c r="P406" s="177" t="str">
        <f aca="false">P269</f>
        <v>Lastname16, Firstname16</v>
      </c>
      <c r="Q406" s="40"/>
      <c r="R406" s="178"/>
      <c r="S406" s="76" t="n">
        <f aca="false">IF(ISERROR(VLOOKUP($P406,Member_Tab,4,FALSE())),0,(VLOOKUP($P406,Member_Tab,4,FALSE()) * 0.2 * S$7) * (IF(AND(S$5 &gt;= VLOOKUP($P406,Member_Tab,6,FALSE()), S$5 &lt;= VLOOKUP($P406,Member_Tab,7,FALSE())),1,0))  )</f>
        <v>0</v>
      </c>
      <c r="T406" s="76" t="n">
        <f aca="false">IF(ISERROR(VLOOKUP($P406,Member_Tab,4,FALSE())),0,(VLOOKUP($P406,Member_Tab,4,FALSE()) * 0.2 * T$7) * (IF(AND(T$5 &gt;= VLOOKUP($P406,Member_Tab,6,FALSE()), T$5 &lt;= VLOOKUP($P406,Member_Tab,7,FALSE())),1,0))  )</f>
        <v>0</v>
      </c>
      <c r="U406" s="76" t="n">
        <f aca="false">IF(ISERROR(VLOOKUP($P406,Member_Tab,4,FALSE())),0,(VLOOKUP($P406,Member_Tab,4,FALSE()) * 0.2 * U$7) * (IF(AND(U$5 &gt;= VLOOKUP($P406,Member_Tab,6,FALSE()), U$5 &lt;= VLOOKUP($P406,Member_Tab,7,FALSE())),1,0))  )</f>
        <v>0</v>
      </c>
      <c r="V406" s="76" t="n">
        <f aca="false">IF(ISERROR(VLOOKUP($P406,Member_Tab,4,FALSE())),0,(VLOOKUP($P406,Member_Tab,4,FALSE()) * 0.2 * V$7) * (IF(AND(V$5 &gt;= VLOOKUP($P406,Member_Tab,6,FALSE()), V$5 &lt;= VLOOKUP($P406,Member_Tab,7,FALSE())),1,0))  )</f>
        <v>0</v>
      </c>
      <c r="W406" s="76" t="n">
        <f aca="false">IF(ISERROR(VLOOKUP($P406,Member_Tab,4,FALSE())),0,(VLOOKUP($P406,Member_Tab,4,FALSE()) * 0.2 * W$7) * (IF(AND(W$5 &gt;= VLOOKUP($P406,Member_Tab,6,FALSE()), W$5 &lt;= VLOOKUP($P406,Member_Tab,7,FALSE())),1,0))  )</f>
        <v>0</v>
      </c>
      <c r="X406" s="76" t="n">
        <f aca="false">IF(ISERROR(VLOOKUP($P406,Member_Tab,4,FALSE())),0,(VLOOKUP($P406,Member_Tab,4,FALSE()) * 0.2 * X$7) * (IF(AND(X$5 &gt;= VLOOKUP($P406,Member_Tab,6,FALSE()), X$5 &lt;= VLOOKUP($P406,Member_Tab,7,FALSE())),1,0))  )</f>
        <v>0</v>
      </c>
      <c r="Y406" s="76" t="n">
        <f aca="false">IF(ISERROR(VLOOKUP($P406,Member_Tab,4,FALSE())),0,(VLOOKUP($P406,Member_Tab,4,FALSE()) * 0.2 * Y$7) * (IF(AND(Y$5 &gt;= VLOOKUP($P406,Member_Tab,6,FALSE()), Y$5 &lt;= VLOOKUP($P406,Member_Tab,7,FALSE())),1,0))  )</f>
        <v>0</v>
      </c>
      <c r="Z406" s="76" t="n">
        <f aca="false">IF(ISERROR(VLOOKUP($P406,Member_Tab,4,FALSE())),0,(VLOOKUP($P406,Member_Tab,4,FALSE()) * 0.2 * Z$7) * (IF(AND(Z$5 &gt;= VLOOKUP($P406,Member_Tab,6,FALSE()), Z$5 &lt;= VLOOKUP($P406,Member_Tab,7,FALSE())),1,0))  )</f>
        <v>0</v>
      </c>
      <c r="AA406" s="76" t="n">
        <f aca="false">IF(ISERROR(VLOOKUP($P406,Member_Tab,4,FALSE())),0,(VLOOKUP($P406,Member_Tab,4,FALSE()) * 0.2 * AA$7) * (IF(AND(AA$5 &gt;= VLOOKUP($P406,Member_Tab,6,FALSE()), AA$5 &lt;= VLOOKUP($P406,Member_Tab,7,FALSE())),1,0))  )</f>
        <v>0</v>
      </c>
      <c r="AB406" s="76" t="n">
        <f aca="false">IF(ISERROR(VLOOKUP($P406,Member_Tab,4,FALSE())),0,(VLOOKUP($P406,Member_Tab,4,FALSE()) * 0.2 * AB$7) * (IF(AND(AB$5 &gt;= VLOOKUP($P406,Member_Tab,6,FALSE()), AB$5 &lt;= VLOOKUP($P406,Member_Tab,7,FALSE())),1,0))  )</f>
        <v>0</v>
      </c>
      <c r="AC406" s="76" t="n">
        <f aca="false">IF(ISERROR(VLOOKUP($P406,Member_Tab,4,FALSE())),0,(VLOOKUP($P406,Member_Tab,4,FALSE()) * 0.2 * AC$7) * (IF(AND(AC$5 &gt;= VLOOKUP($P406,Member_Tab,6,FALSE()), AC$5 &lt;= VLOOKUP($P406,Member_Tab,7,FALSE())),1,0))  )</f>
        <v>0</v>
      </c>
      <c r="AD406" s="76" t="n">
        <f aca="false">IF(ISERROR(VLOOKUP($P406,Member_Tab,4,FALSE())),0,(VLOOKUP($P406,Member_Tab,4,FALSE()) * 0.2 * AD$7) * (IF(AND(AD$5 &gt;= VLOOKUP($P406,Member_Tab,6,FALSE()), AD$5 &lt;= VLOOKUP($P406,Member_Tab,7,FALSE())),1,0))  )</f>
        <v>0</v>
      </c>
      <c r="AE406" s="76" t="n">
        <f aca="false">IF(ISERROR(VLOOKUP($P406,Member_Tab,4,FALSE())),0,(VLOOKUP($P406,Member_Tab,4,FALSE()) * 0.2 * AE$7) * (IF(AND(AE$5 &gt;= VLOOKUP($P406,Member_Tab,6,FALSE()), AE$5 &lt;= VLOOKUP($P406,Member_Tab,7,FALSE())),1,0))  )</f>
        <v>0</v>
      </c>
      <c r="AF406" s="76" t="n">
        <f aca="false">IF(ISERROR(VLOOKUP($P406,Member_Tab,4,FALSE())),0,(VLOOKUP($P406,Member_Tab,4,FALSE()) * 0.2 * AF$7) * (IF(AND(AF$5 &gt;= VLOOKUP($P406,Member_Tab,6,FALSE()), AF$5 &lt;= VLOOKUP($P406,Member_Tab,7,FALSE())),1,0))  )</f>
        <v>0</v>
      </c>
      <c r="AG406" s="76" t="n">
        <f aca="false">IF(ISERROR(VLOOKUP($P406,Member_Tab,4,FALSE())),0,(VLOOKUP($P406,Member_Tab,4,FALSE()) * 0.2 * AG$7) * (IF(AND(AG$5 &gt;= VLOOKUP($P406,Member_Tab,6,FALSE()), AG$5 &lt;= VLOOKUP($P406,Member_Tab,7,FALSE())),1,0))  )</f>
        <v>0</v>
      </c>
      <c r="AH406" s="76" t="n">
        <f aca="false">IF(ISERROR(VLOOKUP($P406,Member_Tab,4,FALSE())),0,(VLOOKUP($P406,Member_Tab,4,FALSE()) * 0.2 * AH$7) * (IF(AND(AH$5 &gt;= VLOOKUP($P406,Member_Tab,6,FALSE()), AH$5 &lt;= VLOOKUP($P406,Member_Tab,7,FALSE())),1,0))  )</f>
        <v>0</v>
      </c>
      <c r="AI406" s="76" t="n">
        <f aca="false">IF(ISERROR(VLOOKUP($P406,Member_Tab,4,FALSE())),0,(VLOOKUP($P406,Member_Tab,4,FALSE()) * 0.2 * AI$7) * (IF(AND(AI$5 &gt;= VLOOKUP($P406,Member_Tab,6,FALSE()), AI$5 &lt;= VLOOKUP($P406,Member_Tab,7,FALSE())),1,0))  )</f>
        <v>0</v>
      </c>
      <c r="AJ406" s="76" t="n">
        <f aca="false">IF(ISERROR(VLOOKUP($P406,Member_Tab,4,FALSE())),0,(VLOOKUP($P406,Member_Tab,4,FALSE()) * 0.2 * AJ$7) * (IF(AND(AJ$5 &gt;= VLOOKUP($P406,Member_Tab,6,FALSE()), AJ$5 &lt;= VLOOKUP($P406,Member_Tab,7,FALSE())),1,0))  )</f>
        <v>0</v>
      </c>
      <c r="AK406" s="76" t="n">
        <f aca="false">IF(ISERROR(VLOOKUP($P406,Member_Tab,4,FALSE())),0,(VLOOKUP($P406,Member_Tab,4,FALSE()) * 0.2 * AK$7) * (IF(AND(AK$5 &gt;= VLOOKUP($P406,Member_Tab,6,FALSE()), AK$5 &lt;= VLOOKUP($P406,Member_Tab,7,FALSE())),1,0))  )</f>
        <v>0</v>
      </c>
      <c r="AL406" s="76" t="n">
        <f aca="false">IF(ISERROR(VLOOKUP($P406,Member_Tab,4,FALSE())),0,(VLOOKUP($P406,Member_Tab,4,FALSE()) * 0.2 * AL$7) * (IF(AND(AL$5 &gt;= VLOOKUP($P406,Member_Tab,6,FALSE()), AL$5 &lt;= VLOOKUP($P406,Member_Tab,7,FALSE())),1,0))  )</f>
        <v>0</v>
      </c>
      <c r="AM406" s="76" t="n">
        <f aca="false">IF(ISERROR(VLOOKUP($P406,Member_Tab,4,FALSE())),0,(VLOOKUP($P406,Member_Tab,4,FALSE()) * 0.2 * AM$7) * (IF(AND(AM$5 &gt;= VLOOKUP($P406,Member_Tab,6,FALSE()), AM$5 &lt;= VLOOKUP($P406,Member_Tab,7,FALSE())),1,0))  )</f>
        <v>0</v>
      </c>
      <c r="AN406" s="76" t="n">
        <f aca="false">IF(ISERROR(VLOOKUP($P406,Member_Tab,4,FALSE())),0,(VLOOKUP($P406,Member_Tab,4,FALSE()) * 0.2 * AN$7) * (IF(AND(AN$5 &gt;= VLOOKUP($P406,Member_Tab,6,FALSE()), AN$5 &lt;= VLOOKUP($P406,Member_Tab,7,FALSE())),1,0))  )</f>
        <v>0</v>
      </c>
      <c r="AO406" s="76" t="n">
        <f aca="false">IF(ISERROR(VLOOKUP($P406,Member_Tab,4,FALSE())),0,(VLOOKUP($P406,Member_Tab,4,FALSE()) * 0.2 * AO$7) * (IF(AND(AO$5 &gt;= VLOOKUP($P406,Member_Tab,6,FALSE()), AO$5 &lt;= VLOOKUP($P406,Member_Tab,7,FALSE())),1,0))  )</f>
        <v>0</v>
      </c>
      <c r="AP406" s="76" t="n">
        <f aca="false">IF(ISERROR(VLOOKUP($P406,Member_Tab,4,FALSE())),0,(VLOOKUP($P406,Member_Tab,4,FALSE()) * 0.2 * AP$7) * (IF(AND(AP$5 &gt;= VLOOKUP($P406,Member_Tab,6,FALSE()), AP$5 &lt;= VLOOKUP($P406,Member_Tab,7,FALSE())),1,0))  )</f>
        <v>0</v>
      </c>
      <c r="AQ406" s="76" t="n">
        <f aca="false">IF(ISERROR(VLOOKUP($P406,Member_Tab,4,FALSE())),0,(VLOOKUP($P406,Member_Tab,4,FALSE()) * 0.2 * AQ$7) * (IF(AND(AQ$5 &gt;= VLOOKUP($P406,Member_Tab,6,FALSE()), AQ$5 &lt;= VLOOKUP($P406,Member_Tab,7,FALSE())),1,0))  )</f>
        <v>0</v>
      </c>
      <c r="AR406" s="76" t="n">
        <f aca="false">IF(ISERROR(VLOOKUP($P406,Member_Tab,4,FALSE())),0,(VLOOKUP($P406,Member_Tab,4,FALSE()) * 0.2 * AR$7) * (IF(AND(AR$5 &gt;= VLOOKUP($P406,Member_Tab,6,FALSE()), AR$5 &lt;= VLOOKUP($P406,Member_Tab,7,FALSE())),1,0))  )</f>
        <v>0</v>
      </c>
      <c r="AS406" s="76" t="n">
        <f aca="false">IF(ISERROR(VLOOKUP($P406,Member_Tab,4,FALSE())),0,(VLOOKUP($P406,Member_Tab,4,FALSE()) * 0.2 * AS$7) * (IF(AND(AS$5 &gt;= VLOOKUP($P406,Member_Tab,6,FALSE()), AS$5 &lt;= VLOOKUP($P406,Member_Tab,7,FALSE())),1,0))  )</f>
        <v>0</v>
      </c>
      <c r="AT406" s="76" t="n">
        <f aca="false">IF(ISERROR(VLOOKUP($P406,Member_Tab,4,FALSE())),0,(VLOOKUP($P406,Member_Tab,4,FALSE()) * 0.2 * AT$7) * (IF(AND(AT$5 &gt;= VLOOKUP($P406,Member_Tab,6,FALSE()), AT$5 &lt;= VLOOKUP($P406,Member_Tab,7,FALSE())),1,0))  )</f>
        <v>0</v>
      </c>
      <c r="AU406" s="76" t="n">
        <f aca="false">IF(ISERROR(VLOOKUP($P406,Member_Tab,4,FALSE())),0,(VLOOKUP($P406,Member_Tab,4,FALSE()) * 0.2 * AU$7) * (IF(AND(AU$5 &gt;= VLOOKUP($P406,Member_Tab,6,FALSE()), AU$5 &lt;= VLOOKUP($P406,Member_Tab,7,FALSE())),1,0))  )</f>
        <v>0</v>
      </c>
      <c r="AV406" s="76" t="n">
        <f aca="false">IF(ISERROR(VLOOKUP($P406,Member_Tab,4,FALSE())),0,(VLOOKUP($P406,Member_Tab,4,FALSE()) * 0.2 * AV$7) * (IF(AND(AV$5 &gt;= VLOOKUP($P406,Member_Tab,6,FALSE()), AV$5 &lt;= VLOOKUP($P406,Member_Tab,7,FALSE())),1,0))  )</f>
        <v>0</v>
      </c>
      <c r="AW406" s="76" t="n">
        <f aca="false">IF(ISERROR(VLOOKUP($P406,Member_Tab,4,FALSE())),0,(VLOOKUP($P406,Member_Tab,4,FALSE()) * 0.2 * AW$7) * (IF(AND(AW$5 &gt;= VLOOKUP($P406,Member_Tab,6,FALSE()), AW$5 &lt;= VLOOKUP($P406,Member_Tab,7,FALSE())),1,0))  )</f>
        <v>0</v>
      </c>
      <c r="AX406" s="76" t="n">
        <f aca="false">IF(ISERROR(VLOOKUP($P406,Member_Tab,4,FALSE())),0,(VLOOKUP($P406,Member_Tab,4,FALSE()) * 0.2 * AX$7) * (IF(AND(AX$5 &gt;= VLOOKUP($P406,Member_Tab,6,FALSE()), AX$5 &lt;= VLOOKUP($P406,Member_Tab,7,FALSE())),1,0))  )</f>
        <v>0</v>
      </c>
      <c r="AY406" s="76" t="n">
        <f aca="false">IF(ISERROR(VLOOKUP($P406,Member_Tab,4,FALSE())),0,(VLOOKUP($P406,Member_Tab,4,FALSE()) * 0.2 * AY$7) * (IF(AND(AY$5 &gt;= VLOOKUP($P406,Member_Tab,6,FALSE()), AY$5 &lt;= VLOOKUP($P406,Member_Tab,7,FALSE())),1,0))  )</f>
        <v>0</v>
      </c>
      <c r="AZ406" s="76" t="n">
        <f aca="false">IF(ISERROR(VLOOKUP($P406,Member_Tab,4,FALSE())),0,(VLOOKUP($P406,Member_Tab,4,FALSE()) * 0.2 * AZ$7) * (IF(AND(AZ$5 &gt;= VLOOKUP($P406,Member_Tab,6,FALSE()), AZ$5 &lt;= VLOOKUP($P406,Member_Tab,7,FALSE())),1,0))  )</f>
        <v>0</v>
      </c>
      <c r="BA406" s="76" t="n">
        <f aca="false">IF(ISERROR(VLOOKUP($P406,Member_Tab,4,FALSE())),0,(VLOOKUP($P406,Member_Tab,4,FALSE()) * 0.2 * BA$7) * (IF(AND(BA$5 &gt;= VLOOKUP($P406,Member_Tab,6,FALSE()), BA$5 &lt;= VLOOKUP($P406,Member_Tab,7,FALSE())),1,0))  )</f>
        <v>0</v>
      </c>
      <c r="BB406" s="76" t="n">
        <f aca="false">IF(ISERROR(VLOOKUP($P406,Member_Tab,4,FALSE())),0,(VLOOKUP($P406,Member_Tab,4,FALSE()) * 0.2 * BB$7) * (IF(AND(BB$5 &gt;= VLOOKUP($P406,Member_Tab,6,FALSE()), BB$5 &lt;= VLOOKUP($P406,Member_Tab,7,FALSE())),1,0))  )</f>
        <v>0</v>
      </c>
    </row>
    <row r="407" s="173" customFormat="true" ht="15" hidden="true" customHeight="false" outlineLevel="1" collapsed="false">
      <c r="E407" s="40"/>
      <c r="K407" s="40"/>
      <c r="L407" s="40"/>
      <c r="M407" s="40"/>
      <c r="N407" s="40"/>
      <c r="P407" s="177" t="str">
        <f aca="false">P270</f>
        <v>Johansson, Benim</v>
      </c>
      <c r="Q407" s="40"/>
      <c r="R407" s="178"/>
      <c r="S407" s="76" t="n">
        <f aca="false">IF(ISERROR(VLOOKUP($P407,Member_Tab,4,FALSE())),0,(VLOOKUP($P407,Member_Tab,4,FALSE()) * 0.2 * S$7) * (IF(AND(S$5 &gt;= VLOOKUP($P407,Member_Tab,6,FALSE()), S$5 &lt;= VLOOKUP($P407,Member_Tab,7,FALSE())),1,0))  )</f>
        <v>134.4</v>
      </c>
      <c r="T407" s="76" t="n">
        <f aca="false">IF(ISERROR(VLOOKUP($P407,Member_Tab,4,FALSE())),0,(VLOOKUP($P407,Member_Tab,4,FALSE()) * 0.2 * T$7) * (IF(AND(T$5 &gt;= VLOOKUP($P407,Member_Tab,6,FALSE()), T$5 &lt;= VLOOKUP($P407,Member_Tab,7,FALSE())),1,0))  )</f>
        <v>128</v>
      </c>
      <c r="U407" s="76" t="n">
        <f aca="false">IF(ISERROR(VLOOKUP($P407,Member_Tab,4,FALSE())),0,(VLOOKUP($P407,Member_Tab,4,FALSE()) * 0.2 * U$7) * (IF(AND(U$5 &gt;= VLOOKUP($P407,Member_Tab,6,FALSE()), U$5 &lt;= VLOOKUP($P407,Member_Tab,7,FALSE())),1,0))  )</f>
        <v>147.2</v>
      </c>
      <c r="V407" s="76" t="n">
        <f aca="false">IF(ISERROR(VLOOKUP($P407,Member_Tab,4,FALSE())),0,(VLOOKUP($P407,Member_Tab,4,FALSE()) * 0.2 * V$7) * (IF(AND(V$5 &gt;= VLOOKUP($P407,Member_Tab,6,FALSE()), V$5 &lt;= VLOOKUP($P407,Member_Tab,7,FALSE())),1,0))  )</f>
        <v>115.2</v>
      </c>
      <c r="W407" s="76" t="n">
        <f aca="false">IF(ISERROR(VLOOKUP($P407,Member_Tab,4,FALSE())),0,(VLOOKUP($P407,Member_Tab,4,FALSE()) * 0.2 * W$7) * (IF(AND(W$5 &gt;= VLOOKUP($P407,Member_Tab,6,FALSE()), W$5 &lt;= VLOOKUP($P407,Member_Tab,7,FALSE())),1,0))  )</f>
        <v>134.4</v>
      </c>
      <c r="X407" s="76" t="n">
        <f aca="false">IF(ISERROR(VLOOKUP($P407,Member_Tab,4,FALSE())),0,(VLOOKUP($P407,Member_Tab,4,FALSE()) * 0.2 * X$7) * (IF(AND(X$5 &gt;= VLOOKUP($P407,Member_Tab,6,FALSE()), X$5 &lt;= VLOOKUP($P407,Member_Tab,7,FALSE())),1,0))  )</f>
        <v>128</v>
      </c>
      <c r="Y407" s="76" t="n">
        <f aca="false">IF(ISERROR(VLOOKUP($P407,Member_Tab,4,FALSE())),0,(VLOOKUP($P407,Member_Tab,4,FALSE()) * 0.2 * Y$7) * (IF(AND(Y$5 &gt;= VLOOKUP($P407,Member_Tab,6,FALSE()), Y$5 &lt;= VLOOKUP($P407,Member_Tab,7,FALSE())),1,0))  )</f>
        <v>134.4</v>
      </c>
      <c r="Z407" s="76" t="n">
        <f aca="false">IF(ISERROR(VLOOKUP($P407,Member_Tab,4,FALSE())),0,(VLOOKUP($P407,Member_Tab,4,FALSE()) * 0.2 * Z$7) * (IF(AND(Z$5 &gt;= VLOOKUP($P407,Member_Tab,6,FALSE()), Z$5 &lt;= VLOOKUP($P407,Member_Tab,7,FALSE())),1,0))  )</f>
        <v>147.2</v>
      </c>
      <c r="AA407" s="76" t="n">
        <f aca="false">IF(ISERROR(VLOOKUP($P407,Member_Tab,4,FALSE())),0,(VLOOKUP($P407,Member_Tab,4,FALSE()) * 0.2 * AA$7) * (IF(AND(AA$5 &gt;= VLOOKUP($P407,Member_Tab,6,FALSE()), AA$5 &lt;= VLOOKUP($P407,Member_Tab,7,FALSE())),1,0))  )</f>
        <v>134.4</v>
      </c>
      <c r="AB407" s="76" t="n">
        <f aca="false">IF(ISERROR(VLOOKUP($P407,Member_Tab,4,FALSE())),0,(VLOOKUP($P407,Member_Tab,4,FALSE()) * 0.2 * AB$7) * (IF(AND(AB$5 &gt;= VLOOKUP($P407,Member_Tab,6,FALSE()), AB$5 &lt;= VLOOKUP($P407,Member_Tab,7,FALSE())),1,0))  )</f>
        <v>140.8</v>
      </c>
      <c r="AC407" s="76" t="n">
        <f aca="false">IF(ISERROR(VLOOKUP($P407,Member_Tab,4,FALSE())),0,(VLOOKUP($P407,Member_Tab,4,FALSE()) * 0.2 * AC$7) * (IF(AND(AC$5 &gt;= VLOOKUP($P407,Member_Tab,6,FALSE()), AC$5 &lt;= VLOOKUP($P407,Member_Tab,7,FALSE())),1,0))  )</f>
        <v>140.8</v>
      </c>
      <c r="AD407" s="76" t="n">
        <f aca="false">IF(ISERROR(VLOOKUP($P407,Member_Tab,4,FALSE())),0,(VLOOKUP($P407,Member_Tab,4,FALSE()) * 0.2 * AD$7) * (IF(AND(AD$5 &gt;= VLOOKUP($P407,Member_Tab,6,FALSE()), AD$5 &lt;= VLOOKUP($P407,Member_Tab,7,FALSE())),1,0))  )</f>
        <v>121.6</v>
      </c>
      <c r="AE407" s="76" t="n">
        <f aca="false">IF(ISERROR(VLOOKUP($P407,Member_Tab,4,FALSE())),0,(VLOOKUP($P407,Member_Tab,4,FALSE()) * 0.2 * AE$7) * (IF(AND(AE$5 &gt;= VLOOKUP($P407,Member_Tab,6,FALSE()), AE$5 &lt;= VLOOKUP($P407,Member_Tab,7,FALSE())),1,0))  )</f>
        <v>140.8</v>
      </c>
      <c r="AF407" s="76" t="n">
        <f aca="false">IF(ISERROR(VLOOKUP($P407,Member_Tab,4,FALSE())),0,(VLOOKUP($P407,Member_Tab,4,FALSE()) * 0.2 * AF$7) * (IF(AND(AF$5 &gt;= VLOOKUP($P407,Member_Tab,6,FALSE()), AF$5 &lt;= VLOOKUP($P407,Member_Tab,7,FALSE())),1,0))  )</f>
        <v>134.4</v>
      </c>
      <c r="AG407" s="76" t="n">
        <f aca="false">IF(ISERROR(VLOOKUP($P407,Member_Tab,4,FALSE())),0,(VLOOKUP($P407,Member_Tab,4,FALSE()) * 0.2 * AG$7) * (IF(AND(AG$5 &gt;= VLOOKUP($P407,Member_Tab,6,FALSE()), AG$5 &lt;= VLOOKUP($P407,Member_Tab,7,FALSE())),1,0))  )</f>
        <v>128</v>
      </c>
      <c r="AH407" s="76" t="n">
        <f aca="false">IF(ISERROR(VLOOKUP($P407,Member_Tab,4,FALSE())),0,(VLOOKUP($P407,Member_Tab,4,FALSE()) * 0.2 * AH$7) * (IF(AND(AH$5 &gt;= VLOOKUP($P407,Member_Tab,6,FALSE()), AH$5 &lt;= VLOOKUP($P407,Member_Tab,7,FALSE())),1,0))  )</f>
        <v>134.4</v>
      </c>
      <c r="AI407" s="76" t="n">
        <f aca="false">IF(ISERROR(VLOOKUP($P407,Member_Tab,4,FALSE())),0,(VLOOKUP($P407,Member_Tab,4,FALSE()) * 0.2 * AI$7) * (IF(AND(AI$5 &gt;= VLOOKUP($P407,Member_Tab,6,FALSE()), AI$5 &lt;= VLOOKUP($P407,Member_Tab,7,FALSE())),1,0))  )</f>
        <v>121.6</v>
      </c>
      <c r="AJ407" s="76" t="n">
        <f aca="false">IF(ISERROR(VLOOKUP($P407,Member_Tab,4,FALSE())),0,(VLOOKUP($P407,Member_Tab,4,FALSE()) * 0.2 * AJ$7) * (IF(AND(AJ$5 &gt;= VLOOKUP($P407,Member_Tab,6,FALSE()), AJ$5 &lt;= VLOOKUP($P407,Member_Tab,7,FALSE())),1,0))  )</f>
        <v>128</v>
      </c>
      <c r="AK407" s="76" t="n">
        <f aca="false">IF(ISERROR(VLOOKUP($P407,Member_Tab,4,FALSE())),0,(VLOOKUP($P407,Member_Tab,4,FALSE()) * 0.2 * AK$7) * (IF(AND(AK$5 &gt;= VLOOKUP($P407,Member_Tab,6,FALSE()), AK$5 &lt;= VLOOKUP($P407,Member_Tab,7,FALSE())),1,0))  )</f>
        <v>147.2</v>
      </c>
      <c r="AL407" s="76" t="n">
        <f aca="false">IF(ISERROR(VLOOKUP($P407,Member_Tab,4,FALSE())),0,(VLOOKUP($P407,Member_Tab,4,FALSE()) * 0.2 * AL$7) * (IF(AND(AL$5 &gt;= VLOOKUP($P407,Member_Tab,6,FALSE()), AL$5 &lt;= VLOOKUP($P407,Member_Tab,7,FALSE())),1,0))  )</f>
        <v>134.4</v>
      </c>
      <c r="AM407" s="76" t="n">
        <f aca="false">IF(ISERROR(VLOOKUP($P407,Member_Tab,4,FALSE())),0,(VLOOKUP($P407,Member_Tab,4,FALSE()) * 0.2 * AM$7) * (IF(AND(AM$5 &gt;= VLOOKUP($P407,Member_Tab,6,FALSE()), AM$5 &lt;= VLOOKUP($P407,Member_Tab,7,FALSE())),1,0))  )</f>
        <v>134.4</v>
      </c>
      <c r="AN407" s="76" t="n">
        <f aca="false">IF(ISERROR(VLOOKUP($P407,Member_Tab,4,FALSE())),0,(VLOOKUP($P407,Member_Tab,4,FALSE()) * 0.2 * AN$7) * (IF(AND(AN$5 &gt;= VLOOKUP($P407,Member_Tab,6,FALSE()), AN$5 &lt;= VLOOKUP($P407,Member_Tab,7,FALSE())),1,0))  )</f>
        <v>140.8</v>
      </c>
      <c r="AO407" s="76" t="n">
        <f aca="false">IF(ISERROR(VLOOKUP($P407,Member_Tab,4,FALSE())),0,(VLOOKUP($P407,Member_Tab,4,FALSE()) * 0.2 * AO$7) * (IF(AND(AO$5 &gt;= VLOOKUP($P407,Member_Tab,6,FALSE()), AO$5 &lt;= VLOOKUP($P407,Member_Tab,7,FALSE())),1,0))  )</f>
        <v>128</v>
      </c>
      <c r="AP407" s="76" t="n">
        <f aca="false">IF(ISERROR(VLOOKUP($P407,Member_Tab,4,FALSE())),0,(VLOOKUP($P407,Member_Tab,4,FALSE()) * 0.2 * AP$7) * (IF(AND(AP$5 &gt;= VLOOKUP($P407,Member_Tab,6,FALSE()), AP$5 &lt;= VLOOKUP($P407,Member_Tab,7,FALSE())),1,0))  )</f>
        <v>121.6</v>
      </c>
      <c r="AQ407" s="76" t="n">
        <f aca="false">IF(ISERROR(VLOOKUP($P407,Member_Tab,4,FALSE())),0,(VLOOKUP($P407,Member_Tab,4,FALSE()) * 0.2 * AQ$7) * (IF(AND(AQ$5 &gt;= VLOOKUP($P407,Member_Tab,6,FALSE()), AQ$5 &lt;= VLOOKUP($P407,Member_Tab,7,FALSE())),1,0))  )</f>
        <v>134.4</v>
      </c>
      <c r="AR407" s="76" t="n">
        <f aca="false">IF(ISERROR(VLOOKUP($P407,Member_Tab,4,FALSE())),0,(VLOOKUP($P407,Member_Tab,4,FALSE()) * 0.2 * AR$7) * (IF(AND(AR$5 &gt;= VLOOKUP($P407,Member_Tab,6,FALSE()), AR$5 &lt;= VLOOKUP($P407,Member_Tab,7,FALSE())),1,0))  )</f>
        <v>128</v>
      </c>
      <c r="AS407" s="76" t="n">
        <f aca="false">IF(ISERROR(VLOOKUP($P407,Member_Tab,4,FALSE())),0,(VLOOKUP($P407,Member_Tab,4,FALSE()) * 0.2 * AS$7) * (IF(AND(AS$5 &gt;= VLOOKUP($P407,Member_Tab,6,FALSE()), AS$5 &lt;= VLOOKUP($P407,Member_Tab,7,FALSE())),1,0))  )</f>
        <v>134.4</v>
      </c>
      <c r="AT407" s="76" t="n">
        <f aca="false">IF(ISERROR(VLOOKUP($P407,Member_Tab,4,FALSE())),0,(VLOOKUP($P407,Member_Tab,4,FALSE()) * 0.2 * AT$7) * (IF(AND(AT$5 &gt;= VLOOKUP($P407,Member_Tab,6,FALSE()), AT$5 &lt;= VLOOKUP($P407,Member_Tab,7,FALSE())),1,0))  )</f>
        <v>128</v>
      </c>
      <c r="AU407" s="76" t="n">
        <f aca="false">IF(ISERROR(VLOOKUP($P407,Member_Tab,4,FALSE())),0,(VLOOKUP($P407,Member_Tab,4,FALSE()) * 0.2 * AU$7) * (IF(AND(AU$5 &gt;= VLOOKUP($P407,Member_Tab,6,FALSE()), AU$5 &lt;= VLOOKUP($P407,Member_Tab,7,FALSE())),1,0))  )</f>
        <v>128</v>
      </c>
      <c r="AV407" s="76" t="n">
        <f aca="false">IF(ISERROR(VLOOKUP($P407,Member_Tab,4,FALSE())),0,(VLOOKUP($P407,Member_Tab,4,FALSE()) * 0.2 * AV$7) * (IF(AND(AV$5 &gt;= VLOOKUP($P407,Member_Tab,6,FALSE()), AV$5 &lt;= VLOOKUP($P407,Member_Tab,7,FALSE())),1,0))  )</f>
        <v>121.6</v>
      </c>
      <c r="AW407" s="76" t="n">
        <f aca="false">IF(ISERROR(VLOOKUP($P407,Member_Tab,4,FALSE())),0,(VLOOKUP($P407,Member_Tab,4,FALSE()) * 0.2 * AW$7) * (IF(AND(AW$5 &gt;= VLOOKUP($P407,Member_Tab,6,FALSE()), AW$5 &lt;= VLOOKUP($P407,Member_Tab,7,FALSE())),1,0))  )</f>
        <v>147.2</v>
      </c>
      <c r="AX407" s="76" t="n">
        <f aca="false">IF(ISERROR(VLOOKUP($P407,Member_Tab,4,FALSE())),0,(VLOOKUP($P407,Member_Tab,4,FALSE()) * 0.2 * AX$7) * (IF(AND(AX$5 &gt;= VLOOKUP($P407,Member_Tab,6,FALSE()), AX$5 &lt;= VLOOKUP($P407,Member_Tab,7,FALSE())),1,0))  )</f>
        <v>128</v>
      </c>
      <c r="AY407" s="76" t="n">
        <f aca="false">IF(ISERROR(VLOOKUP($P407,Member_Tab,4,FALSE())),0,(VLOOKUP($P407,Member_Tab,4,FALSE()) * 0.2 * AY$7) * (IF(AND(AY$5 &gt;= VLOOKUP($P407,Member_Tab,6,FALSE()), AY$5 &lt;= VLOOKUP($P407,Member_Tab,7,FALSE())),1,0))  )</f>
        <v>140.8</v>
      </c>
      <c r="AZ407" s="76" t="n">
        <f aca="false">IF(ISERROR(VLOOKUP($P407,Member_Tab,4,FALSE())),0,(VLOOKUP($P407,Member_Tab,4,FALSE()) * 0.2 * AZ$7) * (IF(AND(AZ$5 &gt;= VLOOKUP($P407,Member_Tab,6,FALSE()), AZ$5 &lt;= VLOOKUP($P407,Member_Tab,7,FALSE())),1,0))  )</f>
        <v>140.8</v>
      </c>
      <c r="BA407" s="76" t="n">
        <f aca="false">IF(ISERROR(VLOOKUP($P407,Member_Tab,4,FALSE())),0,(VLOOKUP($P407,Member_Tab,4,FALSE()) * 0.2 * BA$7) * (IF(AND(BA$5 &gt;= VLOOKUP($P407,Member_Tab,6,FALSE()), BA$5 &lt;= VLOOKUP($P407,Member_Tab,7,FALSE())),1,0))  )</f>
        <v>128</v>
      </c>
      <c r="BB407" s="76" t="n">
        <f aca="false">IF(ISERROR(VLOOKUP($P407,Member_Tab,4,FALSE())),0,(VLOOKUP($P407,Member_Tab,4,FALSE()) * 0.2 * BB$7) * (IF(AND(BB$5 &gt;= VLOOKUP($P407,Member_Tab,6,FALSE()), BB$5 &lt;= VLOOKUP($P407,Member_Tab,7,FALSE())),1,0))  )</f>
        <v>128</v>
      </c>
    </row>
    <row r="408" s="173" customFormat="true" ht="15" hidden="true" customHeight="false" outlineLevel="1" collapsed="false">
      <c r="E408" s="40"/>
      <c r="K408" s="40"/>
      <c r="L408" s="40"/>
      <c r="M408" s="40"/>
      <c r="N408" s="40"/>
      <c r="P408" s="177" t="n">
        <f aca="false">P271</f>
        <v>0</v>
      </c>
      <c r="Q408" s="40"/>
      <c r="R408" s="178"/>
      <c r="S408" s="76" t="n">
        <f aca="false">IF(ISERROR(VLOOKUP($P408,Member_Tab,4,FALSE())),0,(VLOOKUP($P408,Member_Tab,4,FALSE()) * 0.2 * S$7) * (IF(AND(S$5 &gt;= VLOOKUP($P408,Member_Tab,6,FALSE()), S$5 &lt;= VLOOKUP($P408,Member_Tab,7,FALSE())),1,0))  )</f>
        <v>0</v>
      </c>
      <c r="T408" s="76" t="n">
        <f aca="false">IF(ISERROR(VLOOKUP($P408,Member_Tab,4,FALSE())),0,(VLOOKUP($P408,Member_Tab,4,FALSE()) * 0.2 * T$7) * (IF(AND(T$5 &gt;= VLOOKUP($P408,Member_Tab,6,FALSE()), T$5 &lt;= VLOOKUP($P408,Member_Tab,7,FALSE())),1,0))  )</f>
        <v>0</v>
      </c>
      <c r="U408" s="76" t="n">
        <f aca="false">IF(ISERROR(VLOOKUP($P408,Member_Tab,4,FALSE())),0,(VLOOKUP($P408,Member_Tab,4,FALSE()) * 0.2 * U$7) * (IF(AND(U$5 &gt;= VLOOKUP($P408,Member_Tab,6,FALSE()), U$5 &lt;= VLOOKUP($P408,Member_Tab,7,FALSE())),1,0))  )</f>
        <v>0</v>
      </c>
      <c r="V408" s="76" t="n">
        <f aca="false">IF(ISERROR(VLOOKUP($P408,Member_Tab,4,FALSE())),0,(VLOOKUP($P408,Member_Tab,4,FALSE()) * 0.2 * V$7) * (IF(AND(V$5 &gt;= VLOOKUP($P408,Member_Tab,6,FALSE()), V$5 &lt;= VLOOKUP($P408,Member_Tab,7,FALSE())),1,0))  )</f>
        <v>0</v>
      </c>
      <c r="W408" s="76" t="n">
        <f aca="false">IF(ISERROR(VLOOKUP($P408,Member_Tab,4,FALSE())),0,(VLOOKUP($P408,Member_Tab,4,FALSE()) * 0.2 * W$7) * (IF(AND(W$5 &gt;= VLOOKUP($P408,Member_Tab,6,FALSE()), W$5 &lt;= VLOOKUP($P408,Member_Tab,7,FALSE())),1,0))  )</f>
        <v>0</v>
      </c>
      <c r="X408" s="76" t="n">
        <f aca="false">IF(ISERROR(VLOOKUP($P408,Member_Tab,4,FALSE())),0,(VLOOKUP($P408,Member_Tab,4,FALSE()) * 0.2 * X$7) * (IF(AND(X$5 &gt;= VLOOKUP($P408,Member_Tab,6,FALSE()), X$5 &lt;= VLOOKUP($P408,Member_Tab,7,FALSE())),1,0))  )</f>
        <v>0</v>
      </c>
      <c r="Y408" s="76" t="n">
        <f aca="false">IF(ISERROR(VLOOKUP($P408,Member_Tab,4,FALSE())),0,(VLOOKUP($P408,Member_Tab,4,FALSE()) * 0.2 * Y$7) * (IF(AND(Y$5 &gt;= VLOOKUP($P408,Member_Tab,6,FALSE()), Y$5 &lt;= VLOOKUP($P408,Member_Tab,7,FALSE())),1,0))  )</f>
        <v>0</v>
      </c>
      <c r="Z408" s="76" t="n">
        <f aca="false">IF(ISERROR(VLOOKUP($P408,Member_Tab,4,FALSE())),0,(VLOOKUP($P408,Member_Tab,4,FALSE()) * 0.2 * Z$7) * (IF(AND(Z$5 &gt;= VLOOKUP($P408,Member_Tab,6,FALSE()), Z$5 &lt;= VLOOKUP($P408,Member_Tab,7,FALSE())),1,0))  )</f>
        <v>0</v>
      </c>
      <c r="AA408" s="76" t="n">
        <f aca="false">IF(ISERROR(VLOOKUP($P408,Member_Tab,4,FALSE())),0,(VLOOKUP($P408,Member_Tab,4,FALSE()) * 0.2 * AA$7) * (IF(AND(AA$5 &gt;= VLOOKUP($P408,Member_Tab,6,FALSE()), AA$5 &lt;= VLOOKUP($P408,Member_Tab,7,FALSE())),1,0))  )</f>
        <v>0</v>
      </c>
      <c r="AB408" s="76" t="n">
        <f aca="false">IF(ISERROR(VLOOKUP($P408,Member_Tab,4,FALSE())),0,(VLOOKUP($P408,Member_Tab,4,FALSE()) * 0.2 * AB$7) * (IF(AND(AB$5 &gt;= VLOOKUP($P408,Member_Tab,6,FALSE()), AB$5 &lt;= VLOOKUP($P408,Member_Tab,7,FALSE())),1,0))  )</f>
        <v>0</v>
      </c>
      <c r="AC408" s="76" t="n">
        <f aca="false">IF(ISERROR(VLOOKUP($P408,Member_Tab,4,FALSE())),0,(VLOOKUP($P408,Member_Tab,4,FALSE()) * 0.2 * AC$7) * (IF(AND(AC$5 &gt;= VLOOKUP($P408,Member_Tab,6,FALSE()), AC$5 &lt;= VLOOKUP($P408,Member_Tab,7,FALSE())),1,0))  )</f>
        <v>0</v>
      </c>
      <c r="AD408" s="76" t="n">
        <f aca="false">IF(ISERROR(VLOOKUP($P408,Member_Tab,4,FALSE())),0,(VLOOKUP($P408,Member_Tab,4,FALSE()) * 0.2 * AD$7) * (IF(AND(AD$5 &gt;= VLOOKUP($P408,Member_Tab,6,FALSE()), AD$5 &lt;= VLOOKUP($P408,Member_Tab,7,FALSE())),1,0))  )</f>
        <v>0</v>
      </c>
      <c r="AE408" s="76" t="n">
        <f aca="false">IF(ISERROR(VLOOKUP($P408,Member_Tab,4,FALSE())),0,(VLOOKUP($P408,Member_Tab,4,FALSE()) * 0.2 * AE$7) * (IF(AND(AE$5 &gt;= VLOOKUP($P408,Member_Tab,6,FALSE()), AE$5 &lt;= VLOOKUP($P408,Member_Tab,7,FALSE())),1,0))  )</f>
        <v>0</v>
      </c>
      <c r="AF408" s="76" t="n">
        <f aca="false">IF(ISERROR(VLOOKUP($P408,Member_Tab,4,FALSE())),0,(VLOOKUP($P408,Member_Tab,4,FALSE()) * 0.2 * AF$7) * (IF(AND(AF$5 &gt;= VLOOKUP($P408,Member_Tab,6,FALSE()), AF$5 &lt;= VLOOKUP($P408,Member_Tab,7,FALSE())),1,0))  )</f>
        <v>0</v>
      </c>
      <c r="AG408" s="76" t="n">
        <f aca="false">IF(ISERROR(VLOOKUP($P408,Member_Tab,4,FALSE())),0,(VLOOKUP($P408,Member_Tab,4,FALSE()) * 0.2 * AG$7) * (IF(AND(AG$5 &gt;= VLOOKUP($P408,Member_Tab,6,FALSE()), AG$5 &lt;= VLOOKUP($P408,Member_Tab,7,FALSE())),1,0))  )</f>
        <v>0</v>
      </c>
      <c r="AH408" s="76" t="n">
        <f aca="false">IF(ISERROR(VLOOKUP($P408,Member_Tab,4,FALSE())),0,(VLOOKUP($P408,Member_Tab,4,FALSE()) * 0.2 * AH$7) * (IF(AND(AH$5 &gt;= VLOOKUP($P408,Member_Tab,6,FALSE()), AH$5 &lt;= VLOOKUP($P408,Member_Tab,7,FALSE())),1,0))  )</f>
        <v>0</v>
      </c>
      <c r="AI408" s="76" t="n">
        <f aca="false">IF(ISERROR(VLOOKUP($P408,Member_Tab,4,FALSE())),0,(VLOOKUP($P408,Member_Tab,4,FALSE()) * 0.2 * AI$7) * (IF(AND(AI$5 &gt;= VLOOKUP($P408,Member_Tab,6,FALSE()), AI$5 &lt;= VLOOKUP($P408,Member_Tab,7,FALSE())),1,0))  )</f>
        <v>0</v>
      </c>
      <c r="AJ408" s="76" t="n">
        <f aca="false">IF(ISERROR(VLOOKUP($P408,Member_Tab,4,FALSE())),0,(VLOOKUP($P408,Member_Tab,4,FALSE()) * 0.2 * AJ$7) * (IF(AND(AJ$5 &gt;= VLOOKUP($P408,Member_Tab,6,FALSE()), AJ$5 &lt;= VLOOKUP($P408,Member_Tab,7,FALSE())),1,0))  )</f>
        <v>0</v>
      </c>
      <c r="AK408" s="76" t="n">
        <f aca="false">IF(ISERROR(VLOOKUP($P408,Member_Tab,4,FALSE())),0,(VLOOKUP($P408,Member_Tab,4,FALSE()) * 0.2 * AK$7) * (IF(AND(AK$5 &gt;= VLOOKUP($P408,Member_Tab,6,FALSE()), AK$5 &lt;= VLOOKUP($P408,Member_Tab,7,FALSE())),1,0))  )</f>
        <v>0</v>
      </c>
      <c r="AL408" s="76" t="n">
        <f aca="false">IF(ISERROR(VLOOKUP($P408,Member_Tab,4,FALSE())),0,(VLOOKUP($P408,Member_Tab,4,FALSE()) * 0.2 * AL$7) * (IF(AND(AL$5 &gt;= VLOOKUP($P408,Member_Tab,6,FALSE()), AL$5 &lt;= VLOOKUP($P408,Member_Tab,7,FALSE())),1,0))  )</f>
        <v>0</v>
      </c>
      <c r="AM408" s="76" t="n">
        <f aca="false">IF(ISERROR(VLOOKUP($P408,Member_Tab,4,FALSE())),0,(VLOOKUP($P408,Member_Tab,4,FALSE()) * 0.2 * AM$7) * (IF(AND(AM$5 &gt;= VLOOKUP($P408,Member_Tab,6,FALSE()), AM$5 &lt;= VLOOKUP($P408,Member_Tab,7,FALSE())),1,0))  )</f>
        <v>0</v>
      </c>
      <c r="AN408" s="76" t="n">
        <f aca="false">IF(ISERROR(VLOOKUP($P408,Member_Tab,4,FALSE())),0,(VLOOKUP($P408,Member_Tab,4,FALSE()) * 0.2 * AN$7) * (IF(AND(AN$5 &gt;= VLOOKUP($P408,Member_Tab,6,FALSE()), AN$5 &lt;= VLOOKUP($P408,Member_Tab,7,FALSE())),1,0))  )</f>
        <v>0</v>
      </c>
      <c r="AO408" s="76" t="n">
        <f aca="false">IF(ISERROR(VLOOKUP($P408,Member_Tab,4,FALSE())),0,(VLOOKUP($P408,Member_Tab,4,FALSE()) * 0.2 * AO$7) * (IF(AND(AO$5 &gt;= VLOOKUP($P408,Member_Tab,6,FALSE()), AO$5 &lt;= VLOOKUP($P408,Member_Tab,7,FALSE())),1,0))  )</f>
        <v>0</v>
      </c>
      <c r="AP408" s="76" t="n">
        <f aca="false">IF(ISERROR(VLOOKUP($P408,Member_Tab,4,FALSE())),0,(VLOOKUP($P408,Member_Tab,4,FALSE()) * 0.2 * AP$7) * (IF(AND(AP$5 &gt;= VLOOKUP($P408,Member_Tab,6,FALSE()), AP$5 &lt;= VLOOKUP($P408,Member_Tab,7,FALSE())),1,0))  )</f>
        <v>0</v>
      </c>
      <c r="AQ408" s="76" t="n">
        <f aca="false">IF(ISERROR(VLOOKUP($P408,Member_Tab,4,FALSE())),0,(VLOOKUP($P408,Member_Tab,4,FALSE()) * 0.2 * AQ$7) * (IF(AND(AQ$5 &gt;= VLOOKUP($P408,Member_Tab,6,FALSE()), AQ$5 &lt;= VLOOKUP($P408,Member_Tab,7,FALSE())),1,0))  )</f>
        <v>0</v>
      </c>
      <c r="AR408" s="76" t="n">
        <f aca="false">IF(ISERROR(VLOOKUP($P408,Member_Tab,4,FALSE())),0,(VLOOKUP($P408,Member_Tab,4,FALSE()) * 0.2 * AR$7) * (IF(AND(AR$5 &gt;= VLOOKUP($P408,Member_Tab,6,FALSE()), AR$5 &lt;= VLOOKUP($P408,Member_Tab,7,FALSE())),1,0))  )</f>
        <v>0</v>
      </c>
      <c r="AS408" s="76" t="n">
        <f aca="false">IF(ISERROR(VLOOKUP($P408,Member_Tab,4,FALSE())),0,(VLOOKUP($P408,Member_Tab,4,FALSE()) * 0.2 * AS$7) * (IF(AND(AS$5 &gt;= VLOOKUP($P408,Member_Tab,6,FALSE()), AS$5 &lt;= VLOOKUP($P408,Member_Tab,7,FALSE())),1,0))  )</f>
        <v>0</v>
      </c>
      <c r="AT408" s="76" t="n">
        <f aca="false">IF(ISERROR(VLOOKUP($P408,Member_Tab,4,FALSE())),0,(VLOOKUP($P408,Member_Tab,4,FALSE()) * 0.2 * AT$7) * (IF(AND(AT$5 &gt;= VLOOKUP($P408,Member_Tab,6,FALSE()), AT$5 &lt;= VLOOKUP($P408,Member_Tab,7,FALSE())),1,0))  )</f>
        <v>0</v>
      </c>
      <c r="AU408" s="76" t="n">
        <f aca="false">IF(ISERROR(VLOOKUP($P408,Member_Tab,4,FALSE())),0,(VLOOKUP($P408,Member_Tab,4,FALSE()) * 0.2 * AU$7) * (IF(AND(AU$5 &gt;= VLOOKUP($P408,Member_Tab,6,FALSE()), AU$5 &lt;= VLOOKUP($P408,Member_Tab,7,FALSE())),1,0))  )</f>
        <v>0</v>
      </c>
      <c r="AV408" s="76" t="n">
        <f aca="false">IF(ISERROR(VLOOKUP($P408,Member_Tab,4,FALSE())),0,(VLOOKUP($P408,Member_Tab,4,FALSE()) * 0.2 * AV$7) * (IF(AND(AV$5 &gt;= VLOOKUP($P408,Member_Tab,6,FALSE()), AV$5 &lt;= VLOOKUP($P408,Member_Tab,7,FALSE())),1,0))  )</f>
        <v>0</v>
      </c>
      <c r="AW408" s="76" t="n">
        <f aca="false">IF(ISERROR(VLOOKUP($P408,Member_Tab,4,FALSE())),0,(VLOOKUP($P408,Member_Tab,4,FALSE()) * 0.2 * AW$7) * (IF(AND(AW$5 &gt;= VLOOKUP($P408,Member_Tab,6,FALSE()), AW$5 &lt;= VLOOKUP($P408,Member_Tab,7,FALSE())),1,0))  )</f>
        <v>0</v>
      </c>
      <c r="AX408" s="76" t="n">
        <f aca="false">IF(ISERROR(VLOOKUP($P408,Member_Tab,4,FALSE())),0,(VLOOKUP($P408,Member_Tab,4,FALSE()) * 0.2 * AX$7) * (IF(AND(AX$5 &gt;= VLOOKUP($P408,Member_Tab,6,FALSE()), AX$5 &lt;= VLOOKUP($P408,Member_Tab,7,FALSE())),1,0))  )</f>
        <v>0</v>
      </c>
      <c r="AY408" s="76" t="n">
        <f aca="false">IF(ISERROR(VLOOKUP($P408,Member_Tab,4,FALSE())),0,(VLOOKUP($P408,Member_Tab,4,FALSE()) * 0.2 * AY$7) * (IF(AND(AY$5 &gt;= VLOOKUP($P408,Member_Tab,6,FALSE()), AY$5 &lt;= VLOOKUP($P408,Member_Tab,7,FALSE())),1,0))  )</f>
        <v>0</v>
      </c>
      <c r="AZ408" s="76" t="n">
        <f aca="false">IF(ISERROR(VLOOKUP($P408,Member_Tab,4,FALSE())),0,(VLOOKUP($P408,Member_Tab,4,FALSE()) * 0.2 * AZ$7) * (IF(AND(AZ$5 &gt;= VLOOKUP($P408,Member_Tab,6,FALSE()), AZ$5 &lt;= VLOOKUP($P408,Member_Tab,7,FALSE())),1,0))  )</f>
        <v>0</v>
      </c>
      <c r="BA408" s="76" t="n">
        <f aca="false">IF(ISERROR(VLOOKUP($P408,Member_Tab,4,FALSE())),0,(VLOOKUP($P408,Member_Tab,4,FALSE()) * 0.2 * BA$7) * (IF(AND(BA$5 &gt;= VLOOKUP($P408,Member_Tab,6,FALSE()), BA$5 &lt;= VLOOKUP($P408,Member_Tab,7,FALSE())),1,0))  )</f>
        <v>0</v>
      </c>
      <c r="BB408" s="76" t="n">
        <f aca="false">IF(ISERROR(VLOOKUP($P408,Member_Tab,4,FALSE())),0,(VLOOKUP($P408,Member_Tab,4,FALSE()) * 0.2 * BB$7) * (IF(AND(BB$5 &gt;= VLOOKUP($P408,Member_Tab,6,FALSE()), BB$5 &lt;= VLOOKUP($P408,Member_Tab,7,FALSE())),1,0))  )</f>
        <v>0</v>
      </c>
    </row>
    <row r="409" s="173" customFormat="true" ht="15" hidden="true" customHeight="false" outlineLevel="1" collapsed="false">
      <c r="E409" s="40"/>
      <c r="K409" s="40"/>
      <c r="L409" s="40"/>
      <c r="M409" s="40"/>
      <c r="N409" s="40"/>
      <c r="P409" s="177" t="n">
        <f aca="false">P272</f>
        <v>0</v>
      </c>
      <c r="Q409" s="40"/>
      <c r="R409" s="178"/>
      <c r="S409" s="76" t="n">
        <f aca="false">IF(ISERROR(VLOOKUP($P409,Member_Tab,4,FALSE())),0,(VLOOKUP($P409,Member_Tab,4,FALSE()) * 0.2 * S$7) * (IF(AND(S$5 &gt;= VLOOKUP($P409,Member_Tab,6,FALSE()), S$5 &lt;= VLOOKUP($P409,Member_Tab,7,FALSE())),1,0))  )</f>
        <v>0</v>
      </c>
      <c r="T409" s="76" t="n">
        <f aca="false">IF(ISERROR(VLOOKUP($P409,Member_Tab,4,FALSE())),0,(VLOOKUP($P409,Member_Tab,4,FALSE()) * 0.2 * T$7) * (IF(AND(T$5 &gt;= VLOOKUP($P409,Member_Tab,6,FALSE()), T$5 &lt;= VLOOKUP($P409,Member_Tab,7,FALSE())),1,0))  )</f>
        <v>0</v>
      </c>
      <c r="U409" s="76" t="n">
        <f aca="false">IF(ISERROR(VLOOKUP($P409,Member_Tab,4,FALSE())),0,(VLOOKUP($P409,Member_Tab,4,FALSE()) * 0.2 * U$7) * (IF(AND(U$5 &gt;= VLOOKUP($P409,Member_Tab,6,FALSE()), U$5 &lt;= VLOOKUP($P409,Member_Tab,7,FALSE())),1,0))  )</f>
        <v>0</v>
      </c>
      <c r="V409" s="76" t="n">
        <f aca="false">IF(ISERROR(VLOOKUP($P409,Member_Tab,4,FALSE())),0,(VLOOKUP($P409,Member_Tab,4,FALSE()) * 0.2 * V$7) * (IF(AND(V$5 &gt;= VLOOKUP($P409,Member_Tab,6,FALSE()), V$5 &lt;= VLOOKUP($P409,Member_Tab,7,FALSE())),1,0))  )</f>
        <v>0</v>
      </c>
      <c r="W409" s="76" t="n">
        <f aca="false">IF(ISERROR(VLOOKUP($P409,Member_Tab,4,FALSE())),0,(VLOOKUP($P409,Member_Tab,4,FALSE()) * 0.2 * W$7) * (IF(AND(W$5 &gt;= VLOOKUP($P409,Member_Tab,6,FALSE()), W$5 &lt;= VLOOKUP($P409,Member_Tab,7,FALSE())),1,0))  )</f>
        <v>0</v>
      </c>
      <c r="X409" s="76" t="n">
        <f aca="false">IF(ISERROR(VLOOKUP($P409,Member_Tab,4,FALSE())),0,(VLOOKUP($P409,Member_Tab,4,FALSE()) * 0.2 * X$7) * (IF(AND(X$5 &gt;= VLOOKUP($P409,Member_Tab,6,FALSE()), X$5 &lt;= VLOOKUP($P409,Member_Tab,7,FALSE())),1,0))  )</f>
        <v>0</v>
      </c>
      <c r="Y409" s="76" t="n">
        <f aca="false">IF(ISERROR(VLOOKUP($P409,Member_Tab,4,FALSE())),0,(VLOOKUP($P409,Member_Tab,4,FALSE()) * 0.2 * Y$7) * (IF(AND(Y$5 &gt;= VLOOKUP($P409,Member_Tab,6,FALSE()), Y$5 &lt;= VLOOKUP($P409,Member_Tab,7,FALSE())),1,0))  )</f>
        <v>0</v>
      </c>
      <c r="Z409" s="76" t="n">
        <f aca="false">IF(ISERROR(VLOOKUP($P409,Member_Tab,4,FALSE())),0,(VLOOKUP($P409,Member_Tab,4,FALSE()) * 0.2 * Z$7) * (IF(AND(Z$5 &gt;= VLOOKUP($P409,Member_Tab,6,FALSE()), Z$5 &lt;= VLOOKUP($P409,Member_Tab,7,FALSE())),1,0))  )</f>
        <v>0</v>
      </c>
      <c r="AA409" s="76" t="n">
        <f aca="false">IF(ISERROR(VLOOKUP($P409,Member_Tab,4,FALSE())),0,(VLOOKUP($P409,Member_Tab,4,FALSE()) * 0.2 * AA$7) * (IF(AND(AA$5 &gt;= VLOOKUP($P409,Member_Tab,6,FALSE()), AA$5 &lt;= VLOOKUP($P409,Member_Tab,7,FALSE())),1,0))  )</f>
        <v>0</v>
      </c>
      <c r="AB409" s="76" t="n">
        <f aca="false">IF(ISERROR(VLOOKUP($P409,Member_Tab,4,FALSE())),0,(VLOOKUP($P409,Member_Tab,4,FALSE()) * 0.2 * AB$7) * (IF(AND(AB$5 &gt;= VLOOKUP($P409,Member_Tab,6,FALSE()), AB$5 &lt;= VLOOKUP($P409,Member_Tab,7,FALSE())),1,0))  )</f>
        <v>0</v>
      </c>
      <c r="AC409" s="76" t="n">
        <f aca="false">IF(ISERROR(VLOOKUP($P409,Member_Tab,4,FALSE())),0,(VLOOKUP($P409,Member_Tab,4,FALSE()) * 0.2 * AC$7) * (IF(AND(AC$5 &gt;= VLOOKUP($P409,Member_Tab,6,FALSE()), AC$5 &lt;= VLOOKUP($P409,Member_Tab,7,FALSE())),1,0))  )</f>
        <v>0</v>
      </c>
      <c r="AD409" s="76" t="n">
        <f aca="false">IF(ISERROR(VLOOKUP($P409,Member_Tab,4,FALSE())),0,(VLOOKUP($P409,Member_Tab,4,FALSE()) * 0.2 * AD$7) * (IF(AND(AD$5 &gt;= VLOOKUP($P409,Member_Tab,6,FALSE()), AD$5 &lt;= VLOOKUP($P409,Member_Tab,7,FALSE())),1,0))  )</f>
        <v>0</v>
      </c>
      <c r="AE409" s="76" t="n">
        <f aca="false">IF(ISERROR(VLOOKUP($P409,Member_Tab,4,FALSE())),0,(VLOOKUP($P409,Member_Tab,4,FALSE()) * 0.2 * AE$7) * (IF(AND(AE$5 &gt;= VLOOKUP($P409,Member_Tab,6,FALSE()), AE$5 &lt;= VLOOKUP($P409,Member_Tab,7,FALSE())),1,0))  )</f>
        <v>0</v>
      </c>
      <c r="AF409" s="76" t="n">
        <f aca="false">IF(ISERROR(VLOOKUP($P409,Member_Tab,4,FALSE())),0,(VLOOKUP($P409,Member_Tab,4,FALSE()) * 0.2 * AF$7) * (IF(AND(AF$5 &gt;= VLOOKUP($P409,Member_Tab,6,FALSE()), AF$5 &lt;= VLOOKUP($P409,Member_Tab,7,FALSE())),1,0))  )</f>
        <v>0</v>
      </c>
      <c r="AG409" s="76" t="n">
        <f aca="false">IF(ISERROR(VLOOKUP($P409,Member_Tab,4,FALSE())),0,(VLOOKUP($P409,Member_Tab,4,FALSE()) * 0.2 * AG$7) * (IF(AND(AG$5 &gt;= VLOOKUP($P409,Member_Tab,6,FALSE()), AG$5 &lt;= VLOOKUP($P409,Member_Tab,7,FALSE())),1,0))  )</f>
        <v>0</v>
      </c>
      <c r="AH409" s="76" t="n">
        <f aca="false">IF(ISERROR(VLOOKUP($P409,Member_Tab,4,FALSE())),0,(VLOOKUP($P409,Member_Tab,4,FALSE()) * 0.2 * AH$7) * (IF(AND(AH$5 &gt;= VLOOKUP($P409,Member_Tab,6,FALSE()), AH$5 &lt;= VLOOKUP($P409,Member_Tab,7,FALSE())),1,0))  )</f>
        <v>0</v>
      </c>
      <c r="AI409" s="76" t="n">
        <f aca="false">IF(ISERROR(VLOOKUP($P409,Member_Tab,4,FALSE())),0,(VLOOKUP($P409,Member_Tab,4,FALSE()) * 0.2 * AI$7) * (IF(AND(AI$5 &gt;= VLOOKUP($P409,Member_Tab,6,FALSE()), AI$5 &lt;= VLOOKUP($P409,Member_Tab,7,FALSE())),1,0))  )</f>
        <v>0</v>
      </c>
      <c r="AJ409" s="76" t="n">
        <f aca="false">IF(ISERROR(VLOOKUP($P409,Member_Tab,4,FALSE())),0,(VLOOKUP($P409,Member_Tab,4,FALSE()) * 0.2 * AJ$7) * (IF(AND(AJ$5 &gt;= VLOOKUP($P409,Member_Tab,6,FALSE()), AJ$5 &lt;= VLOOKUP($P409,Member_Tab,7,FALSE())),1,0))  )</f>
        <v>0</v>
      </c>
      <c r="AK409" s="76" t="n">
        <f aca="false">IF(ISERROR(VLOOKUP($P409,Member_Tab,4,FALSE())),0,(VLOOKUP($P409,Member_Tab,4,FALSE()) * 0.2 * AK$7) * (IF(AND(AK$5 &gt;= VLOOKUP($P409,Member_Tab,6,FALSE()), AK$5 &lt;= VLOOKUP($P409,Member_Tab,7,FALSE())),1,0))  )</f>
        <v>0</v>
      </c>
      <c r="AL409" s="76" t="n">
        <f aca="false">IF(ISERROR(VLOOKUP($P409,Member_Tab,4,FALSE())),0,(VLOOKUP($P409,Member_Tab,4,FALSE()) * 0.2 * AL$7) * (IF(AND(AL$5 &gt;= VLOOKUP($P409,Member_Tab,6,FALSE()), AL$5 &lt;= VLOOKUP($P409,Member_Tab,7,FALSE())),1,0))  )</f>
        <v>0</v>
      </c>
      <c r="AM409" s="76" t="n">
        <f aca="false">IF(ISERROR(VLOOKUP($P409,Member_Tab,4,FALSE())),0,(VLOOKUP($P409,Member_Tab,4,FALSE()) * 0.2 * AM$7) * (IF(AND(AM$5 &gt;= VLOOKUP($P409,Member_Tab,6,FALSE()), AM$5 &lt;= VLOOKUP($P409,Member_Tab,7,FALSE())),1,0))  )</f>
        <v>0</v>
      </c>
      <c r="AN409" s="76" t="n">
        <f aca="false">IF(ISERROR(VLOOKUP($P409,Member_Tab,4,FALSE())),0,(VLOOKUP($P409,Member_Tab,4,FALSE()) * 0.2 * AN$7) * (IF(AND(AN$5 &gt;= VLOOKUP($P409,Member_Tab,6,FALSE()), AN$5 &lt;= VLOOKUP($P409,Member_Tab,7,FALSE())),1,0))  )</f>
        <v>0</v>
      </c>
      <c r="AO409" s="76" t="n">
        <f aca="false">IF(ISERROR(VLOOKUP($P409,Member_Tab,4,FALSE())),0,(VLOOKUP($P409,Member_Tab,4,FALSE()) * 0.2 * AO$7) * (IF(AND(AO$5 &gt;= VLOOKUP($P409,Member_Tab,6,FALSE()), AO$5 &lt;= VLOOKUP($P409,Member_Tab,7,FALSE())),1,0))  )</f>
        <v>0</v>
      </c>
      <c r="AP409" s="76" t="n">
        <f aca="false">IF(ISERROR(VLOOKUP($P409,Member_Tab,4,FALSE())),0,(VLOOKUP($P409,Member_Tab,4,FALSE()) * 0.2 * AP$7) * (IF(AND(AP$5 &gt;= VLOOKUP($P409,Member_Tab,6,FALSE()), AP$5 &lt;= VLOOKUP($P409,Member_Tab,7,FALSE())),1,0))  )</f>
        <v>0</v>
      </c>
      <c r="AQ409" s="76" t="n">
        <f aca="false">IF(ISERROR(VLOOKUP($P409,Member_Tab,4,FALSE())),0,(VLOOKUP($P409,Member_Tab,4,FALSE()) * 0.2 * AQ$7) * (IF(AND(AQ$5 &gt;= VLOOKUP($P409,Member_Tab,6,FALSE()), AQ$5 &lt;= VLOOKUP($P409,Member_Tab,7,FALSE())),1,0))  )</f>
        <v>0</v>
      </c>
      <c r="AR409" s="76" t="n">
        <f aca="false">IF(ISERROR(VLOOKUP($P409,Member_Tab,4,FALSE())),0,(VLOOKUP($P409,Member_Tab,4,FALSE()) * 0.2 * AR$7) * (IF(AND(AR$5 &gt;= VLOOKUP($P409,Member_Tab,6,FALSE()), AR$5 &lt;= VLOOKUP($P409,Member_Tab,7,FALSE())),1,0))  )</f>
        <v>0</v>
      </c>
      <c r="AS409" s="76" t="n">
        <f aca="false">IF(ISERROR(VLOOKUP($P409,Member_Tab,4,FALSE())),0,(VLOOKUP($P409,Member_Tab,4,FALSE()) * 0.2 * AS$7) * (IF(AND(AS$5 &gt;= VLOOKUP($P409,Member_Tab,6,FALSE()), AS$5 &lt;= VLOOKUP($P409,Member_Tab,7,FALSE())),1,0))  )</f>
        <v>0</v>
      </c>
      <c r="AT409" s="76" t="n">
        <f aca="false">IF(ISERROR(VLOOKUP($P409,Member_Tab,4,FALSE())),0,(VLOOKUP($P409,Member_Tab,4,FALSE()) * 0.2 * AT$7) * (IF(AND(AT$5 &gt;= VLOOKUP($P409,Member_Tab,6,FALSE()), AT$5 &lt;= VLOOKUP($P409,Member_Tab,7,FALSE())),1,0))  )</f>
        <v>0</v>
      </c>
      <c r="AU409" s="76" t="n">
        <f aca="false">IF(ISERROR(VLOOKUP($P409,Member_Tab,4,FALSE())),0,(VLOOKUP($P409,Member_Tab,4,FALSE()) * 0.2 * AU$7) * (IF(AND(AU$5 &gt;= VLOOKUP($P409,Member_Tab,6,FALSE()), AU$5 &lt;= VLOOKUP($P409,Member_Tab,7,FALSE())),1,0))  )</f>
        <v>0</v>
      </c>
      <c r="AV409" s="76" t="n">
        <f aca="false">IF(ISERROR(VLOOKUP($P409,Member_Tab,4,FALSE())),0,(VLOOKUP($P409,Member_Tab,4,FALSE()) * 0.2 * AV$7) * (IF(AND(AV$5 &gt;= VLOOKUP($P409,Member_Tab,6,FALSE()), AV$5 &lt;= VLOOKUP($P409,Member_Tab,7,FALSE())),1,0))  )</f>
        <v>0</v>
      </c>
      <c r="AW409" s="76" t="n">
        <f aca="false">IF(ISERROR(VLOOKUP($P409,Member_Tab,4,FALSE())),0,(VLOOKUP($P409,Member_Tab,4,FALSE()) * 0.2 * AW$7) * (IF(AND(AW$5 &gt;= VLOOKUP($P409,Member_Tab,6,FALSE()), AW$5 &lt;= VLOOKUP($P409,Member_Tab,7,FALSE())),1,0))  )</f>
        <v>0</v>
      </c>
      <c r="AX409" s="76" t="n">
        <f aca="false">IF(ISERROR(VLOOKUP($P409,Member_Tab,4,FALSE())),0,(VLOOKUP($P409,Member_Tab,4,FALSE()) * 0.2 * AX$7) * (IF(AND(AX$5 &gt;= VLOOKUP($P409,Member_Tab,6,FALSE()), AX$5 &lt;= VLOOKUP($P409,Member_Tab,7,FALSE())),1,0))  )</f>
        <v>0</v>
      </c>
      <c r="AY409" s="76" t="n">
        <f aca="false">IF(ISERROR(VLOOKUP($P409,Member_Tab,4,FALSE())),0,(VLOOKUP($P409,Member_Tab,4,FALSE()) * 0.2 * AY$7) * (IF(AND(AY$5 &gt;= VLOOKUP($P409,Member_Tab,6,FALSE()), AY$5 &lt;= VLOOKUP($P409,Member_Tab,7,FALSE())),1,0))  )</f>
        <v>0</v>
      </c>
      <c r="AZ409" s="76" t="n">
        <f aca="false">IF(ISERROR(VLOOKUP($P409,Member_Tab,4,FALSE())),0,(VLOOKUP($P409,Member_Tab,4,FALSE()) * 0.2 * AZ$7) * (IF(AND(AZ$5 &gt;= VLOOKUP($P409,Member_Tab,6,FALSE()), AZ$5 &lt;= VLOOKUP($P409,Member_Tab,7,FALSE())),1,0))  )</f>
        <v>0</v>
      </c>
      <c r="BA409" s="76" t="n">
        <f aca="false">IF(ISERROR(VLOOKUP($P409,Member_Tab,4,FALSE())),0,(VLOOKUP($P409,Member_Tab,4,FALSE()) * 0.2 * BA$7) * (IF(AND(BA$5 &gt;= VLOOKUP($P409,Member_Tab,6,FALSE()), BA$5 &lt;= VLOOKUP($P409,Member_Tab,7,FALSE())),1,0))  )</f>
        <v>0</v>
      </c>
      <c r="BB409" s="76" t="n">
        <f aca="false">IF(ISERROR(VLOOKUP($P409,Member_Tab,4,FALSE())),0,(VLOOKUP($P409,Member_Tab,4,FALSE()) * 0.2 * BB$7) * (IF(AND(BB$5 &gt;= VLOOKUP($P409,Member_Tab,6,FALSE()), BB$5 &lt;= VLOOKUP($P409,Member_Tab,7,FALSE())),1,0))  )</f>
        <v>0</v>
      </c>
    </row>
    <row r="410" s="173" customFormat="true" ht="15" hidden="true" customHeight="false" outlineLevel="1" collapsed="false">
      <c r="E410" s="40"/>
      <c r="K410" s="40"/>
      <c r="L410" s="40"/>
      <c r="M410" s="40"/>
      <c r="N410" s="40"/>
      <c r="P410" s="177" t="n">
        <f aca="false">P273</f>
        <v>0</v>
      </c>
      <c r="Q410" s="40"/>
      <c r="R410" s="178"/>
      <c r="S410" s="76" t="n">
        <f aca="false">IF(ISERROR(VLOOKUP($P410,Member_Tab,4,FALSE())),0,(VLOOKUP($P410,Member_Tab,4,FALSE()) * 0.2 * S$7) * (IF(AND(S$5 &gt;= VLOOKUP($P410,Member_Tab,6,FALSE()), S$5 &lt;= VLOOKUP($P410,Member_Tab,7,FALSE())),1,0))  )</f>
        <v>0</v>
      </c>
      <c r="T410" s="76" t="n">
        <f aca="false">IF(ISERROR(VLOOKUP($P410,Member_Tab,4,FALSE())),0,(VLOOKUP($P410,Member_Tab,4,FALSE()) * 0.2 * T$7) * (IF(AND(T$5 &gt;= VLOOKUP($P410,Member_Tab,6,FALSE()), T$5 &lt;= VLOOKUP($P410,Member_Tab,7,FALSE())),1,0))  )</f>
        <v>0</v>
      </c>
      <c r="U410" s="76" t="n">
        <f aca="false">IF(ISERROR(VLOOKUP($P410,Member_Tab,4,FALSE())),0,(VLOOKUP($P410,Member_Tab,4,FALSE()) * 0.2 * U$7) * (IF(AND(U$5 &gt;= VLOOKUP($P410,Member_Tab,6,FALSE()), U$5 &lt;= VLOOKUP($P410,Member_Tab,7,FALSE())),1,0))  )</f>
        <v>0</v>
      </c>
      <c r="V410" s="76" t="n">
        <f aca="false">IF(ISERROR(VLOOKUP($P410,Member_Tab,4,FALSE())),0,(VLOOKUP($P410,Member_Tab,4,FALSE()) * 0.2 * V$7) * (IF(AND(V$5 &gt;= VLOOKUP($P410,Member_Tab,6,FALSE()), V$5 &lt;= VLOOKUP($P410,Member_Tab,7,FALSE())),1,0))  )</f>
        <v>0</v>
      </c>
      <c r="W410" s="76" t="n">
        <f aca="false">IF(ISERROR(VLOOKUP($P410,Member_Tab,4,FALSE())),0,(VLOOKUP($P410,Member_Tab,4,FALSE()) * 0.2 * W$7) * (IF(AND(W$5 &gt;= VLOOKUP($P410,Member_Tab,6,FALSE()), W$5 &lt;= VLOOKUP($P410,Member_Tab,7,FALSE())),1,0))  )</f>
        <v>0</v>
      </c>
      <c r="X410" s="76" t="n">
        <f aca="false">IF(ISERROR(VLOOKUP($P410,Member_Tab,4,FALSE())),0,(VLOOKUP($P410,Member_Tab,4,FALSE()) * 0.2 * X$7) * (IF(AND(X$5 &gt;= VLOOKUP($P410,Member_Tab,6,FALSE()), X$5 &lt;= VLOOKUP($P410,Member_Tab,7,FALSE())),1,0))  )</f>
        <v>0</v>
      </c>
      <c r="Y410" s="76" t="n">
        <f aca="false">IF(ISERROR(VLOOKUP($P410,Member_Tab,4,FALSE())),0,(VLOOKUP($P410,Member_Tab,4,FALSE()) * 0.2 * Y$7) * (IF(AND(Y$5 &gt;= VLOOKUP($P410,Member_Tab,6,FALSE()), Y$5 &lt;= VLOOKUP($P410,Member_Tab,7,FALSE())),1,0))  )</f>
        <v>0</v>
      </c>
      <c r="Z410" s="76" t="n">
        <f aca="false">IF(ISERROR(VLOOKUP($P410,Member_Tab,4,FALSE())),0,(VLOOKUP($P410,Member_Tab,4,FALSE()) * 0.2 * Z$7) * (IF(AND(Z$5 &gt;= VLOOKUP($P410,Member_Tab,6,FALSE()), Z$5 &lt;= VLOOKUP($P410,Member_Tab,7,FALSE())),1,0))  )</f>
        <v>0</v>
      </c>
      <c r="AA410" s="76" t="n">
        <f aca="false">IF(ISERROR(VLOOKUP($P410,Member_Tab,4,FALSE())),0,(VLOOKUP($P410,Member_Tab,4,FALSE()) * 0.2 * AA$7) * (IF(AND(AA$5 &gt;= VLOOKUP($P410,Member_Tab,6,FALSE()), AA$5 &lt;= VLOOKUP($P410,Member_Tab,7,FALSE())),1,0))  )</f>
        <v>0</v>
      </c>
      <c r="AB410" s="76" t="n">
        <f aca="false">IF(ISERROR(VLOOKUP($P410,Member_Tab,4,FALSE())),0,(VLOOKUP($P410,Member_Tab,4,FALSE()) * 0.2 * AB$7) * (IF(AND(AB$5 &gt;= VLOOKUP($P410,Member_Tab,6,FALSE()), AB$5 &lt;= VLOOKUP($P410,Member_Tab,7,FALSE())),1,0))  )</f>
        <v>0</v>
      </c>
      <c r="AC410" s="76" t="n">
        <f aca="false">IF(ISERROR(VLOOKUP($P410,Member_Tab,4,FALSE())),0,(VLOOKUP($P410,Member_Tab,4,FALSE()) * 0.2 * AC$7) * (IF(AND(AC$5 &gt;= VLOOKUP($P410,Member_Tab,6,FALSE()), AC$5 &lt;= VLOOKUP($P410,Member_Tab,7,FALSE())),1,0))  )</f>
        <v>0</v>
      </c>
      <c r="AD410" s="76" t="n">
        <f aca="false">IF(ISERROR(VLOOKUP($P410,Member_Tab,4,FALSE())),0,(VLOOKUP($P410,Member_Tab,4,FALSE()) * 0.2 * AD$7) * (IF(AND(AD$5 &gt;= VLOOKUP($P410,Member_Tab,6,FALSE()), AD$5 &lt;= VLOOKUP($P410,Member_Tab,7,FALSE())),1,0))  )</f>
        <v>0</v>
      </c>
      <c r="AE410" s="76" t="n">
        <f aca="false">IF(ISERROR(VLOOKUP($P410,Member_Tab,4,FALSE())),0,(VLOOKUP($P410,Member_Tab,4,FALSE()) * 0.2 * AE$7) * (IF(AND(AE$5 &gt;= VLOOKUP($P410,Member_Tab,6,FALSE()), AE$5 &lt;= VLOOKUP($P410,Member_Tab,7,FALSE())),1,0))  )</f>
        <v>0</v>
      </c>
      <c r="AF410" s="76" t="n">
        <f aca="false">IF(ISERROR(VLOOKUP($P410,Member_Tab,4,FALSE())),0,(VLOOKUP($P410,Member_Tab,4,FALSE()) * 0.2 * AF$7) * (IF(AND(AF$5 &gt;= VLOOKUP($P410,Member_Tab,6,FALSE()), AF$5 &lt;= VLOOKUP($P410,Member_Tab,7,FALSE())),1,0))  )</f>
        <v>0</v>
      </c>
      <c r="AG410" s="76" t="n">
        <f aca="false">IF(ISERROR(VLOOKUP($P410,Member_Tab,4,FALSE())),0,(VLOOKUP($P410,Member_Tab,4,FALSE()) * 0.2 * AG$7) * (IF(AND(AG$5 &gt;= VLOOKUP($P410,Member_Tab,6,FALSE()), AG$5 &lt;= VLOOKUP($P410,Member_Tab,7,FALSE())),1,0))  )</f>
        <v>0</v>
      </c>
      <c r="AH410" s="76" t="n">
        <f aca="false">IF(ISERROR(VLOOKUP($P410,Member_Tab,4,FALSE())),0,(VLOOKUP($P410,Member_Tab,4,FALSE()) * 0.2 * AH$7) * (IF(AND(AH$5 &gt;= VLOOKUP($P410,Member_Tab,6,FALSE()), AH$5 &lt;= VLOOKUP($P410,Member_Tab,7,FALSE())),1,0))  )</f>
        <v>0</v>
      </c>
      <c r="AI410" s="76" t="n">
        <f aca="false">IF(ISERROR(VLOOKUP($P410,Member_Tab,4,FALSE())),0,(VLOOKUP($P410,Member_Tab,4,FALSE()) * 0.2 * AI$7) * (IF(AND(AI$5 &gt;= VLOOKUP($P410,Member_Tab,6,FALSE()), AI$5 &lt;= VLOOKUP($P410,Member_Tab,7,FALSE())),1,0))  )</f>
        <v>0</v>
      </c>
      <c r="AJ410" s="76" t="n">
        <f aca="false">IF(ISERROR(VLOOKUP($P410,Member_Tab,4,FALSE())),0,(VLOOKUP($P410,Member_Tab,4,FALSE()) * 0.2 * AJ$7) * (IF(AND(AJ$5 &gt;= VLOOKUP($P410,Member_Tab,6,FALSE()), AJ$5 &lt;= VLOOKUP($P410,Member_Tab,7,FALSE())),1,0))  )</f>
        <v>0</v>
      </c>
      <c r="AK410" s="76" t="n">
        <f aca="false">IF(ISERROR(VLOOKUP($P410,Member_Tab,4,FALSE())),0,(VLOOKUP($P410,Member_Tab,4,FALSE()) * 0.2 * AK$7) * (IF(AND(AK$5 &gt;= VLOOKUP($P410,Member_Tab,6,FALSE()), AK$5 &lt;= VLOOKUP($P410,Member_Tab,7,FALSE())),1,0))  )</f>
        <v>0</v>
      </c>
      <c r="AL410" s="76" t="n">
        <f aca="false">IF(ISERROR(VLOOKUP($P410,Member_Tab,4,FALSE())),0,(VLOOKUP($P410,Member_Tab,4,FALSE()) * 0.2 * AL$7) * (IF(AND(AL$5 &gt;= VLOOKUP($P410,Member_Tab,6,FALSE()), AL$5 &lt;= VLOOKUP($P410,Member_Tab,7,FALSE())),1,0))  )</f>
        <v>0</v>
      </c>
      <c r="AM410" s="76" t="n">
        <f aca="false">IF(ISERROR(VLOOKUP($P410,Member_Tab,4,FALSE())),0,(VLOOKUP($P410,Member_Tab,4,FALSE()) * 0.2 * AM$7) * (IF(AND(AM$5 &gt;= VLOOKUP($P410,Member_Tab,6,FALSE()), AM$5 &lt;= VLOOKUP($P410,Member_Tab,7,FALSE())),1,0))  )</f>
        <v>0</v>
      </c>
      <c r="AN410" s="76" t="n">
        <f aca="false">IF(ISERROR(VLOOKUP($P410,Member_Tab,4,FALSE())),0,(VLOOKUP($P410,Member_Tab,4,FALSE()) * 0.2 * AN$7) * (IF(AND(AN$5 &gt;= VLOOKUP($P410,Member_Tab,6,FALSE()), AN$5 &lt;= VLOOKUP($P410,Member_Tab,7,FALSE())),1,0))  )</f>
        <v>0</v>
      </c>
      <c r="AO410" s="76" t="n">
        <f aca="false">IF(ISERROR(VLOOKUP($P410,Member_Tab,4,FALSE())),0,(VLOOKUP($P410,Member_Tab,4,FALSE()) * 0.2 * AO$7) * (IF(AND(AO$5 &gt;= VLOOKUP($P410,Member_Tab,6,FALSE()), AO$5 &lt;= VLOOKUP($P410,Member_Tab,7,FALSE())),1,0))  )</f>
        <v>0</v>
      </c>
      <c r="AP410" s="76" t="n">
        <f aca="false">IF(ISERROR(VLOOKUP($P410,Member_Tab,4,FALSE())),0,(VLOOKUP($P410,Member_Tab,4,FALSE()) * 0.2 * AP$7) * (IF(AND(AP$5 &gt;= VLOOKUP($P410,Member_Tab,6,FALSE()), AP$5 &lt;= VLOOKUP($P410,Member_Tab,7,FALSE())),1,0))  )</f>
        <v>0</v>
      </c>
      <c r="AQ410" s="76" t="n">
        <f aca="false">IF(ISERROR(VLOOKUP($P410,Member_Tab,4,FALSE())),0,(VLOOKUP($P410,Member_Tab,4,FALSE()) * 0.2 * AQ$7) * (IF(AND(AQ$5 &gt;= VLOOKUP($P410,Member_Tab,6,FALSE()), AQ$5 &lt;= VLOOKUP($P410,Member_Tab,7,FALSE())),1,0))  )</f>
        <v>0</v>
      </c>
      <c r="AR410" s="76" t="n">
        <f aca="false">IF(ISERROR(VLOOKUP($P410,Member_Tab,4,FALSE())),0,(VLOOKUP($P410,Member_Tab,4,FALSE()) * 0.2 * AR$7) * (IF(AND(AR$5 &gt;= VLOOKUP($P410,Member_Tab,6,FALSE()), AR$5 &lt;= VLOOKUP($P410,Member_Tab,7,FALSE())),1,0))  )</f>
        <v>0</v>
      </c>
      <c r="AS410" s="76" t="n">
        <f aca="false">IF(ISERROR(VLOOKUP($P410,Member_Tab,4,FALSE())),0,(VLOOKUP($P410,Member_Tab,4,FALSE()) * 0.2 * AS$7) * (IF(AND(AS$5 &gt;= VLOOKUP($P410,Member_Tab,6,FALSE()), AS$5 &lt;= VLOOKUP($P410,Member_Tab,7,FALSE())),1,0))  )</f>
        <v>0</v>
      </c>
      <c r="AT410" s="76" t="n">
        <f aca="false">IF(ISERROR(VLOOKUP($P410,Member_Tab,4,FALSE())),0,(VLOOKUP($P410,Member_Tab,4,FALSE()) * 0.2 * AT$7) * (IF(AND(AT$5 &gt;= VLOOKUP($P410,Member_Tab,6,FALSE()), AT$5 &lt;= VLOOKUP($P410,Member_Tab,7,FALSE())),1,0))  )</f>
        <v>0</v>
      </c>
      <c r="AU410" s="76" t="n">
        <f aca="false">IF(ISERROR(VLOOKUP($P410,Member_Tab,4,FALSE())),0,(VLOOKUP($P410,Member_Tab,4,FALSE()) * 0.2 * AU$7) * (IF(AND(AU$5 &gt;= VLOOKUP($P410,Member_Tab,6,FALSE()), AU$5 &lt;= VLOOKUP($P410,Member_Tab,7,FALSE())),1,0))  )</f>
        <v>0</v>
      </c>
      <c r="AV410" s="76" t="n">
        <f aca="false">IF(ISERROR(VLOOKUP($P410,Member_Tab,4,FALSE())),0,(VLOOKUP($P410,Member_Tab,4,FALSE()) * 0.2 * AV$7) * (IF(AND(AV$5 &gt;= VLOOKUP($P410,Member_Tab,6,FALSE()), AV$5 &lt;= VLOOKUP($P410,Member_Tab,7,FALSE())),1,0))  )</f>
        <v>0</v>
      </c>
      <c r="AW410" s="76" t="n">
        <f aca="false">IF(ISERROR(VLOOKUP($P410,Member_Tab,4,FALSE())),0,(VLOOKUP($P410,Member_Tab,4,FALSE()) * 0.2 * AW$7) * (IF(AND(AW$5 &gt;= VLOOKUP($P410,Member_Tab,6,FALSE()), AW$5 &lt;= VLOOKUP($P410,Member_Tab,7,FALSE())),1,0))  )</f>
        <v>0</v>
      </c>
      <c r="AX410" s="76" t="n">
        <f aca="false">IF(ISERROR(VLOOKUP($P410,Member_Tab,4,FALSE())),0,(VLOOKUP($P410,Member_Tab,4,FALSE()) * 0.2 * AX$7) * (IF(AND(AX$5 &gt;= VLOOKUP($P410,Member_Tab,6,FALSE()), AX$5 &lt;= VLOOKUP($P410,Member_Tab,7,FALSE())),1,0))  )</f>
        <v>0</v>
      </c>
      <c r="AY410" s="76" t="n">
        <f aca="false">IF(ISERROR(VLOOKUP($P410,Member_Tab,4,FALSE())),0,(VLOOKUP($P410,Member_Tab,4,FALSE()) * 0.2 * AY$7) * (IF(AND(AY$5 &gt;= VLOOKUP($P410,Member_Tab,6,FALSE()), AY$5 &lt;= VLOOKUP($P410,Member_Tab,7,FALSE())),1,0))  )</f>
        <v>0</v>
      </c>
      <c r="AZ410" s="76" t="n">
        <f aca="false">IF(ISERROR(VLOOKUP($P410,Member_Tab,4,FALSE())),0,(VLOOKUP($P410,Member_Tab,4,FALSE()) * 0.2 * AZ$7) * (IF(AND(AZ$5 &gt;= VLOOKUP($P410,Member_Tab,6,FALSE()), AZ$5 &lt;= VLOOKUP($P410,Member_Tab,7,FALSE())),1,0))  )</f>
        <v>0</v>
      </c>
      <c r="BA410" s="76" t="n">
        <f aca="false">IF(ISERROR(VLOOKUP($P410,Member_Tab,4,FALSE())),0,(VLOOKUP($P410,Member_Tab,4,FALSE()) * 0.2 * BA$7) * (IF(AND(BA$5 &gt;= VLOOKUP($P410,Member_Tab,6,FALSE()), BA$5 &lt;= VLOOKUP($P410,Member_Tab,7,FALSE())),1,0))  )</f>
        <v>0</v>
      </c>
      <c r="BB410" s="76" t="n">
        <f aca="false">IF(ISERROR(VLOOKUP($P410,Member_Tab,4,FALSE())),0,(VLOOKUP($P410,Member_Tab,4,FALSE()) * 0.2 * BB$7) * (IF(AND(BB$5 &gt;= VLOOKUP($P410,Member_Tab,6,FALSE()), BB$5 &lt;= VLOOKUP($P410,Member_Tab,7,FALSE())),1,0))  )</f>
        <v>0</v>
      </c>
    </row>
    <row r="411" s="173" customFormat="true" ht="15" hidden="true" customHeight="false" outlineLevel="1" collapsed="false">
      <c r="E411" s="40"/>
      <c r="K411" s="40"/>
      <c r="L411" s="40"/>
      <c r="M411" s="40"/>
      <c r="N411" s="40"/>
      <c r="P411" s="177" t="n">
        <f aca="false">P274</f>
        <v>0</v>
      </c>
      <c r="Q411" s="40"/>
      <c r="R411" s="178"/>
      <c r="S411" s="76" t="n">
        <f aca="false">IF(ISERROR(VLOOKUP($P411,Member_Tab,4,FALSE())),0,(VLOOKUP($P411,Member_Tab,4,FALSE()) * 0.2 * S$7) * (IF(AND(S$5 &gt;= VLOOKUP($P411,Member_Tab,6,FALSE()), S$5 &lt;= VLOOKUP($P411,Member_Tab,7,FALSE())),1,0))  )</f>
        <v>0</v>
      </c>
      <c r="T411" s="76" t="n">
        <f aca="false">IF(ISERROR(VLOOKUP($P411,Member_Tab,4,FALSE())),0,(VLOOKUP($P411,Member_Tab,4,FALSE()) * 0.2 * T$7) * (IF(AND(T$5 &gt;= VLOOKUP($P411,Member_Tab,6,FALSE()), T$5 &lt;= VLOOKUP($P411,Member_Tab,7,FALSE())),1,0))  )</f>
        <v>0</v>
      </c>
      <c r="U411" s="76" t="n">
        <f aca="false">IF(ISERROR(VLOOKUP($P411,Member_Tab,4,FALSE())),0,(VLOOKUP($P411,Member_Tab,4,FALSE()) * 0.2 * U$7) * (IF(AND(U$5 &gt;= VLOOKUP($P411,Member_Tab,6,FALSE()), U$5 &lt;= VLOOKUP($P411,Member_Tab,7,FALSE())),1,0))  )</f>
        <v>0</v>
      </c>
      <c r="V411" s="76" t="n">
        <f aca="false">IF(ISERROR(VLOOKUP($P411,Member_Tab,4,FALSE())),0,(VLOOKUP($P411,Member_Tab,4,FALSE()) * 0.2 * V$7) * (IF(AND(V$5 &gt;= VLOOKUP($P411,Member_Tab,6,FALSE()), V$5 &lt;= VLOOKUP($P411,Member_Tab,7,FALSE())),1,0))  )</f>
        <v>0</v>
      </c>
      <c r="W411" s="76" t="n">
        <f aca="false">IF(ISERROR(VLOOKUP($P411,Member_Tab,4,FALSE())),0,(VLOOKUP($P411,Member_Tab,4,FALSE()) * 0.2 * W$7) * (IF(AND(W$5 &gt;= VLOOKUP($P411,Member_Tab,6,FALSE()), W$5 &lt;= VLOOKUP($P411,Member_Tab,7,FALSE())),1,0))  )</f>
        <v>0</v>
      </c>
      <c r="X411" s="76" t="n">
        <f aca="false">IF(ISERROR(VLOOKUP($P411,Member_Tab,4,FALSE())),0,(VLOOKUP($P411,Member_Tab,4,FALSE()) * 0.2 * X$7) * (IF(AND(X$5 &gt;= VLOOKUP($P411,Member_Tab,6,FALSE()), X$5 &lt;= VLOOKUP($P411,Member_Tab,7,FALSE())),1,0))  )</f>
        <v>0</v>
      </c>
      <c r="Y411" s="76" t="n">
        <f aca="false">IF(ISERROR(VLOOKUP($P411,Member_Tab,4,FALSE())),0,(VLOOKUP($P411,Member_Tab,4,FALSE()) * 0.2 * Y$7) * (IF(AND(Y$5 &gt;= VLOOKUP($P411,Member_Tab,6,FALSE()), Y$5 &lt;= VLOOKUP($P411,Member_Tab,7,FALSE())),1,0))  )</f>
        <v>0</v>
      </c>
      <c r="Z411" s="76" t="n">
        <f aca="false">IF(ISERROR(VLOOKUP($P411,Member_Tab,4,FALSE())),0,(VLOOKUP($P411,Member_Tab,4,FALSE()) * 0.2 * Z$7) * (IF(AND(Z$5 &gt;= VLOOKUP($P411,Member_Tab,6,FALSE()), Z$5 &lt;= VLOOKUP($P411,Member_Tab,7,FALSE())),1,0))  )</f>
        <v>0</v>
      </c>
      <c r="AA411" s="76" t="n">
        <f aca="false">IF(ISERROR(VLOOKUP($P411,Member_Tab,4,FALSE())),0,(VLOOKUP($P411,Member_Tab,4,FALSE()) * 0.2 * AA$7) * (IF(AND(AA$5 &gt;= VLOOKUP($P411,Member_Tab,6,FALSE()), AA$5 &lt;= VLOOKUP($P411,Member_Tab,7,FALSE())),1,0))  )</f>
        <v>0</v>
      </c>
      <c r="AB411" s="76" t="n">
        <f aca="false">IF(ISERROR(VLOOKUP($P411,Member_Tab,4,FALSE())),0,(VLOOKUP($P411,Member_Tab,4,FALSE()) * 0.2 * AB$7) * (IF(AND(AB$5 &gt;= VLOOKUP($P411,Member_Tab,6,FALSE()), AB$5 &lt;= VLOOKUP($P411,Member_Tab,7,FALSE())),1,0))  )</f>
        <v>0</v>
      </c>
      <c r="AC411" s="76" t="n">
        <f aca="false">IF(ISERROR(VLOOKUP($P411,Member_Tab,4,FALSE())),0,(VLOOKUP($P411,Member_Tab,4,FALSE()) * 0.2 * AC$7) * (IF(AND(AC$5 &gt;= VLOOKUP($P411,Member_Tab,6,FALSE()), AC$5 &lt;= VLOOKUP($P411,Member_Tab,7,FALSE())),1,0))  )</f>
        <v>0</v>
      </c>
      <c r="AD411" s="76" t="n">
        <f aca="false">IF(ISERROR(VLOOKUP($P411,Member_Tab,4,FALSE())),0,(VLOOKUP($P411,Member_Tab,4,FALSE()) * 0.2 * AD$7) * (IF(AND(AD$5 &gt;= VLOOKUP($P411,Member_Tab,6,FALSE()), AD$5 &lt;= VLOOKUP($P411,Member_Tab,7,FALSE())),1,0))  )</f>
        <v>0</v>
      </c>
      <c r="AE411" s="76" t="n">
        <f aca="false">IF(ISERROR(VLOOKUP($P411,Member_Tab,4,FALSE())),0,(VLOOKUP($P411,Member_Tab,4,FALSE()) * 0.2 * AE$7) * (IF(AND(AE$5 &gt;= VLOOKUP($P411,Member_Tab,6,FALSE()), AE$5 &lt;= VLOOKUP($P411,Member_Tab,7,FALSE())),1,0))  )</f>
        <v>0</v>
      </c>
      <c r="AF411" s="76" t="n">
        <f aca="false">IF(ISERROR(VLOOKUP($P411,Member_Tab,4,FALSE())),0,(VLOOKUP($P411,Member_Tab,4,FALSE()) * 0.2 * AF$7) * (IF(AND(AF$5 &gt;= VLOOKUP($P411,Member_Tab,6,FALSE()), AF$5 &lt;= VLOOKUP($P411,Member_Tab,7,FALSE())),1,0))  )</f>
        <v>0</v>
      </c>
      <c r="AG411" s="76" t="n">
        <f aca="false">IF(ISERROR(VLOOKUP($P411,Member_Tab,4,FALSE())),0,(VLOOKUP($P411,Member_Tab,4,FALSE()) * 0.2 * AG$7) * (IF(AND(AG$5 &gt;= VLOOKUP($P411,Member_Tab,6,FALSE()), AG$5 &lt;= VLOOKUP($P411,Member_Tab,7,FALSE())),1,0))  )</f>
        <v>0</v>
      </c>
      <c r="AH411" s="76" t="n">
        <f aca="false">IF(ISERROR(VLOOKUP($P411,Member_Tab,4,FALSE())),0,(VLOOKUP($P411,Member_Tab,4,FALSE()) * 0.2 * AH$7) * (IF(AND(AH$5 &gt;= VLOOKUP($P411,Member_Tab,6,FALSE()), AH$5 &lt;= VLOOKUP($P411,Member_Tab,7,FALSE())),1,0))  )</f>
        <v>0</v>
      </c>
      <c r="AI411" s="76" t="n">
        <f aca="false">IF(ISERROR(VLOOKUP($P411,Member_Tab,4,FALSE())),0,(VLOOKUP($P411,Member_Tab,4,FALSE()) * 0.2 * AI$7) * (IF(AND(AI$5 &gt;= VLOOKUP($P411,Member_Tab,6,FALSE()), AI$5 &lt;= VLOOKUP($P411,Member_Tab,7,FALSE())),1,0))  )</f>
        <v>0</v>
      </c>
      <c r="AJ411" s="76" t="n">
        <f aca="false">IF(ISERROR(VLOOKUP($P411,Member_Tab,4,FALSE())),0,(VLOOKUP($P411,Member_Tab,4,FALSE()) * 0.2 * AJ$7) * (IF(AND(AJ$5 &gt;= VLOOKUP($P411,Member_Tab,6,FALSE()), AJ$5 &lt;= VLOOKUP($P411,Member_Tab,7,FALSE())),1,0))  )</f>
        <v>0</v>
      </c>
      <c r="AK411" s="76" t="n">
        <f aca="false">IF(ISERROR(VLOOKUP($P411,Member_Tab,4,FALSE())),0,(VLOOKUP($P411,Member_Tab,4,FALSE()) * 0.2 * AK$7) * (IF(AND(AK$5 &gt;= VLOOKUP($P411,Member_Tab,6,FALSE()), AK$5 &lt;= VLOOKUP($P411,Member_Tab,7,FALSE())),1,0))  )</f>
        <v>0</v>
      </c>
      <c r="AL411" s="76" t="n">
        <f aca="false">IF(ISERROR(VLOOKUP($P411,Member_Tab,4,FALSE())),0,(VLOOKUP($P411,Member_Tab,4,FALSE()) * 0.2 * AL$7) * (IF(AND(AL$5 &gt;= VLOOKUP($P411,Member_Tab,6,FALSE()), AL$5 &lt;= VLOOKUP($P411,Member_Tab,7,FALSE())),1,0))  )</f>
        <v>0</v>
      </c>
      <c r="AM411" s="76" t="n">
        <f aca="false">IF(ISERROR(VLOOKUP($P411,Member_Tab,4,FALSE())),0,(VLOOKUP($P411,Member_Tab,4,FALSE()) * 0.2 * AM$7) * (IF(AND(AM$5 &gt;= VLOOKUP($P411,Member_Tab,6,FALSE()), AM$5 &lt;= VLOOKUP($P411,Member_Tab,7,FALSE())),1,0))  )</f>
        <v>0</v>
      </c>
      <c r="AN411" s="76" t="n">
        <f aca="false">IF(ISERROR(VLOOKUP($P411,Member_Tab,4,FALSE())),0,(VLOOKUP($P411,Member_Tab,4,FALSE()) * 0.2 * AN$7) * (IF(AND(AN$5 &gt;= VLOOKUP($P411,Member_Tab,6,FALSE()), AN$5 &lt;= VLOOKUP($P411,Member_Tab,7,FALSE())),1,0))  )</f>
        <v>0</v>
      </c>
      <c r="AO411" s="76" t="n">
        <f aca="false">IF(ISERROR(VLOOKUP($P411,Member_Tab,4,FALSE())),0,(VLOOKUP($P411,Member_Tab,4,FALSE()) * 0.2 * AO$7) * (IF(AND(AO$5 &gt;= VLOOKUP($P411,Member_Tab,6,FALSE()), AO$5 &lt;= VLOOKUP($P411,Member_Tab,7,FALSE())),1,0))  )</f>
        <v>0</v>
      </c>
      <c r="AP411" s="76" t="n">
        <f aca="false">IF(ISERROR(VLOOKUP($P411,Member_Tab,4,FALSE())),0,(VLOOKUP($P411,Member_Tab,4,FALSE()) * 0.2 * AP$7) * (IF(AND(AP$5 &gt;= VLOOKUP($P411,Member_Tab,6,FALSE()), AP$5 &lt;= VLOOKUP($P411,Member_Tab,7,FALSE())),1,0))  )</f>
        <v>0</v>
      </c>
      <c r="AQ411" s="76" t="n">
        <f aca="false">IF(ISERROR(VLOOKUP($P411,Member_Tab,4,FALSE())),0,(VLOOKUP($P411,Member_Tab,4,FALSE()) * 0.2 * AQ$7) * (IF(AND(AQ$5 &gt;= VLOOKUP($P411,Member_Tab,6,FALSE()), AQ$5 &lt;= VLOOKUP($P411,Member_Tab,7,FALSE())),1,0))  )</f>
        <v>0</v>
      </c>
      <c r="AR411" s="76" t="n">
        <f aca="false">IF(ISERROR(VLOOKUP($P411,Member_Tab,4,FALSE())),0,(VLOOKUP($P411,Member_Tab,4,FALSE()) * 0.2 * AR$7) * (IF(AND(AR$5 &gt;= VLOOKUP($P411,Member_Tab,6,FALSE()), AR$5 &lt;= VLOOKUP($P411,Member_Tab,7,FALSE())),1,0))  )</f>
        <v>0</v>
      </c>
      <c r="AS411" s="76" t="n">
        <f aca="false">IF(ISERROR(VLOOKUP($P411,Member_Tab,4,FALSE())),0,(VLOOKUP($P411,Member_Tab,4,FALSE()) * 0.2 * AS$7) * (IF(AND(AS$5 &gt;= VLOOKUP($P411,Member_Tab,6,FALSE()), AS$5 &lt;= VLOOKUP($P411,Member_Tab,7,FALSE())),1,0))  )</f>
        <v>0</v>
      </c>
      <c r="AT411" s="76" t="n">
        <f aca="false">IF(ISERROR(VLOOKUP($P411,Member_Tab,4,FALSE())),0,(VLOOKUP($P411,Member_Tab,4,FALSE()) * 0.2 * AT$7) * (IF(AND(AT$5 &gt;= VLOOKUP($P411,Member_Tab,6,FALSE()), AT$5 &lt;= VLOOKUP($P411,Member_Tab,7,FALSE())),1,0))  )</f>
        <v>0</v>
      </c>
      <c r="AU411" s="76" t="n">
        <f aca="false">IF(ISERROR(VLOOKUP($P411,Member_Tab,4,FALSE())),0,(VLOOKUP($P411,Member_Tab,4,FALSE()) * 0.2 * AU$7) * (IF(AND(AU$5 &gt;= VLOOKUP($P411,Member_Tab,6,FALSE()), AU$5 &lt;= VLOOKUP($P411,Member_Tab,7,FALSE())),1,0))  )</f>
        <v>0</v>
      </c>
      <c r="AV411" s="76" t="n">
        <f aca="false">IF(ISERROR(VLOOKUP($P411,Member_Tab,4,FALSE())),0,(VLOOKUP($P411,Member_Tab,4,FALSE()) * 0.2 * AV$7) * (IF(AND(AV$5 &gt;= VLOOKUP($P411,Member_Tab,6,FALSE()), AV$5 &lt;= VLOOKUP($P411,Member_Tab,7,FALSE())),1,0))  )</f>
        <v>0</v>
      </c>
      <c r="AW411" s="76" t="n">
        <f aca="false">IF(ISERROR(VLOOKUP($P411,Member_Tab,4,FALSE())),0,(VLOOKUP($P411,Member_Tab,4,FALSE()) * 0.2 * AW$7) * (IF(AND(AW$5 &gt;= VLOOKUP($P411,Member_Tab,6,FALSE()), AW$5 &lt;= VLOOKUP($P411,Member_Tab,7,FALSE())),1,0))  )</f>
        <v>0</v>
      </c>
      <c r="AX411" s="76" t="n">
        <f aca="false">IF(ISERROR(VLOOKUP($P411,Member_Tab,4,FALSE())),0,(VLOOKUP($P411,Member_Tab,4,FALSE()) * 0.2 * AX$7) * (IF(AND(AX$5 &gt;= VLOOKUP($P411,Member_Tab,6,FALSE()), AX$5 &lt;= VLOOKUP($P411,Member_Tab,7,FALSE())),1,0))  )</f>
        <v>0</v>
      </c>
      <c r="AY411" s="76" t="n">
        <f aca="false">IF(ISERROR(VLOOKUP($P411,Member_Tab,4,FALSE())),0,(VLOOKUP($P411,Member_Tab,4,FALSE()) * 0.2 * AY$7) * (IF(AND(AY$5 &gt;= VLOOKUP($P411,Member_Tab,6,FALSE()), AY$5 &lt;= VLOOKUP($P411,Member_Tab,7,FALSE())),1,0))  )</f>
        <v>0</v>
      </c>
      <c r="AZ411" s="76" t="n">
        <f aca="false">IF(ISERROR(VLOOKUP($P411,Member_Tab,4,FALSE())),0,(VLOOKUP($P411,Member_Tab,4,FALSE()) * 0.2 * AZ$7) * (IF(AND(AZ$5 &gt;= VLOOKUP($P411,Member_Tab,6,FALSE()), AZ$5 &lt;= VLOOKUP($P411,Member_Tab,7,FALSE())),1,0))  )</f>
        <v>0</v>
      </c>
      <c r="BA411" s="76" t="n">
        <f aca="false">IF(ISERROR(VLOOKUP($P411,Member_Tab,4,FALSE())),0,(VLOOKUP($P411,Member_Tab,4,FALSE()) * 0.2 * BA$7) * (IF(AND(BA$5 &gt;= VLOOKUP($P411,Member_Tab,6,FALSE()), BA$5 &lt;= VLOOKUP($P411,Member_Tab,7,FALSE())),1,0))  )</f>
        <v>0</v>
      </c>
      <c r="BB411" s="76" t="n">
        <f aca="false">IF(ISERROR(VLOOKUP($P411,Member_Tab,4,FALSE())),0,(VLOOKUP($P411,Member_Tab,4,FALSE()) * 0.2 * BB$7) * (IF(AND(BB$5 &gt;= VLOOKUP($P411,Member_Tab,6,FALSE()), BB$5 &lt;= VLOOKUP($P411,Member_Tab,7,FALSE())),1,0))  )</f>
        <v>0</v>
      </c>
    </row>
    <row r="412" s="173" customFormat="true" ht="15" hidden="true" customHeight="false" outlineLevel="1" collapsed="false">
      <c r="E412" s="40"/>
      <c r="K412" s="40"/>
      <c r="L412" s="40"/>
      <c r="M412" s="40"/>
      <c r="N412" s="40"/>
      <c r="P412" s="177" t="n">
        <f aca="false">P275</f>
        <v>0</v>
      </c>
      <c r="Q412" s="40"/>
      <c r="R412" s="178"/>
      <c r="S412" s="76" t="n">
        <f aca="false">IF(ISERROR(VLOOKUP($P412,Member_Tab,4,FALSE())),0,(VLOOKUP($P412,Member_Tab,4,FALSE()) * 0.2 * S$7) * (IF(AND(S$5 &gt;= VLOOKUP($P412,Member_Tab,6,FALSE()), S$5 &lt;= VLOOKUP($P412,Member_Tab,7,FALSE())),1,0))  )</f>
        <v>0</v>
      </c>
      <c r="T412" s="76" t="n">
        <f aca="false">IF(ISERROR(VLOOKUP($P412,Member_Tab,4,FALSE())),0,(VLOOKUP($P412,Member_Tab,4,FALSE()) * 0.2 * T$7) * (IF(AND(T$5 &gt;= VLOOKUP($P412,Member_Tab,6,FALSE()), T$5 &lt;= VLOOKUP($P412,Member_Tab,7,FALSE())),1,0))  )</f>
        <v>0</v>
      </c>
      <c r="U412" s="76" t="n">
        <f aca="false">IF(ISERROR(VLOOKUP($P412,Member_Tab,4,FALSE())),0,(VLOOKUP($P412,Member_Tab,4,FALSE()) * 0.2 * U$7) * (IF(AND(U$5 &gt;= VLOOKUP($P412,Member_Tab,6,FALSE()), U$5 &lt;= VLOOKUP($P412,Member_Tab,7,FALSE())),1,0))  )</f>
        <v>0</v>
      </c>
      <c r="V412" s="76" t="n">
        <f aca="false">IF(ISERROR(VLOOKUP($P412,Member_Tab,4,FALSE())),0,(VLOOKUP($P412,Member_Tab,4,FALSE()) * 0.2 * V$7) * (IF(AND(V$5 &gt;= VLOOKUP($P412,Member_Tab,6,FALSE()), V$5 &lt;= VLOOKUP($P412,Member_Tab,7,FALSE())),1,0))  )</f>
        <v>0</v>
      </c>
      <c r="W412" s="76" t="n">
        <f aca="false">IF(ISERROR(VLOOKUP($P412,Member_Tab,4,FALSE())),0,(VLOOKUP($P412,Member_Tab,4,FALSE()) * 0.2 * W$7) * (IF(AND(W$5 &gt;= VLOOKUP($P412,Member_Tab,6,FALSE()), W$5 &lt;= VLOOKUP($P412,Member_Tab,7,FALSE())),1,0))  )</f>
        <v>0</v>
      </c>
      <c r="X412" s="76" t="n">
        <f aca="false">IF(ISERROR(VLOOKUP($P412,Member_Tab,4,FALSE())),0,(VLOOKUP($P412,Member_Tab,4,FALSE()) * 0.2 * X$7) * (IF(AND(X$5 &gt;= VLOOKUP($P412,Member_Tab,6,FALSE()), X$5 &lt;= VLOOKUP($P412,Member_Tab,7,FALSE())),1,0))  )</f>
        <v>0</v>
      </c>
      <c r="Y412" s="76" t="n">
        <f aca="false">IF(ISERROR(VLOOKUP($P412,Member_Tab,4,FALSE())),0,(VLOOKUP($P412,Member_Tab,4,FALSE()) * 0.2 * Y$7) * (IF(AND(Y$5 &gt;= VLOOKUP($P412,Member_Tab,6,FALSE()), Y$5 &lt;= VLOOKUP($P412,Member_Tab,7,FALSE())),1,0))  )</f>
        <v>0</v>
      </c>
      <c r="Z412" s="76" t="n">
        <f aca="false">IF(ISERROR(VLOOKUP($P412,Member_Tab,4,FALSE())),0,(VLOOKUP($P412,Member_Tab,4,FALSE()) * 0.2 * Z$7) * (IF(AND(Z$5 &gt;= VLOOKUP($P412,Member_Tab,6,FALSE()), Z$5 &lt;= VLOOKUP($P412,Member_Tab,7,FALSE())),1,0))  )</f>
        <v>0</v>
      </c>
      <c r="AA412" s="76" t="n">
        <f aca="false">IF(ISERROR(VLOOKUP($P412,Member_Tab,4,FALSE())),0,(VLOOKUP($P412,Member_Tab,4,FALSE()) * 0.2 * AA$7) * (IF(AND(AA$5 &gt;= VLOOKUP($P412,Member_Tab,6,FALSE()), AA$5 &lt;= VLOOKUP($P412,Member_Tab,7,FALSE())),1,0))  )</f>
        <v>0</v>
      </c>
      <c r="AB412" s="76" t="n">
        <f aca="false">IF(ISERROR(VLOOKUP($P412,Member_Tab,4,FALSE())),0,(VLOOKUP($P412,Member_Tab,4,FALSE()) * 0.2 * AB$7) * (IF(AND(AB$5 &gt;= VLOOKUP($P412,Member_Tab,6,FALSE()), AB$5 &lt;= VLOOKUP($P412,Member_Tab,7,FALSE())),1,0))  )</f>
        <v>0</v>
      </c>
      <c r="AC412" s="76" t="n">
        <f aca="false">IF(ISERROR(VLOOKUP($P412,Member_Tab,4,FALSE())),0,(VLOOKUP($P412,Member_Tab,4,FALSE()) * 0.2 * AC$7) * (IF(AND(AC$5 &gt;= VLOOKUP($P412,Member_Tab,6,FALSE()), AC$5 &lt;= VLOOKUP($P412,Member_Tab,7,FALSE())),1,0))  )</f>
        <v>0</v>
      </c>
      <c r="AD412" s="76" t="n">
        <f aca="false">IF(ISERROR(VLOOKUP($P412,Member_Tab,4,FALSE())),0,(VLOOKUP($P412,Member_Tab,4,FALSE()) * 0.2 * AD$7) * (IF(AND(AD$5 &gt;= VLOOKUP($P412,Member_Tab,6,FALSE()), AD$5 &lt;= VLOOKUP($P412,Member_Tab,7,FALSE())),1,0))  )</f>
        <v>0</v>
      </c>
      <c r="AE412" s="76" t="n">
        <f aca="false">IF(ISERROR(VLOOKUP($P412,Member_Tab,4,FALSE())),0,(VLOOKUP($P412,Member_Tab,4,FALSE()) * 0.2 * AE$7) * (IF(AND(AE$5 &gt;= VLOOKUP($P412,Member_Tab,6,FALSE()), AE$5 &lt;= VLOOKUP($P412,Member_Tab,7,FALSE())),1,0))  )</f>
        <v>0</v>
      </c>
      <c r="AF412" s="76" t="n">
        <f aca="false">IF(ISERROR(VLOOKUP($P412,Member_Tab,4,FALSE())),0,(VLOOKUP($P412,Member_Tab,4,FALSE()) * 0.2 * AF$7) * (IF(AND(AF$5 &gt;= VLOOKUP($P412,Member_Tab,6,FALSE()), AF$5 &lt;= VLOOKUP($P412,Member_Tab,7,FALSE())),1,0))  )</f>
        <v>0</v>
      </c>
      <c r="AG412" s="76" t="n">
        <f aca="false">IF(ISERROR(VLOOKUP($P412,Member_Tab,4,FALSE())),0,(VLOOKUP($P412,Member_Tab,4,FALSE()) * 0.2 * AG$7) * (IF(AND(AG$5 &gt;= VLOOKUP($P412,Member_Tab,6,FALSE()), AG$5 &lt;= VLOOKUP($P412,Member_Tab,7,FALSE())),1,0))  )</f>
        <v>0</v>
      </c>
      <c r="AH412" s="76" t="n">
        <f aca="false">IF(ISERROR(VLOOKUP($P412,Member_Tab,4,FALSE())),0,(VLOOKUP($P412,Member_Tab,4,FALSE()) * 0.2 * AH$7) * (IF(AND(AH$5 &gt;= VLOOKUP($P412,Member_Tab,6,FALSE()), AH$5 &lt;= VLOOKUP($P412,Member_Tab,7,FALSE())),1,0))  )</f>
        <v>0</v>
      </c>
      <c r="AI412" s="76" t="n">
        <f aca="false">IF(ISERROR(VLOOKUP($P412,Member_Tab,4,FALSE())),0,(VLOOKUP($P412,Member_Tab,4,FALSE()) * 0.2 * AI$7) * (IF(AND(AI$5 &gt;= VLOOKUP($P412,Member_Tab,6,FALSE()), AI$5 &lt;= VLOOKUP($P412,Member_Tab,7,FALSE())),1,0))  )</f>
        <v>0</v>
      </c>
      <c r="AJ412" s="76" t="n">
        <f aca="false">IF(ISERROR(VLOOKUP($P412,Member_Tab,4,FALSE())),0,(VLOOKUP($P412,Member_Tab,4,FALSE()) * 0.2 * AJ$7) * (IF(AND(AJ$5 &gt;= VLOOKUP($P412,Member_Tab,6,FALSE()), AJ$5 &lt;= VLOOKUP($P412,Member_Tab,7,FALSE())),1,0))  )</f>
        <v>0</v>
      </c>
      <c r="AK412" s="76" t="n">
        <f aca="false">IF(ISERROR(VLOOKUP($P412,Member_Tab,4,FALSE())),0,(VLOOKUP($P412,Member_Tab,4,FALSE()) * 0.2 * AK$7) * (IF(AND(AK$5 &gt;= VLOOKUP($P412,Member_Tab,6,FALSE()), AK$5 &lt;= VLOOKUP($P412,Member_Tab,7,FALSE())),1,0))  )</f>
        <v>0</v>
      </c>
      <c r="AL412" s="76" t="n">
        <f aca="false">IF(ISERROR(VLOOKUP($P412,Member_Tab,4,FALSE())),0,(VLOOKUP($P412,Member_Tab,4,FALSE()) * 0.2 * AL$7) * (IF(AND(AL$5 &gt;= VLOOKUP($P412,Member_Tab,6,FALSE()), AL$5 &lt;= VLOOKUP($P412,Member_Tab,7,FALSE())),1,0))  )</f>
        <v>0</v>
      </c>
      <c r="AM412" s="76" t="n">
        <f aca="false">IF(ISERROR(VLOOKUP($P412,Member_Tab,4,FALSE())),0,(VLOOKUP($P412,Member_Tab,4,FALSE()) * 0.2 * AM$7) * (IF(AND(AM$5 &gt;= VLOOKUP($P412,Member_Tab,6,FALSE()), AM$5 &lt;= VLOOKUP($P412,Member_Tab,7,FALSE())),1,0))  )</f>
        <v>0</v>
      </c>
      <c r="AN412" s="76" t="n">
        <f aca="false">IF(ISERROR(VLOOKUP($P412,Member_Tab,4,FALSE())),0,(VLOOKUP($P412,Member_Tab,4,FALSE()) * 0.2 * AN$7) * (IF(AND(AN$5 &gt;= VLOOKUP($P412,Member_Tab,6,FALSE()), AN$5 &lt;= VLOOKUP($P412,Member_Tab,7,FALSE())),1,0))  )</f>
        <v>0</v>
      </c>
      <c r="AO412" s="76" t="n">
        <f aca="false">IF(ISERROR(VLOOKUP($P412,Member_Tab,4,FALSE())),0,(VLOOKUP($P412,Member_Tab,4,FALSE()) * 0.2 * AO$7) * (IF(AND(AO$5 &gt;= VLOOKUP($P412,Member_Tab,6,FALSE()), AO$5 &lt;= VLOOKUP($P412,Member_Tab,7,FALSE())),1,0))  )</f>
        <v>0</v>
      </c>
      <c r="AP412" s="76" t="n">
        <f aca="false">IF(ISERROR(VLOOKUP($P412,Member_Tab,4,FALSE())),0,(VLOOKUP($P412,Member_Tab,4,FALSE()) * 0.2 * AP$7) * (IF(AND(AP$5 &gt;= VLOOKUP($P412,Member_Tab,6,FALSE()), AP$5 &lt;= VLOOKUP($P412,Member_Tab,7,FALSE())),1,0))  )</f>
        <v>0</v>
      </c>
      <c r="AQ412" s="76" t="n">
        <f aca="false">IF(ISERROR(VLOOKUP($P412,Member_Tab,4,FALSE())),0,(VLOOKUP($P412,Member_Tab,4,FALSE()) * 0.2 * AQ$7) * (IF(AND(AQ$5 &gt;= VLOOKUP($P412,Member_Tab,6,FALSE()), AQ$5 &lt;= VLOOKUP($P412,Member_Tab,7,FALSE())),1,0))  )</f>
        <v>0</v>
      </c>
      <c r="AR412" s="76" t="n">
        <f aca="false">IF(ISERROR(VLOOKUP($P412,Member_Tab,4,FALSE())),0,(VLOOKUP($P412,Member_Tab,4,FALSE()) * 0.2 * AR$7) * (IF(AND(AR$5 &gt;= VLOOKUP($P412,Member_Tab,6,FALSE()), AR$5 &lt;= VLOOKUP($P412,Member_Tab,7,FALSE())),1,0))  )</f>
        <v>0</v>
      </c>
      <c r="AS412" s="76" t="n">
        <f aca="false">IF(ISERROR(VLOOKUP($P412,Member_Tab,4,FALSE())),0,(VLOOKUP($P412,Member_Tab,4,FALSE()) * 0.2 * AS$7) * (IF(AND(AS$5 &gt;= VLOOKUP($P412,Member_Tab,6,FALSE()), AS$5 &lt;= VLOOKUP($P412,Member_Tab,7,FALSE())),1,0))  )</f>
        <v>0</v>
      </c>
      <c r="AT412" s="76" t="n">
        <f aca="false">IF(ISERROR(VLOOKUP($P412,Member_Tab,4,FALSE())),0,(VLOOKUP($P412,Member_Tab,4,FALSE()) * 0.2 * AT$7) * (IF(AND(AT$5 &gt;= VLOOKUP($P412,Member_Tab,6,FALSE()), AT$5 &lt;= VLOOKUP($P412,Member_Tab,7,FALSE())),1,0))  )</f>
        <v>0</v>
      </c>
      <c r="AU412" s="76" t="n">
        <f aca="false">IF(ISERROR(VLOOKUP($P412,Member_Tab,4,FALSE())),0,(VLOOKUP($P412,Member_Tab,4,FALSE()) * 0.2 * AU$7) * (IF(AND(AU$5 &gt;= VLOOKUP($P412,Member_Tab,6,FALSE()), AU$5 &lt;= VLOOKUP($P412,Member_Tab,7,FALSE())),1,0))  )</f>
        <v>0</v>
      </c>
      <c r="AV412" s="76" t="n">
        <f aca="false">IF(ISERROR(VLOOKUP($P412,Member_Tab,4,FALSE())),0,(VLOOKUP($P412,Member_Tab,4,FALSE()) * 0.2 * AV$7) * (IF(AND(AV$5 &gt;= VLOOKUP($P412,Member_Tab,6,FALSE()), AV$5 &lt;= VLOOKUP($P412,Member_Tab,7,FALSE())),1,0))  )</f>
        <v>0</v>
      </c>
      <c r="AW412" s="76" t="n">
        <f aca="false">IF(ISERROR(VLOOKUP($P412,Member_Tab,4,FALSE())),0,(VLOOKUP($P412,Member_Tab,4,FALSE()) * 0.2 * AW$7) * (IF(AND(AW$5 &gt;= VLOOKUP($P412,Member_Tab,6,FALSE()), AW$5 &lt;= VLOOKUP($P412,Member_Tab,7,FALSE())),1,0))  )</f>
        <v>0</v>
      </c>
      <c r="AX412" s="76" t="n">
        <f aca="false">IF(ISERROR(VLOOKUP($P412,Member_Tab,4,FALSE())),0,(VLOOKUP($P412,Member_Tab,4,FALSE()) * 0.2 * AX$7) * (IF(AND(AX$5 &gt;= VLOOKUP($P412,Member_Tab,6,FALSE()), AX$5 &lt;= VLOOKUP($P412,Member_Tab,7,FALSE())),1,0))  )</f>
        <v>0</v>
      </c>
      <c r="AY412" s="76" t="n">
        <f aca="false">IF(ISERROR(VLOOKUP($P412,Member_Tab,4,FALSE())),0,(VLOOKUP($P412,Member_Tab,4,FALSE()) * 0.2 * AY$7) * (IF(AND(AY$5 &gt;= VLOOKUP($P412,Member_Tab,6,FALSE()), AY$5 &lt;= VLOOKUP($P412,Member_Tab,7,FALSE())),1,0))  )</f>
        <v>0</v>
      </c>
      <c r="AZ412" s="76" t="n">
        <f aca="false">IF(ISERROR(VLOOKUP($P412,Member_Tab,4,FALSE())),0,(VLOOKUP($P412,Member_Tab,4,FALSE()) * 0.2 * AZ$7) * (IF(AND(AZ$5 &gt;= VLOOKUP($P412,Member_Tab,6,FALSE()), AZ$5 &lt;= VLOOKUP($P412,Member_Tab,7,FALSE())),1,0))  )</f>
        <v>0</v>
      </c>
      <c r="BA412" s="76" t="n">
        <f aca="false">IF(ISERROR(VLOOKUP($P412,Member_Tab,4,FALSE())),0,(VLOOKUP($P412,Member_Tab,4,FALSE()) * 0.2 * BA$7) * (IF(AND(BA$5 &gt;= VLOOKUP($P412,Member_Tab,6,FALSE()), BA$5 &lt;= VLOOKUP($P412,Member_Tab,7,FALSE())),1,0))  )</f>
        <v>0</v>
      </c>
      <c r="BB412" s="76" t="n">
        <f aca="false">IF(ISERROR(VLOOKUP($P412,Member_Tab,4,FALSE())),0,(VLOOKUP($P412,Member_Tab,4,FALSE()) * 0.2 * BB$7) * (IF(AND(BB$5 &gt;= VLOOKUP($P412,Member_Tab,6,FALSE()), BB$5 &lt;= VLOOKUP($P412,Member_Tab,7,FALSE())),1,0))  )</f>
        <v>0</v>
      </c>
    </row>
    <row r="413" s="173" customFormat="true" ht="15" hidden="true" customHeight="false" outlineLevel="1" collapsed="false">
      <c r="E413" s="40"/>
      <c r="K413" s="40"/>
      <c r="L413" s="40"/>
      <c r="M413" s="40"/>
      <c r="N413" s="40"/>
      <c r="P413" s="177" t="n">
        <f aca="false">P276</f>
        <v>0</v>
      </c>
      <c r="Q413" s="40"/>
      <c r="R413" s="178"/>
      <c r="S413" s="76" t="n">
        <f aca="false">IF(ISERROR(VLOOKUP($P413,Member_Tab,4,FALSE())),0,(VLOOKUP($P413,Member_Tab,4,FALSE()) * 0.2 * S$7) * (IF(AND(S$5 &gt;= VLOOKUP($P413,Member_Tab,6,FALSE()), S$5 &lt;= VLOOKUP($P413,Member_Tab,7,FALSE())),1,0))  )</f>
        <v>0</v>
      </c>
      <c r="T413" s="76" t="n">
        <f aca="false">IF(ISERROR(VLOOKUP($P413,Member_Tab,4,FALSE())),0,(VLOOKUP($P413,Member_Tab,4,FALSE()) * 0.2 * T$7) * (IF(AND(T$5 &gt;= VLOOKUP($P413,Member_Tab,6,FALSE()), T$5 &lt;= VLOOKUP($P413,Member_Tab,7,FALSE())),1,0))  )</f>
        <v>0</v>
      </c>
      <c r="U413" s="76" t="n">
        <f aca="false">IF(ISERROR(VLOOKUP($P413,Member_Tab,4,FALSE())),0,(VLOOKUP($P413,Member_Tab,4,FALSE()) * 0.2 * U$7) * (IF(AND(U$5 &gt;= VLOOKUP($P413,Member_Tab,6,FALSE()), U$5 &lt;= VLOOKUP($P413,Member_Tab,7,FALSE())),1,0))  )</f>
        <v>0</v>
      </c>
      <c r="V413" s="76" t="n">
        <f aca="false">IF(ISERROR(VLOOKUP($P413,Member_Tab,4,FALSE())),0,(VLOOKUP($P413,Member_Tab,4,FALSE()) * 0.2 * V$7) * (IF(AND(V$5 &gt;= VLOOKUP($P413,Member_Tab,6,FALSE()), V$5 &lt;= VLOOKUP($P413,Member_Tab,7,FALSE())),1,0))  )</f>
        <v>0</v>
      </c>
      <c r="W413" s="76" t="n">
        <f aca="false">IF(ISERROR(VLOOKUP($P413,Member_Tab,4,FALSE())),0,(VLOOKUP($P413,Member_Tab,4,FALSE()) * 0.2 * W$7) * (IF(AND(W$5 &gt;= VLOOKUP($P413,Member_Tab,6,FALSE()), W$5 &lt;= VLOOKUP($P413,Member_Tab,7,FALSE())),1,0))  )</f>
        <v>0</v>
      </c>
      <c r="X413" s="76" t="n">
        <f aca="false">IF(ISERROR(VLOOKUP($P413,Member_Tab,4,FALSE())),0,(VLOOKUP($P413,Member_Tab,4,FALSE()) * 0.2 * X$7) * (IF(AND(X$5 &gt;= VLOOKUP($P413,Member_Tab,6,FALSE()), X$5 &lt;= VLOOKUP($P413,Member_Tab,7,FALSE())),1,0))  )</f>
        <v>0</v>
      </c>
      <c r="Y413" s="76" t="n">
        <f aca="false">IF(ISERROR(VLOOKUP($P413,Member_Tab,4,FALSE())),0,(VLOOKUP($P413,Member_Tab,4,FALSE()) * 0.2 * Y$7) * (IF(AND(Y$5 &gt;= VLOOKUP($P413,Member_Tab,6,FALSE()), Y$5 &lt;= VLOOKUP($P413,Member_Tab,7,FALSE())),1,0))  )</f>
        <v>0</v>
      </c>
      <c r="Z413" s="76" t="n">
        <f aca="false">IF(ISERROR(VLOOKUP($P413,Member_Tab,4,FALSE())),0,(VLOOKUP($P413,Member_Tab,4,FALSE()) * 0.2 * Z$7) * (IF(AND(Z$5 &gt;= VLOOKUP($P413,Member_Tab,6,FALSE()), Z$5 &lt;= VLOOKUP($P413,Member_Tab,7,FALSE())),1,0))  )</f>
        <v>0</v>
      </c>
      <c r="AA413" s="76" t="n">
        <f aca="false">IF(ISERROR(VLOOKUP($P413,Member_Tab,4,FALSE())),0,(VLOOKUP($P413,Member_Tab,4,FALSE()) * 0.2 * AA$7) * (IF(AND(AA$5 &gt;= VLOOKUP($P413,Member_Tab,6,FALSE()), AA$5 &lt;= VLOOKUP($P413,Member_Tab,7,FALSE())),1,0))  )</f>
        <v>0</v>
      </c>
      <c r="AB413" s="76" t="n">
        <f aca="false">IF(ISERROR(VLOOKUP($P413,Member_Tab,4,FALSE())),0,(VLOOKUP($P413,Member_Tab,4,FALSE()) * 0.2 * AB$7) * (IF(AND(AB$5 &gt;= VLOOKUP($P413,Member_Tab,6,FALSE()), AB$5 &lt;= VLOOKUP($P413,Member_Tab,7,FALSE())),1,0))  )</f>
        <v>0</v>
      </c>
      <c r="AC413" s="76" t="n">
        <f aca="false">IF(ISERROR(VLOOKUP($P413,Member_Tab,4,FALSE())),0,(VLOOKUP($P413,Member_Tab,4,FALSE()) * 0.2 * AC$7) * (IF(AND(AC$5 &gt;= VLOOKUP($P413,Member_Tab,6,FALSE()), AC$5 &lt;= VLOOKUP($P413,Member_Tab,7,FALSE())),1,0))  )</f>
        <v>0</v>
      </c>
      <c r="AD413" s="76" t="n">
        <f aca="false">IF(ISERROR(VLOOKUP($P413,Member_Tab,4,FALSE())),0,(VLOOKUP($P413,Member_Tab,4,FALSE()) * 0.2 * AD$7) * (IF(AND(AD$5 &gt;= VLOOKUP($P413,Member_Tab,6,FALSE()), AD$5 &lt;= VLOOKUP($P413,Member_Tab,7,FALSE())),1,0))  )</f>
        <v>0</v>
      </c>
      <c r="AE413" s="76" t="n">
        <f aca="false">IF(ISERROR(VLOOKUP($P413,Member_Tab,4,FALSE())),0,(VLOOKUP($P413,Member_Tab,4,FALSE()) * 0.2 * AE$7) * (IF(AND(AE$5 &gt;= VLOOKUP($P413,Member_Tab,6,FALSE()), AE$5 &lt;= VLOOKUP($P413,Member_Tab,7,FALSE())),1,0))  )</f>
        <v>0</v>
      </c>
      <c r="AF413" s="76" t="n">
        <f aca="false">IF(ISERROR(VLOOKUP($P413,Member_Tab,4,FALSE())),0,(VLOOKUP($P413,Member_Tab,4,FALSE()) * 0.2 * AF$7) * (IF(AND(AF$5 &gt;= VLOOKUP($P413,Member_Tab,6,FALSE()), AF$5 &lt;= VLOOKUP($P413,Member_Tab,7,FALSE())),1,0))  )</f>
        <v>0</v>
      </c>
      <c r="AG413" s="76" t="n">
        <f aca="false">IF(ISERROR(VLOOKUP($P413,Member_Tab,4,FALSE())),0,(VLOOKUP($P413,Member_Tab,4,FALSE()) * 0.2 * AG$7) * (IF(AND(AG$5 &gt;= VLOOKUP($P413,Member_Tab,6,FALSE()), AG$5 &lt;= VLOOKUP($P413,Member_Tab,7,FALSE())),1,0))  )</f>
        <v>0</v>
      </c>
      <c r="AH413" s="76" t="n">
        <f aca="false">IF(ISERROR(VLOOKUP($P413,Member_Tab,4,FALSE())),0,(VLOOKUP($P413,Member_Tab,4,FALSE()) * 0.2 * AH$7) * (IF(AND(AH$5 &gt;= VLOOKUP($P413,Member_Tab,6,FALSE()), AH$5 &lt;= VLOOKUP($P413,Member_Tab,7,FALSE())),1,0))  )</f>
        <v>0</v>
      </c>
      <c r="AI413" s="76" t="n">
        <f aca="false">IF(ISERROR(VLOOKUP($P413,Member_Tab,4,FALSE())),0,(VLOOKUP($P413,Member_Tab,4,FALSE()) * 0.2 * AI$7) * (IF(AND(AI$5 &gt;= VLOOKUP($P413,Member_Tab,6,FALSE()), AI$5 &lt;= VLOOKUP($P413,Member_Tab,7,FALSE())),1,0))  )</f>
        <v>0</v>
      </c>
      <c r="AJ413" s="76" t="n">
        <f aca="false">IF(ISERROR(VLOOKUP($P413,Member_Tab,4,FALSE())),0,(VLOOKUP($P413,Member_Tab,4,FALSE()) * 0.2 * AJ$7) * (IF(AND(AJ$5 &gt;= VLOOKUP($P413,Member_Tab,6,FALSE()), AJ$5 &lt;= VLOOKUP($P413,Member_Tab,7,FALSE())),1,0))  )</f>
        <v>0</v>
      </c>
      <c r="AK413" s="76" t="n">
        <f aca="false">IF(ISERROR(VLOOKUP($P413,Member_Tab,4,FALSE())),0,(VLOOKUP($P413,Member_Tab,4,FALSE()) * 0.2 * AK$7) * (IF(AND(AK$5 &gt;= VLOOKUP($P413,Member_Tab,6,FALSE()), AK$5 &lt;= VLOOKUP($P413,Member_Tab,7,FALSE())),1,0))  )</f>
        <v>0</v>
      </c>
      <c r="AL413" s="76" t="n">
        <f aca="false">IF(ISERROR(VLOOKUP($P413,Member_Tab,4,FALSE())),0,(VLOOKUP($P413,Member_Tab,4,FALSE()) * 0.2 * AL$7) * (IF(AND(AL$5 &gt;= VLOOKUP($P413,Member_Tab,6,FALSE()), AL$5 &lt;= VLOOKUP($P413,Member_Tab,7,FALSE())),1,0))  )</f>
        <v>0</v>
      </c>
      <c r="AM413" s="76" t="n">
        <f aca="false">IF(ISERROR(VLOOKUP($P413,Member_Tab,4,FALSE())),0,(VLOOKUP($P413,Member_Tab,4,FALSE()) * 0.2 * AM$7) * (IF(AND(AM$5 &gt;= VLOOKUP($P413,Member_Tab,6,FALSE()), AM$5 &lt;= VLOOKUP($P413,Member_Tab,7,FALSE())),1,0))  )</f>
        <v>0</v>
      </c>
      <c r="AN413" s="76" t="n">
        <f aca="false">IF(ISERROR(VLOOKUP($P413,Member_Tab,4,FALSE())),0,(VLOOKUP($P413,Member_Tab,4,FALSE()) * 0.2 * AN$7) * (IF(AND(AN$5 &gt;= VLOOKUP($P413,Member_Tab,6,FALSE()), AN$5 &lt;= VLOOKUP($P413,Member_Tab,7,FALSE())),1,0))  )</f>
        <v>0</v>
      </c>
      <c r="AO413" s="76" t="n">
        <f aca="false">IF(ISERROR(VLOOKUP($P413,Member_Tab,4,FALSE())),0,(VLOOKUP($P413,Member_Tab,4,FALSE()) * 0.2 * AO$7) * (IF(AND(AO$5 &gt;= VLOOKUP($P413,Member_Tab,6,FALSE()), AO$5 &lt;= VLOOKUP($P413,Member_Tab,7,FALSE())),1,0))  )</f>
        <v>0</v>
      </c>
      <c r="AP413" s="76" t="n">
        <f aca="false">IF(ISERROR(VLOOKUP($P413,Member_Tab,4,FALSE())),0,(VLOOKUP($P413,Member_Tab,4,FALSE()) * 0.2 * AP$7) * (IF(AND(AP$5 &gt;= VLOOKUP($P413,Member_Tab,6,FALSE()), AP$5 &lt;= VLOOKUP($P413,Member_Tab,7,FALSE())),1,0))  )</f>
        <v>0</v>
      </c>
      <c r="AQ413" s="76" t="n">
        <f aca="false">IF(ISERROR(VLOOKUP($P413,Member_Tab,4,FALSE())),0,(VLOOKUP($P413,Member_Tab,4,FALSE()) * 0.2 * AQ$7) * (IF(AND(AQ$5 &gt;= VLOOKUP($P413,Member_Tab,6,FALSE()), AQ$5 &lt;= VLOOKUP($P413,Member_Tab,7,FALSE())),1,0))  )</f>
        <v>0</v>
      </c>
      <c r="AR413" s="76" t="n">
        <f aca="false">IF(ISERROR(VLOOKUP($P413,Member_Tab,4,FALSE())),0,(VLOOKUP($P413,Member_Tab,4,FALSE()) * 0.2 * AR$7) * (IF(AND(AR$5 &gt;= VLOOKUP($P413,Member_Tab,6,FALSE()), AR$5 &lt;= VLOOKUP($P413,Member_Tab,7,FALSE())),1,0))  )</f>
        <v>0</v>
      </c>
      <c r="AS413" s="76" t="n">
        <f aca="false">IF(ISERROR(VLOOKUP($P413,Member_Tab,4,FALSE())),0,(VLOOKUP($P413,Member_Tab,4,FALSE()) * 0.2 * AS$7) * (IF(AND(AS$5 &gt;= VLOOKUP($P413,Member_Tab,6,FALSE()), AS$5 &lt;= VLOOKUP($P413,Member_Tab,7,FALSE())),1,0))  )</f>
        <v>0</v>
      </c>
      <c r="AT413" s="76" t="n">
        <f aca="false">IF(ISERROR(VLOOKUP($P413,Member_Tab,4,FALSE())),0,(VLOOKUP($P413,Member_Tab,4,FALSE()) * 0.2 * AT$7) * (IF(AND(AT$5 &gt;= VLOOKUP($P413,Member_Tab,6,FALSE()), AT$5 &lt;= VLOOKUP($P413,Member_Tab,7,FALSE())),1,0))  )</f>
        <v>0</v>
      </c>
      <c r="AU413" s="76" t="n">
        <f aca="false">IF(ISERROR(VLOOKUP($P413,Member_Tab,4,FALSE())),0,(VLOOKUP($P413,Member_Tab,4,FALSE()) * 0.2 * AU$7) * (IF(AND(AU$5 &gt;= VLOOKUP($P413,Member_Tab,6,FALSE()), AU$5 &lt;= VLOOKUP($P413,Member_Tab,7,FALSE())),1,0))  )</f>
        <v>0</v>
      </c>
      <c r="AV413" s="76" t="n">
        <f aca="false">IF(ISERROR(VLOOKUP($P413,Member_Tab,4,FALSE())),0,(VLOOKUP($P413,Member_Tab,4,FALSE()) * 0.2 * AV$7) * (IF(AND(AV$5 &gt;= VLOOKUP($P413,Member_Tab,6,FALSE()), AV$5 &lt;= VLOOKUP($P413,Member_Tab,7,FALSE())),1,0))  )</f>
        <v>0</v>
      </c>
      <c r="AW413" s="76" t="n">
        <f aca="false">IF(ISERROR(VLOOKUP($P413,Member_Tab,4,FALSE())),0,(VLOOKUP($P413,Member_Tab,4,FALSE()) * 0.2 * AW$7) * (IF(AND(AW$5 &gt;= VLOOKUP($P413,Member_Tab,6,FALSE()), AW$5 &lt;= VLOOKUP($P413,Member_Tab,7,FALSE())),1,0))  )</f>
        <v>0</v>
      </c>
      <c r="AX413" s="76" t="n">
        <f aca="false">IF(ISERROR(VLOOKUP($P413,Member_Tab,4,FALSE())),0,(VLOOKUP($P413,Member_Tab,4,FALSE()) * 0.2 * AX$7) * (IF(AND(AX$5 &gt;= VLOOKUP($P413,Member_Tab,6,FALSE()), AX$5 &lt;= VLOOKUP($P413,Member_Tab,7,FALSE())),1,0))  )</f>
        <v>0</v>
      </c>
      <c r="AY413" s="76" t="n">
        <f aca="false">IF(ISERROR(VLOOKUP($P413,Member_Tab,4,FALSE())),0,(VLOOKUP($P413,Member_Tab,4,FALSE()) * 0.2 * AY$7) * (IF(AND(AY$5 &gt;= VLOOKUP($P413,Member_Tab,6,FALSE()), AY$5 &lt;= VLOOKUP($P413,Member_Tab,7,FALSE())),1,0))  )</f>
        <v>0</v>
      </c>
      <c r="AZ413" s="76" t="n">
        <f aca="false">IF(ISERROR(VLOOKUP($P413,Member_Tab,4,FALSE())),0,(VLOOKUP($P413,Member_Tab,4,FALSE()) * 0.2 * AZ$7) * (IF(AND(AZ$5 &gt;= VLOOKUP($P413,Member_Tab,6,FALSE()), AZ$5 &lt;= VLOOKUP($P413,Member_Tab,7,FALSE())),1,0))  )</f>
        <v>0</v>
      </c>
      <c r="BA413" s="76" t="n">
        <f aca="false">IF(ISERROR(VLOOKUP($P413,Member_Tab,4,FALSE())),0,(VLOOKUP($P413,Member_Tab,4,FALSE()) * 0.2 * BA$7) * (IF(AND(BA$5 &gt;= VLOOKUP($P413,Member_Tab,6,FALSE()), BA$5 &lt;= VLOOKUP($P413,Member_Tab,7,FALSE())),1,0))  )</f>
        <v>0</v>
      </c>
      <c r="BB413" s="76" t="n">
        <f aca="false">IF(ISERROR(VLOOKUP($P413,Member_Tab,4,FALSE())),0,(VLOOKUP($P413,Member_Tab,4,FALSE()) * 0.2 * BB$7) * (IF(AND(BB$5 &gt;= VLOOKUP($P413,Member_Tab,6,FALSE()), BB$5 &lt;= VLOOKUP($P413,Member_Tab,7,FALSE())),1,0))  )</f>
        <v>0</v>
      </c>
    </row>
    <row r="414" s="173" customFormat="true" ht="15" hidden="true" customHeight="false" outlineLevel="1" collapsed="false">
      <c r="E414" s="40"/>
      <c r="K414" s="40"/>
      <c r="L414" s="40"/>
      <c r="M414" s="40"/>
      <c r="N414" s="40"/>
      <c r="P414" s="177" t="n">
        <f aca="false">P277</f>
        <v>0</v>
      </c>
      <c r="Q414" s="40"/>
      <c r="R414" s="178"/>
      <c r="S414" s="76" t="n">
        <f aca="false">IF(ISERROR(VLOOKUP($P414,Member_Tab,4,FALSE())),0,(VLOOKUP($P414,Member_Tab,4,FALSE()) * 0.2 * S$7) * (IF(AND(S$5 &gt;= VLOOKUP($P414,Member_Tab,6,FALSE()), S$5 &lt;= VLOOKUP($P414,Member_Tab,7,FALSE())),1,0))  )</f>
        <v>0</v>
      </c>
      <c r="T414" s="76" t="n">
        <f aca="false">IF(ISERROR(VLOOKUP($P414,Member_Tab,4,FALSE())),0,(VLOOKUP($P414,Member_Tab,4,FALSE()) * 0.2 * T$7) * (IF(AND(T$5 &gt;= VLOOKUP($P414,Member_Tab,6,FALSE()), T$5 &lt;= VLOOKUP($P414,Member_Tab,7,FALSE())),1,0))  )</f>
        <v>0</v>
      </c>
      <c r="U414" s="76" t="n">
        <f aca="false">IF(ISERROR(VLOOKUP($P414,Member_Tab,4,FALSE())),0,(VLOOKUP($P414,Member_Tab,4,FALSE()) * 0.2 * U$7) * (IF(AND(U$5 &gt;= VLOOKUP($P414,Member_Tab,6,FALSE()), U$5 &lt;= VLOOKUP($P414,Member_Tab,7,FALSE())),1,0))  )</f>
        <v>0</v>
      </c>
      <c r="V414" s="76" t="n">
        <f aca="false">IF(ISERROR(VLOOKUP($P414,Member_Tab,4,FALSE())),0,(VLOOKUP($P414,Member_Tab,4,FALSE()) * 0.2 * V$7) * (IF(AND(V$5 &gt;= VLOOKUP($P414,Member_Tab,6,FALSE()), V$5 &lt;= VLOOKUP($P414,Member_Tab,7,FALSE())),1,0))  )</f>
        <v>0</v>
      </c>
      <c r="W414" s="76" t="n">
        <f aca="false">IF(ISERROR(VLOOKUP($P414,Member_Tab,4,FALSE())),0,(VLOOKUP($P414,Member_Tab,4,FALSE()) * 0.2 * W$7) * (IF(AND(W$5 &gt;= VLOOKUP($P414,Member_Tab,6,FALSE()), W$5 &lt;= VLOOKUP($P414,Member_Tab,7,FALSE())),1,0))  )</f>
        <v>0</v>
      </c>
      <c r="X414" s="76" t="n">
        <f aca="false">IF(ISERROR(VLOOKUP($P414,Member_Tab,4,FALSE())),0,(VLOOKUP($P414,Member_Tab,4,FALSE()) * 0.2 * X$7) * (IF(AND(X$5 &gt;= VLOOKUP($P414,Member_Tab,6,FALSE()), X$5 &lt;= VLOOKUP($P414,Member_Tab,7,FALSE())),1,0))  )</f>
        <v>0</v>
      </c>
      <c r="Y414" s="76" t="n">
        <f aca="false">IF(ISERROR(VLOOKUP($P414,Member_Tab,4,FALSE())),0,(VLOOKUP($P414,Member_Tab,4,FALSE()) * 0.2 * Y$7) * (IF(AND(Y$5 &gt;= VLOOKUP($P414,Member_Tab,6,FALSE()), Y$5 &lt;= VLOOKUP($P414,Member_Tab,7,FALSE())),1,0))  )</f>
        <v>0</v>
      </c>
      <c r="Z414" s="76" t="n">
        <f aca="false">IF(ISERROR(VLOOKUP($P414,Member_Tab,4,FALSE())),0,(VLOOKUP($P414,Member_Tab,4,FALSE()) * 0.2 * Z$7) * (IF(AND(Z$5 &gt;= VLOOKUP($P414,Member_Tab,6,FALSE()), Z$5 &lt;= VLOOKUP($P414,Member_Tab,7,FALSE())),1,0))  )</f>
        <v>0</v>
      </c>
      <c r="AA414" s="76" t="n">
        <f aca="false">IF(ISERROR(VLOOKUP($P414,Member_Tab,4,FALSE())),0,(VLOOKUP($P414,Member_Tab,4,FALSE()) * 0.2 * AA$7) * (IF(AND(AA$5 &gt;= VLOOKUP($P414,Member_Tab,6,FALSE()), AA$5 &lt;= VLOOKUP($P414,Member_Tab,7,FALSE())),1,0))  )</f>
        <v>0</v>
      </c>
      <c r="AB414" s="76" t="n">
        <f aca="false">IF(ISERROR(VLOOKUP($P414,Member_Tab,4,FALSE())),0,(VLOOKUP($P414,Member_Tab,4,FALSE()) * 0.2 * AB$7) * (IF(AND(AB$5 &gt;= VLOOKUP($P414,Member_Tab,6,FALSE()), AB$5 &lt;= VLOOKUP($P414,Member_Tab,7,FALSE())),1,0))  )</f>
        <v>0</v>
      </c>
      <c r="AC414" s="76" t="n">
        <f aca="false">IF(ISERROR(VLOOKUP($P414,Member_Tab,4,FALSE())),0,(VLOOKUP($P414,Member_Tab,4,FALSE()) * 0.2 * AC$7) * (IF(AND(AC$5 &gt;= VLOOKUP($P414,Member_Tab,6,FALSE()), AC$5 &lt;= VLOOKUP($P414,Member_Tab,7,FALSE())),1,0))  )</f>
        <v>0</v>
      </c>
      <c r="AD414" s="76" t="n">
        <f aca="false">IF(ISERROR(VLOOKUP($P414,Member_Tab,4,FALSE())),0,(VLOOKUP($P414,Member_Tab,4,FALSE()) * 0.2 * AD$7) * (IF(AND(AD$5 &gt;= VLOOKUP($P414,Member_Tab,6,FALSE()), AD$5 &lt;= VLOOKUP($P414,Member_Tab,7,FALSE())),1,0))  )</f>
        <v>0</v>
      </c>
      <c r="AE414" s="76" t="n">
        <f aca="false">IF(ISERROR(VLOOKUP($P414,Member_Tab,4,FALSE())),0,(VLOOKUP($P414,Member_Tab,4,FALSE()) * 0.2 * AE$7) * (IF(AND(AE$5 &gt;= VLOOKUP($P414,Member_Tab,6,FALSE()), AE$5 &lt;= VLOOKUP($P414,Member_Tab,7,FALSE())),1,0))  )</f>
        <v>0</v>
      </c>
      <c r="AF414" s="76" t="n">
        <f aca="false">IF(ISERROR(VLOOKUP($P414,Member_Tab,4,FALSE())),0,(VLOOKUP($P414,Member_Tab,4,FALSE()) * 0.2 * AF$7) * (IF(AND(AF$5 &gt;= VLOOKUP($P414,Member_Tab,6,FALSE()), AF$5 &lt;= VLOOKUP($P414,Member_Tab,7,FALSE())),1,0))  )</f>
        <v>0</v>
      </c>
      <c r="AG414" s="76" t="n">
        <f aca="false">IF(ISERROR(VLOOKUP($P414,Member_Tab,4,FALSE())),0,(VLOOKUP($P414,Member_Tab,4,FALSE()) * 0.2 * AG$7) * (IF(AND(AG$5 &gt;= VLOOKUP($P414,Member_Tab,6,FALSE()), AG$5 &lt;= VLOOKUP($P414,Member_Tab,7,FALSE())),1,0))  )</f>
        <v>0</v>
      </c>
      <c r="AH414" s="76" t="n">
        <f aca="false">IF(ISERROR(VLOOKUP($P414,Member_Tab,4,FALSE())),0,(VLOOKUP($P414,Member_Tab,4,FALSE()) * 0.2 * AH$7) * (IF(AND(AH$5 &gt;= VLOOKUP($P414,Member_Tab,6,FALSE()), AH$5 &lt;= VLOOKUP($P414,Member_Tab,7,FALSE())),1,0))  )</f>
        <v>0</v>
      </c>
      <c r="AI414" s="76" t="n">
        <f aca="false">IF(ISERROR(VLOOKUP($P414,Member_Tab,4,FALSE())),0,(VLOOKUP($P414,Member_Tab,4,FALSE()) * 0.2 * AI$7) * (IF(AND(AI$5 &gt;= VLOOKUP($P414,Member_Tab,6,FALSE()), AI$5 &lt;= VLOOKUP($P414,Member_Tab,7,FALSE())),1,0))  )</f>
        <v>0</v>
      </c>
      <c r="AJ414" s="76" t="n">
        <f aca="false">IF(ISERROR(VLOOKUP($P414,Member_Tab,4,FALSE())),0,(VLOOKUP($P414,Member_Tab,4,FALSE()) * 0.2 * AJ$7) * (IF(AND(AJ$5 &gt;= VLOOKUP($P414,Member_Tab,6,FALSE()), AJ$5 &lt;= VLOOKUP($P414,Member_Tab,7,FALSE())),1,0))  )</f>
        <v>0</v>
      </c>
      <c r="AK414" s="76" t="n">
        <f aca="false">IF(ISERROR(VLOOKUP($P414,Member_Tab,4,FALSE())),0,(VLOOKUP($P414,Member_Tab,4,FALSE()) * 0.2 * AK$7) * (IF(AND(AK$5 &gt;= VLOOKUP($P414,Member_Tab,6,FALSE()), AK$5 &lt;= VLOOKUP($P414,Member_Tab,7,FALSE())),1,0))  )</f>
        <v>0</v>
      </c>
      <c r="AL414" s="76" t="n">
        <f aca="false">IF(ISERROR(VLOOKUP($P414,Member_Tab,4,FALSE())),0,(VLOOKUP($P414,Member_Tab,4,FALSE()) * 0.2 * AL$7) * (IF(AND(AL$5 &gt;= VLOOKUP($P414,Member_Tab,6,FALSE()), AL$5 &lt;= VLOOKUP($P414,Member_Tab,7,FALSE())),1,0))  )</f>
        <v>0</v>
      </c>
      <c r="AM414" s="76" t="n">
        <f aca="false">IF(ISERROR(VLOOKUP($P414,Member_Tab,4,FALSE())),0,(VLOOKUP($P414,Member_Tab,4,FALSE()) * 0.2 * AM$7) * (IF(AND(AM$5 &gt;= VLOOKUP($P414,Member_Tab,6,FALSE()), AM$5 &lt;= VLOOKUP($P414,Member_Tab,7,FALSE())),1,0))  )</f>
        <v>0</v>
      </c>
      <c r="AN414" s="76" t="n">
        <f aca="false">IF(ISERROR(VLOOKUP($P414,Member_Tab,4,FALSE())),0,(VLOOKUP($P414,Member_Tab,4,FALSE()) * 0.2 * AN$7) * (IF(AND(AN$5 &gt;= VLOOKUP($P414,Member_Tab,6,FALSE()), AN$5 &lt;= VLOOKUP($P414,Member_Tab,7,FALSE())),1,0))  )</f>
        <v>0</v>
      </c>
      <c r="AO414" s="76" t="n">
        <f aca="false">IF(ISERROR(VLOOKUP($P414,Member_Tab,4,FALSE())),0,(VLOOKUP($P414,Member_Tab,4,FALSE()) * 0.2 * AO$7) * (IF(AND(AO$5 &gt;= VLOOKUP($P414,Member_Tab,6,FALSE()), AO$5 &lt;= VLOOKUP($P414,Member_Tab,7,FALSE())),1,0))  )</f>
        <v>0</v>
      </c>
      <c r="AP414" s="76" t="n">
        <f aca="false">IF(ISERROR(VLOOKUP($P414,Member_Tab,4,FALSE())),0,(VLOOKUP($P414,Member_Tab,4,FALSE()) * 0.2 * AP$7) * (IF(AND(AP$5 &gt;= VLOOKUP($P414,Member_Tab,6,FALSE()), AP$5 &lt;= VLOOKUP($P414,Member_Tab,7,FALSE())),1,0))  )</f>
        <v>0</v>
      </c>
      <c r="AQ414" s="76" t="n">
        <f aca="false">IF(ISERROR(VLOOKUP($P414,Member_Tab,4,FALSE())),0,(VLOOKUP($P414,Member_Tab,4,FALSE()) * 0.2 * AQ$7) * (IF(AND(AQ$5 &gt;= VLOOKUP($P414,Member_Tab,6,FALSE()), AQ$5 &lt;= VLOOKUP($P414,Member_Tab,7,FALSE())),1,0))  )</f>
        <v>0</v>
      </c>
      <c r="AR414" s="76" t="n">
        <f aca="false">IF(ISERROR(VLOOKUP($P414,Member_Tab,4,FALSE())),0,(VLOOKUP($P414,Member_Tab,4,FALSE()) * 0.2 * AR$7) * (IF(AND(AR$5 &gt;= VLOOKUP($P414,Member_Tab,6,FALSE()), AR$5 &lt;= VLOOKUP($P414,Member_Tab,7,FALSE())),1,0))  )</f>
        <v>0</v>
      </c>
      <c r="AS414" s="76" t="n">
        <f aca="false">IF(ISERROR(VLOOKUP($P414,Member_Tab,4,FALSE())),0,(VLOOKUP($P414,Member_Tab,4,FALSE()) * 0.2 * AS$7) * (IF(AND(AS$5 &gt;= VLOOKUP($P414,Member_Tab,6,FALSE()), AS$5 &lt;= VLOOKUP($P414,Member_Tab,7,FALSE())),1,0))  )</f>
        <v>0</v>
      </c>
      <c r="AT414" s="76" t="n">
        <f aca="false">IF(ISERROR(VLOOKUP($P414,Member_Tab,4,FALSE())),0,(VLOOKUP($P414,Member_Tab,4,FALSE()) * 0.2 * AT$7) * (IF(AND(AT$5 &gt;= VLOOKUP($P414,Member_Tab,6,FALSE()), AT$5 &lt;= VLOOKUP($P414,Member_Tab,7,FALSE())),1,0))  )</f>
        <v>0</v>
      </c>
      <c r="AU414" s="76" t="n">
        <f aca="false">IF(ISERROR(VLOOKUP($P414,Member_Tab,4,FALSE())),0,(VLOOKUP($P414,Member_Tab,4,FALSE()) * 0.2 * AU$7) * (IF(AND(AU$5 &gt;= VLOOKUP($P414,Member_Tab,6,FALSE()), AU$5 &lt;= VLOOKUP($P414,Member_Tab,7,FALSE())),1,0))  )</f>
        <v>0</v>
      </c>
      <c r="AV414" s="76" t="n">
        <f aca="false">IF(ISERROR(VLOOKUP($P414,Member_Tab,4,FALSE())),0,(VLOOKUP($P414,Member_Tab,4,FALSE()) * 0.2 * AV$7) * (IF(AND(AV$5 &gt;= VLOOKUP($P414,Member_Tab,6,FALSE()), AV$5 &lt;= VLOOKUP($P414,Member_Tab,7,FALSE())),1,0))  )</f>
        <v>0</v>
      </c>
      <c r="AW414" s="76" t="n">
        <f aca="false">IF(ISERROR(VLOOKUP($P414,Member_Tab,4,FALSE())),0,(VLOOKUP($P414,Member_Tab,4,FALSE()) * 0.2 * AW$7) * (IF(AND(AW$5 &gt;= VLOOKUP($P414,Member_Tab,6,FALSE()), AW$5 &lt;= VLOOKUP($P414,Member_Tab,7,FALSE())),1,0))  )</f>
        <v>0</v>
      </c>
      <c r="AX414" s="76" t="n">
        <f aca="false">IF(ISERROR(VLOOKUP($P414,Member_Tab,4,FALSE())),0,(VLOOKUP($P414,Member_Tab,4,FALSE()) * 0.2 * AX$7) * (IF(AND(AX$5 &gt;= VLOOKUP($P414,Member_Tab,6,FALSE()), AX$5 &lt;= VLOOKUP($P414,Member_Tab,7,FALSE())),1,0))  )</f>
        <v>0</v>
      </c>
      <c r="AY414" s="76" t="n">
        <f aca="false">IF(ISERROR(VLOOKUP($P414,Member_Tab,4,FALSE())),0,(VLOOKUP($P414,Member_Tab,4,FALSE()) * 0.2 * AY$7) * (IF(AND(AY$5 &gt;= VLOOKUP($P414,Member_Tab,6,FALSE()), AY$5 &lt;= VLOOKUP($P414,Member_Tab,7,FALSE())),1,0))  )</f>
        <v>0</v>
      </c>
      <c r="AZ414" s="76" t="n">
        <f aca="false">IF(ISERROR(VLOOKUP($P414,Member_Tab,4,FALSE())),0,(VLOOKUP($P414,Member_Tab,4,FALSE()) * 0.2 * AZ$7) * (IF(AND(AZ$5 &gt;= VLOOKUP($P414,Member_Tab,6,FALSE()), AZ$5 &lt;= VLOOKUP($P414,Member_Tab,7,FALSE())),1,0))  )</f>
        <v>0</v>
      </c>
      <c r="BA414" s="76" t="n">
        <f aca="false">IF(ISERROR(VLOOKUP($P414,Member_Tab,4,FALSE())),0,(VLOOKUP($P414,Member_Tab,4,FALSE()) * 0.2 * BA$7) * (IF(AND(BA$5 &gt;= VLOOKUP($P414,Member_Tab,6,FALSE()), BA$5 &lt;= VLOOKUP($P414,Member_Tab,7,FALSE())),1,0))  )</f>
        <v>0</v>
      </c>
      <c r="BB414" s="76" t="n">
        <f aca="false">IF(ISERROR(VLOOKUP($P414,Member_Tab,4,FALSE())),0,(VLOOKUP($P414,Member_Tab,4,FALSE()) * 0.2 * BB$7) * (IF(AND(BB$5 &gt;= VLOOKUP($P414,Member_Tab,6,FALSE()), BB$5 &lt;= VLOOKUP($P414,Member_Tab,7,FALSE())),1,0))  )</f>
        <v>0</v>
      </c>
    </row>
    <row r="415" s="173" customFormat="true" ht="15" hidden="true" customHeight="false" outlineLevel="1" collapsed="false">
      <c r="E415" s="40"/>
      <c r="K415" s="40"/>
      <c r="L415" s="40"/>
      <c r="M415" s="40"/>
      <c r="N415" s="40"/>
      <c r="P415" s="177" t="n">
        <f aca="false">P278</f>
        <v>0</v>
      </c>
      <c r="Q415" s="40"/>
      <c r="R415" s="178"/>
      <c r="S415" s="76" t="n">
        <f aca="false">IF(ISERROR(VLOOKUP($P415,Member_Tab,4,FALSE())),0,(VLOOKUP($P415,Member_Tab,4,FALSE()) * 0.2 * S$7) * (IF(AND(S$5 &gt;= VLOOKUP($P415,Member_Tab,6,FALSE()), S$5 &lt;= VLOOKUP($P415,Member_Tab,7,FALSE())),1,0))  )</f>
        <v>0</v>
      </c>
      <c r="T415" s="76" t="n">
        <f aca="false">IF(ISERROR(VLOOKUP($P415,Member_Tab,4,FALSE())),0,(VLOOKUP($P415,Member_Tab,4,FALSE()) * 0.2 * T$7) * (IF(AND(T$5 &gt;= VLOOKUP($P415,Member_Tab,6,FALSE()), T$5 &lt;= VLOOKUP($P415,Member_Tab,7,FALSE())),1,0))  )</f>
        <v>0</v>
      </c>
      <c r="U415" s="76" t="n">
        <f aca="false">IF(ISERROR(VLOOKUP($P415,Member_Tab,4,FALSE())),0,(VLOOKUP($P415,Member_Tab,4,FALSE()) * 0.2 * U$7) * (IF(AND(U$5 &gt;= VLOOKUP($P415,Member_Tab,6,FALSE()), U$5 &lt;= VLOOKUP($P415,Member_Tab,7,FALSE())),1,0))  )</f>
        <v>0</v>
      </c>
      <c r="V415" s="76" t="n">
        <f aca="false">IF(ISERROR(VLOOKUP($P415,Member_Tab,4,FALSE())),0,(VLOOKUP($P415,Member_Tab,4,FALSE()) * 0.2 * V$7) * (IF(AND(V$5 &gt;= VLOOKUP($P415,Member_Tab,6,FALSE()), V$5 &lt;= VLOOKUP($P415,Member_Tab,7,FALSE())),1,0))  )</f>
        <v>0</v>
      </c>
      <c r="W415" s="76" t="n">
        <f aca="false">IF(ISERROR(VLOOKUP($P415,Member_Tab,4,FALSE())),0,(VLOOKUP($P415,Member_Tab,4,FALSE()) * 0.2 * W$7) * (IF(AND(W$5 &gt;= VLOOKUP($P415,Member_Tab,6,FALSE()), W$5 &lt;= VLOOKUP($P415,Member_Tab,7,FALSE())),1,0))  )</f>
        <v>0</v>
      </c>
      <c r="X415" s="76" t="n">
        <f aca="false">IF(ISERROR(VLOOKUP($P415,Member_Tab,4,FALSE())),0,(VLOOKUP($P415,Member_Tab,4,FALSE()) * 0.2 * X$7) * (IF(AND(X$5 &gt;= VLOOKUP($P415,Member_Tab,6,FALSE()), X$5 &lt;= VLOOKUP($P415,Member_Tab,7,FALSE())),1,0))  )</f>
        <v>0</v>
      </c>
      <c r="Y415" s="76" t="n">
        <f aca="false">IF(ISERROR(VLOOKUP($P415,Member_Tab,4,FALSE())),0,(VLOOKUP($P415,Member_Tab,4,FALSE()) * 0.2 * Y$7) * (IF(AND(Y$5 &gt;= VLOOKUP($P415,Member_Tab,6,FALSE()), Y$5 &lt;= VLOOKUP($P415,Member_Tab,7,FALSE())),1,0))  )</f>
        <v>0</v>
      </c>
      <c r="Z415" s="76" t="n">
        <f aca="false">IF(ISERROR(VLOOKUP($P415,Member_Tab,4,FALSE())),0,(VLOOKUP($P415,Member_Tab,4,FALSE()) * 0.2 * Z$7) * (IF(AND(Z$5 &gt;= VLOOKUP($P415,Member_Tab,6,FALSE()), Z$5 &lt;= VLOOKUP($P415,Member_Tab,7,FALSE())),1,0))  )</f>
        <v>0</v>
      </c>
      <c r="AA415" s="76" t="n">
        <f aca="false">IF(ISERROR(VLOOKUP($P415,Member_Tab,4,FALSE())),0,(VLOOKUP($P415,Member_Tab,4,FALSE()) * 0.2 * AA$7) * (IF(AND(AA$5 &gt;= VLOOKUP($P415,Member_Tab,6,FALSE()), AA$5 &lt;= VLOOKUP($P415,Member_Tab,7,FALSE())),1,0))  )</f>
        <v>0</v>
      </c>
      <c r="AB415" s="76" t="n">
        <f aca="false">IF(ISERROR(VLOOKUP($P415,Member_Tab,4,FALSE())),0,(VLOOKUP($P415,Member_Tab,4,FALSE()) * 0.2 * AB$7) * (IF(AND(AB$5 &gt;= VLOOKUP($P415,Member_Tab,6,FALSE()), AB$5 &lt;= VLOOKUP($P415,Member_Tab,7,FALSE())),1,0))  )</f>
        <v>0</v>
      </c>
      <c r="AC415" s="76" t="n">
        <f aca="false">IF(ISERROR(VLOOKUP($P415,Member_Tab,4,FALSE())),0,(VLOOKUP($P415,Member_Tab,4,FALSE()) * 0.2 * AC$7) * (IF(AND(AC$5 &gt;= VLOOKUP($P415,Member_Tab,6,FALSE()), AC$5 &lt;= VLOOKUP($P415,Member_Tab,7,FALSE())),1,0))  )</f>
        <v>0</v>
      </c>
      <c r="AD415" s="76" t="n">
        <f aca="false">IF(ISERROR(VLOOKUP($P415,Member_Tab,4,FALSE())),0,(VLOOKUP($P415,Member_Tab,4,FALSE()) * 0.2 * AD$7) * (IF(AND(AD$5 &gt;= VLOOKUP($P415,Member_Tab,6,FALSE()), AD$5 &lt;= VLOOKUP($P415,Member_Tab,7,FALSE())),1,0))  )</f>
        <v>0</v>
      </c>
      <c r="AE415" s="76" t="n">
        <f aca="false">IF(ISERROR(VLOOKUP($P415,Member_Tab,4,FALSE())),0,(VLOOKUP($P415,Member_Tab,4,FALSE()) * 0.2 * AE$7) * (IF(AND(AE$5 &gt;= VLOOKUP($P415,Member_Tab,6,FALSE()), AE$5 &lt;= VLOOKUP($P415,Member_Tab,7,FALSE())),1,0))  )</f>
        <v>0</v>
      </c>
      <c r="AF415" s="76" t="n">
        <f aca="false">IF(ISERROR(VLOOKUP($P415,Member_Tab,4,FALSE())),0,(VLOOKUP($P415,Member_Tab,4,FALSE()) * 0.2 * AF$7) * (IF(AND(AF$5 &gt;= VLOOKUP($P415,Member_Tab,6,FALSE()), AF$5 &lt;= VLOOKUP($P415,Member_Tab,7,FALSE())),1,0))  )</f>
        <v>0</v>
      </c>
      <c r="AG415" s="76" t="n">
        <f aca="false">IF(ISERROR(VLOOKUP($P415,Member_Tab,4,FALSE())),0,(VLOOKUP($P415,Member_Tab,4,FALSE()) * 0.2 * AG$7) * (IF(AND(AG$5 &gt;= VLOOKUP($P415,Member_Tab,6,FALSE()), AG$5 &lt;= VLOOKUP($P415,Member_Tab,7,FALSE())),1,0))  )</f>
        <v>0</v>
      </c>
      <c r="AH415" s="76" t="n">
        <f aca="false">IF(ISERROR(VLOOKUP($P415,Member_Tab,4,FALSE())),0,(VLOOKUP($P415,Member_Tab,4,FALSE()) * 0.2 * AH$7) * (IF(AND(AH$5 &gt;= VLOOKUP($P415,Member_Tab,6,FALSE()), AH$5 &lt;= VLOOKUP($P415,Member_Tab,7,FALSE())),1,0))  )</f>
        <v>0</v>
      </c>
      <c r="AI415" s="76" t="n">
        <f aca="false">IF(ISERROR(VLOOKUP($P415,Member_Tab,4,FALSE())),0,(VLOOKUP($P415,Member_Tab,4,FALSE()) * 0.2 * AI$7) * (IF(AND(AI$5 &gt;= VLOOKUP($P415,Member_Tab,6,FALSE()), AI$5 &lt;= VLOOKUP($P415,Member_Tab,7,FALSE())),1,0))  )</f>
        <v>0</v>
      </c>
      <c r="AJ415" s="76" t="n">
        <f aca="false">IF(ISERROR(VLOOKUP($P415,Member_Tab,4,FALSE())),0,(VLOOKUP($P415,Member_Tab,4,FALSE()) * 0.2 * AJ$7) * (IF(AND(AJ$5 &gt;= VLOOKUP($P415,Member_Tab,6,FALSE()), AJ$5 &lt;= VLOOKUP($P415,Member_Tab,7,FALSE())),1,0))  )</f>
        <v>0</v>
      </c>
      <c r="AK415" s="76" t="n">
        <f aca="false">IF(ISERROR(VLOOKUP($P415,Member_Tab,4,FALSE())),0,(VLOOKUP($P415,Member_Tab,4,FALSE()) * 0.2 * AK$7) * (IF(AND(AK$5 &gt;= VLOOKUP($P415,Member_Tab,6,FALSE()), AK$5 &lt;= VLOOKUP($P415,Member_Tab,7,FALSE())),1,0))  )</f>
        <v>0</v>
      </c>
      <c r="AL415" s="76" t="n">
        <f aca="false">IF(ISERROR(VLOOKUP($P415,Member_Tab,4,FALSE())),0,(VLOOKUP($P415,Member_Tab,4,FALSE()) * 0.2 * AL$7) * (IF(AND(AL$5 &gt;= VLOOKUP($P415,Member_Tab,6,FALSE()), AL$5 &lt;= VLOOKUP($P415,Member_Tab,7,FALSE())),1,0))  )</f>
        <v>0</v>
      </c>
      <c r="AM415" s="76" t="n">
        <f aca="false">IF(ISERROR(VLOOKUP($P415,Member_Tab,4,FALSE())),0,(VLOOKUP($P415,Member_Tab,4,FALSE()) * 0.2 * AM$7) * (IF(AND(AM$5 &gt;= VLOOKUP($P415,Member_Tab,6,FALSE()), AM$5 &lt;= VLOOKUP($P415,Member_Tab,7,FALSE())),1,0))  )</f>
        <v>0</v>
      </c>
      <c r="AN415" s="76" t="n">
        <f aca="false">IF(ISERROR(VLOOKUP($P415,Member_Tab,4,FALSE())),0,(VLOOKUP($P415,Member_Tab,4,FALSE()) * 0.2 * AN$7) * (IF(AND(AN$5 &gt;= VLOOKUP($P415,Member_Tab,6,FALSE()), AN$5 &lt;= VLOOKUP($P415,Member_Tab,7,FALSE())),1,0))  )</f>
        <v>0</v>
      </c>
      <c r="AO415" s="76" t="n">
        <f aca="false">IF(ISERROR(VLOOKUP($P415,Member_Tab,4,FALSE())),0,(VLOOKUP($P415,Member_Tab,4,FALSE()) * 0.2 * AO$7) * (IF(AND(AO$5 &gt;= VLOOKUP($P415,Member_Tab,6,FALSE()), AO$5 &lt;= VLOOKUP($P415,Member_Tab,7,FALSE())),1,0))  )</f>
        <v>0</v>
      </c>
      <c r="AP415" s="76" t="n">
        <f aca="false">IF(ISERROR(VLOOKUP($P415,Member_Tab,4,FALSE())),0,(VLOOKUP($P415,Member_Tab,4,FALSE()) * 0.2 * AP$7) * (IF(AND(AP$5 &gt;= VLOOKUP($P415,Member_Tab,6,FALSE()), AP$5 &lt;= VLOOKUP($P415,Member_Tab,7,FALSE())),1,0))  )</f>
        <v>0</v>
      </c>
      <c r="AQ415" s="76" t="n">
        <f aca="false">IF(ISERROR(VLOOKUP($P415,Member_Tab,4,FALSE())),0,(VLOOKUP($P415,Member_Tab,4,FALSE()) * 0.2 * AQ$7) * (IF(AND(AQ$5 &gt;= VLOOKUP($P415,Member_Tab,6,FALSE()), AQ$5 &lt;= VLOOKUP($P415,Member_Tab,7,FALSE())),1,0))  )</f>
        <v>0</v>
      </c>
      <c r="AR415" s="76" t="n">
        <f aca="false">IF(ISERROR(VLOOKUP($P415,Member_Tab,4,FALSE())),0,(VLOOKUP($P415,Member_Tab,4,FALSE()) * 0.2 * AR$7) * (IF(AND(AR$5 &gt;= VLOOKUP($P415,Member_Tab,6,FALSE()), AR$5 &lt;= VLOOKUP($P415,Member_Tab,7,FALSE())),1,0))  )</f>
        <v>0</v>
      </c>
      <c r="AS415" s="76" t="n">
        <f aca="false">IF(ISERROR(VLOOKUP($P415,Member_Tab,4,FALSE())),0,(VLOOKUP($P415,Member_Tab,4,FALSE()) * 0.2 * AS$7) * (IF(AND(AS$5 &gt;= VLOOKUP($P415,Member_Tab,6,FALSE()), AS$5 &lt;= VLOOKUP($P415,Member_Tab,7,FALSE())),1,0))  )</f>
        <v>0</v>
      </c>
      <c r="AT415" s="76" t="n">
        <f aca="false">IF(ISERROR(VLOOKUP($P415,Member_Tab,4,FALSE())),0,(VLOOKUP($P415,Member_Tab,4,FALSE()) * 0.2 * AT$7) * (IF(AND(AT$5 &gt;= VLOOKUP($P415,Member_Tab,6,FALSE()), AT$5 &lt;= VLOOKUP($P415,Member_Tab,7,FALSE())),1,0))  )</f>
        <v>0</v>
      </c>
      <c r="AU415" s="76" t="n">
        <f aca="false">IF(ISERROR(VLOOKUP($P415,Member_Tab,4,FALSE())),0,(VLOOKUP($P415,Member_Tab,4,FALSE()) * 0.2 * AU$7) * (IF(AND(AU$5 &gt;= VLOOKUP($P415,Member_Tab,6,FALSE()), AU$5 &lt;= VLOOKUP($P415,Member_Tab,7,FALSE())),1,0))  )</f>
        <v>0</v>
      </c>
      <c r="AV415" s="76" t="n">
        <f aca="false">IF(ISERROR(VLOOKUP($P415,Member_Tab,4,FALSE())),0,(VLOOKUP($P415,Member_Tab,4,FALSE()) * 0.2 * AV$7) * (IF(AND(AV$5 &gt;= VLOOKUP($P415,Member_Tab,6,FALSE()), AV$5 &lt;= VLOOKUP($P415,Member_Tab,7,FALSE())),1,0))  )</f>
        <v>0</v>
      </c>
      <c r="AW415" s="76" t="n">
        <f aca="false">IF(ISERROR(VLOOKUP($P415,Member_Tab,4,FALSE())),0,(VLOOKUP($P415,Member_Tab,4,FALSE()) * 0.2 * AW$7) * (IF(AND(AW$5 &gt;= VLOOKUP($P415,Member_Tab,6,FALSE()), AW$5 &lt;= VLOOKUP($P415,Member_Tab,7,FALSE())),1,0))  )</f>
        <v>0</v>
      </c>
      <c r="AX415" s="76" t="n">
        <f aca="false">IF(ISERROR(VLOOKUP($P415,Member_Tab,4,FALSE())),0,(VLOOKUP($P415,Member_Tab,4,FALSE()) * 0.2 * AX$7) * (IF(AND(AX$5 &gt;= VLOOKUP($P415,Member_Tab,6,FALSE()), AX$5 &lt;= VLOOKUP($P415,Member_Tab,7,FALSE())),1,0))  )</f>
        <v>0</v>
      </c>
      <c r="AY415" s="76" t="n">
        <f aca="false">IF(ISERROR(VLOOKUP($P415,Member_Tab,4,FALSE())),0,(VLOOKUP($P415,Member_Tab,4,FALSE()) * 0.2 * AY$7) * (IF(AND(AY$5 &gt;= VLOOKUP($P415,Member_Tab,6,FALSE()), AY$5 &lt;= VLOOKUP($P415,Member_Tab,7,FALSE())),1,0))  )</f>
        <v>0</v>
      </c>
      <c r="AZ415" s="76" t="n">
        <f aca="false">IF(ISERROR(VLOOKUP($P415,Member_Tab,4,FALSE())),0,(VLOOKUP($P415,Member_Tab,4,FALSE()) * 0.2 * AZ$7) * (IF(AND(AZ$5 &gt;= VLOOKUP($P415,Member_Tab,6,FALSE()), AZ$5 &lt;= VLOOKUP($P415,Member_Tab,7,FALSE())),1,0))  )</f>
        <v>0</v>
      </c>
      <c r="BA415" s="76" t="n">
        <f aca="false">IF(ISERROR(VLOOKUP($P415,Member_Tab,4,FALSE())),0,(VLOOKUP($P415,Member_Tab,4,FALSE()) * 0.2 * BA$7) * (IF(AND(BA$5 &gt;= VLOOKUP($P415,Member_Tab,6,FALSE()), BA$5 &lt;= VLOOKUP($P415,Member_Tab,7,FALSE())),1,0))  )</f>
        <v>0</v>
      </c>
      <c r="BB415" s="76" t="n">
        <f aca="false">IF(ISERROR(VLOOKUP($P415,Member_Tab,4,FALSE())),0,(VLOOKUP($P415,Member_Tab,4,FALSE()) * 0.2 * BB$7) * (IF(AND(BB$5 &gt;= VLOOKUP($P415,Member_Tab,6,FALSE()), BB$5 &lt;= VLOOKUP($P415,Member_Tab,7,FALSE())),1,0))  )</f>
        <v>0</v>
      </c>
    </row>
    <row r="416" s="173" customFormat="true" ht="15" hidden="true" customHeight="false" outlineLevel="1" collapsed="false">
      <c r="E416" s="40"/>
      <c r="K416" s="40"/>
      <c r="L416" s="40"/>
      <c r="M416" s="40"/>
      <c r="N416" s="40"/>
      <c r="P416" s="177" t="n">
        <f aca="false">P279</f>
        <v>0</v>
      </c>
      <c r="Q416" s="40"/>
      <c r="R416" s="178"/>
      <c r="S416" s="76" t="n">
        <f aca="false">IF(ISERROR(VLOOKUP($P416,Member_Tab,4,FALSE())),0,(VLOOKUP($P416,Member_Tab,4,FALSE()) * 0.2 * S$7) * (IF(AND(S$5 &gt;= VLOOKUP($P416,Member_Tab,6,FALSE()), S$5 &lt;= VLOOKUP($P416,Member_Tab,7,FALSE())),1,0))  )</f>
        <v>0</v>
      </c>
      <c r="T416" s="76" t="n">
        <f aca="false">IF(ISERROR(VLOOKUP($P416,Member_Tab,4,FALSE())),0,(VLOOKUP($P416,Member_Tab,4,FALSE()) * 0.2 * T$7) * (IF(AND(T$5 &gt;= VLOOKUP($P416,Member_Tab,6,FALSE()), T$5 &lt;= VLOOKUP($P416,Member_Tab,7,FALSE())),1,0))  )</f>
        <v>0</v>
      </c>
      <c r="U416" s="76" t="n">
        <f aca="false">IF(ISERROR(VLOOKUP($P416,Member_Tab,4,FALSE())),0,(VLOOKUP($P416,Member_Tab,4,FALSE()) * 0.2 * U$7) * (IF(AND(U$5 &gt;= VLOOKUP($P416,Member_Tab,6,FALSE()), U$5 &lt;= VLOOKUP($P416,Member_Tab,7,FALSE())),1,0))  )</f>
        <v>0</v>
      </c>
      <c r="V416" s="76" t="n">
        <f aca="false">IF(ISERROR(VLOOKUP($P416,Member_Tab,4,FALSE())),0,(VLOOKUP($P416,Member_Tab,4,FALSE()) * 0.2 * V$7) * (IF(AND(V$5 &gt;= VLOOKUP($P416,Member_Tab,6,FALSE()), V$5 &lt;= VLOOKUP($P416,Member_Tab,7,FALSE())),1,0))  )</f>
        <v>0</v>
      </c>
      <c r="W416" s="76" t="n">
        <f aca="false">IF(ISERROR(VLOOKUP($P416,Member_Tab,4,FALSE())),0,(VLOOKUP($P416,Member_Tab,4,FALSE()) * 0.2 * W$7) * (IF(AND(W$5 &gt;= VLOOKUP($P416,Member_Tab,6,FALSE()), W$5 &lt;= VLOOKUP($P416,Member_Tab,7,FALSE())),1,0))  )</f>
        <v>0</v>
      </c>
      <c r="X416" s="76" t="n">
        <f aca="false">IF(ISERROR(VLOOKUP($P416,Member_Tab,4,FALSE())),0,(VLOOKUP($P416,Member_Tab,4,FALSE()) * 0.2 * X$7) * (IF(AND(X$5 &gt;= VLOOKUP($P416,Member_Tab,6,FALSE()), X$5 &lt;= VLOOKUP($P416,Member_Tab,7,FALSE())),1,0))  )</f>
        <v>0</v>
      </c>
      <c r="Y416" s="76" t="n">
        <f aca="false">IF(ISERROR(VLOOKUP($P416,Member_Tab,4,FALSE())),0,(VLOOKUP($P416,Member_Tab,4,FALSE()) * 0.2 * Y$7) * (IF(AND(Y$5 &gt;= VLOOKUP($P416,Member_Tab,6,FALSE()), Y$5 &lt;= VLOOKUP($P416,Member_Tab,7,FALSE())),1,0))  )</f>
        <v>0</v>
      </c>
      <c r="Z416" s="76" t="n">
        <f aca="false">IF(ISERROR(VLOOKUP($P416,Member_Tab,4,FALSE())),0,(VLOOKUP($P416,Member_Tab,4,FALSE()) * 0.2 * Z$7) * (IF(AND(Z$5 &gt;= VLOOKUP($P416,Member_Tab,6,FALSE()), Z$5 &lt;= VLOOKUP($P416,Member_Tab,7,FALSE())),1,0))  )</f>
        <v>0</v>
      </c>
      <c r="AA416" s="76" t="n">
        <f aca="false">IF(ISERROR(VLOOKUP($P416,Member_Tab,4,FALSE())),0,(VLOOKUP($P416,Member_Tab,4,FALSE()) * 0.2 * AA$7) * (IF(AND(AA$5 &gt;= VLOOKUP($P416,Member_Tab,6,FALSE()), AA$5 &lt;= VLOOKUP($P416,Member_Tab,7,FALSE())),1,0))  )</f>
        <v>0</v>
      </c>
      <c r="AB416" s="76" t="n">
        <f aca="false">IF(ISERROR(VLOOKUP($P416,Member_Tab,4,FALSE())),0,(VLOOKUP($P416,Member_Tab,4,FALSE()) * 0.2 * AB$7) * (IF(AND(AB$5 &gt;= VLOOKUP($P416,Member_Tab,6,FALSE()), AB$5 &lt;= VLOOKUP($P416,Member_Tab,7,FALSE())),1,0))  )</f>
        <v>0</v>
      </c>
      <c r="AC416" s="76" t="n">
        <f aca="false">IF(ISERROR(VLOOKUP($P416,Member_Tab,4,FALSE())),0,(VLOOKUP($P416,Member_Tab,4,FALSE()) * 0.2 * AC$7) * (IF(AND(AC$5 &gt;= VLOOKUP($P416,Member_Tab,6,FALSE()), AC$5 &lt;= VLOOKUP($P416,Member_Tab,7,FALSE())),1,0))  )</f>
        <v>0</v>
      </c>
      <c r="AD416" s="76" t="n">
        <f aca="false">IF(ISERROR(VLOOKUP($P416,Member_Tab,4,FALSE())),0,(VLOOKUP($P416,Member_Tab,4,FALSE()) * 0.2 * AD$7) * (IF(AND(AD$5 &gt;= VLOOKUP($P416,Member_Tab,6,FALSE()), AD$5 &lt;= VLOOKUP($P416,Member_Tab,7,FALSE())),1,0))  )</f>
        <v>0</v>
      </c>
      <c r="AE416" s="76" t="n">
        <f aca="false">IF(ISERROR(VLOOKUP($P416,Member_Tab,4,FALSE())),0,(VLOOKUP($P416,Member_Tab,4,FALSE()) * 0.2 * AE$7) * (IF(AND(AE$5 &gt;= VLOOKUP($P416,Member_Tab,6,FALSE()), AE$5 &lt;= VLOOKUP($P416,Member_Tab,7,FALSE())),1,0))  )</f>
        <v>0</v>
      </c>
      <c r="AF416" s="76" t="n">
        <f aca="false">IF(ISERROR(VLOOKUP($P416,Member_Tab,4,FALSE())),0,(VLOOKUP($P416,Member_Tab,4,FALSE()) * 0.2 * AF$7) * (IF(AND(AF$5 &gt;= VLOOKUP($P416,Member_Tab,6,FALSE()), AF$5 &lt;= VLOOKUP($P416,Member_Tab,7,FALSE())),1,0))  )</f>
        <v>0</v>
      </c>
      <c r="AG416" s="76" t="n">
        <f aca="false">IF(ISERROR(VLOOKUP($P416,Member_Tab,4,FALSE())),0,(VLOOKUP($P416,Member_Tab,4,FALSE()) * 0.2 * AG$7) * (IF(AND(AG$5 &gt;= VLOOKUP($P416,Member_Tab,6,FALSE()), AG$5 &lt;= VLOOKUP($P416,Member_Tab,7,FALSE())),1,0))  )</f>
        <v>0</v>
      </c>
      <c r="AH416" s="76" t="n">
        <f aca="false">IF(ISERROR(VLOOKUP($P416,Member_Tab,4,FALSE())),0,(VLOOKUP($P416,Member_Tab,4,FALSE()) * 0.2 * AH$7) * (IF(AND(AH$5 &gt;= VLOOKUP($P416,Member_Tab,6,FALSE()), AH$5 &lt;= VLOOKUP($P416,Member_Tab,7,FALSE())),1,0))  )</f>
        <v>0</v>
      </c>
      <c r="AI416" s="76" t="n">
        <f aca="false">IF(ISERROR(VLOOKUP($P416,Member_Tab,4,FALSE())),0,(VLOOKUP($P416,Member_Tab,4,FALSE()) * 0.2 * AI$7) * (IF(AND(AI$5 &gt;= VLOOKUP($P416,Member_Tab,6,FALSE()), AI$5 &lt;= VLOOKUP($P416,Member_Tab,7,FALSE())),1,0))  )</f>
        <v>0</v>
      </c>
      <c r="AJ416" s="76" t="n">
        <f aca="false">IF(ISERROR(VLOOKUP($P416,Member_Tab,4,FALSE())),0,(VLOOKUP($P416,Member_Tab,4,FALSE()) * 0.2 * AJ$7) * (IF(AND(AJ$5 &gt;= VLOOKUP($P416,Member_Tab,6,FALSE()), AJ$5 &lt;= VLOOKUP($P416,Member_Tab,7,FALSE())),1,0))  )</f>
        <v>0</v>
      </c>
      <c r="AK416" s="76" t="n">
        <f aca="false">IF(ISERROR(VLOOKUP($P416,Member_Tab,4,FALSE())),0,(VLOOKUP($P416,Member_Tab,4,FALSE()) * 0.2 * AK$7) * (IF(AND(AK$5 &gt;= VLOOKUP($P416,Member_Tab,6,FALSE()), AK$5 &lt;= VLOOKUP($P416,Member_Tab,7,FALSE())),1,0))  )</f>
        <v>0</v>
      </c>
      <c r="AL416" s="76" t="n">
        <f aca="false">IF(ISERROR(VLOOKUP($P416,Member_Tab,4,FALSE())),0,(VLOOKUP($P416,Member_Tab,4,FALSE()) * 0.2 * AL$7) * (IF(AND(AL$5 &gt;= VLOOKUP($P416,Member_Tab,6,FALSE()), AL$5 &lt;= VLOOKUP($P416,Member_Tab,7,FALSE())),1,0))  )</f>
        <v>0</v>
      </c>
      <c r="AM416" s="76" t="n">
        <f aca="false">IF(ISERROR(VLOOKUP($P416,Member_Tab,4,FALSE())),0,(VLOOKUP($P416,Member_Tab,4,FALSE()) * 0.2 * AM$7) * (IF(AND(AM$5 &gt;= VLOOKUP($P416,Member_Tab,6,FALSE()), AM$5 &lt;= VLOOKUP($P416,Member_Tab,7,FALSE())),1,0))  )</f>
        <v>0</v>
      </c>
      <c r="AN416" s="76" t="n">
        <f aca="false">IF(ISERROR(VLOOKUP($P416,Member_Tab,4,FALSE())),0,(VLOOKUP($P416,Member_Tab,4,FALSE()) * 0.2 * AN$7) * (IF(AND(AN$5 &gt;= VLOOKUP($P416,Member_Tab,6,FALSE()), AN$5 &lt;= VLOOKUP($P416,Member_Tab,7,FALSE())),1,0))  )</f>
        <v>0</v>
      </c>
      <c r="AO416" s="76" t="n">
        <f aca="false">IF(ISERROR(VLOOKUP($P416,Member_Tab,4,FALSE())),0,(VLOOKUP($P416,Member_Tab,4,FALSE()) * 0.2 * AO$7) * (IF(AND(AO$5 &gt;= VLOOKUP($P416,Member_Tab,6,FALSE()), AO$5 &lt;= VLOOKUP($P416,Member_Tab,7,FALSE())),1,0))  )</f>
        <v>0</v>
      </c>
      <c r="AP416" s="76" t="n">
        <f aca="false">IF(ISERROR(VLOOKUP($P416,Member_Tab,4,FALSE())),0,(VLOOKUP($P416,Member_Tab,4,FALSE()) * 0.2 * AP$7) * (IF(AND(AP$5 &gt;= VLOOKUP($P416,Member_Tab,6,FALSE()), AP$5 &lt;= VLOOKUP($P416,Member_Tab,7,FALSE())),1,0))  )</f>
        <v>0</v>
      </c>
      <c r="AQ416" s="76" t="n">
        <f aca="false">IF(ISERROR(VLOOKUP($P416,Member_Tab,4,FALSE())),0,(VLOOKUP($P416,Member_Tab,4,FALSE()) * 0.2 * AQ$7) * (IF(AND(AQ$5 &gt;= VLOOKUP($P416,Member_Tab,6,FALSE()), AQ$5 &lt;= VLOOKUP($P416,Member_Tab,7,FALSE())),1,0))  )</f>
        <v>0</v>
      </c>
      <c r="AR416" s="76" t="n">
        <f aca="false">IF(ISERROR(VLOOKUP($P416,Member_Tab,4,FALSE())),0,(VLOOKUP($P416,Member_Tab,4,FALSE()) * 0.2 * AR$7) * (IF(AND(AR$5 &gt;= VLOOKUP($P416,Member_Tab,6,FALSE()), AR$5 &lt;= VLOOKUP($P416,Member_Tab,7,FALSE())),1,0))  )</f>
        <v>0</v>
      </c>
      <c r="AS416" s="76" t="n">
        <f aca="false">IF(ISERROR(VLOOKUP($P416,Member_Tab,4,FALSE())),0,(VLOOKUP($P416,Member_Tab,4,FALSE()) * 0.2 * AS$7) * (IF(AND(AS$5 &gt;= VLOOKUP($P416,Member_Tab,6,FALSE()), AS$5 &lt;= VLOOKUP($P416,Member_Tab,7,FALSE())),1,0))  )</f>
        <v>0</v>
      </c>
      <c r="AT416" s="76" t="n">
        <f aca="false">IF(ISERROR(VLOOKUP($P416,Member_Tab,4,FALSE())),0,(VLOOKUP($P416,Member_Tab,4,FALSE()) * 0.2 * AT$7) * (IF(AND(AT$5 &gt;= VLOOKUP($P416,Member_Tab,6,FALSE()), AT$5 &lt;= VLOOKUP($P416,Member_Tab,7,FALSE())),1,0))  )</f>
        <v>0</v>
      </c>
      <c r="AU416" s="76" t="n">
        <f aca="false">IF(ISERROR(VLOOKUP($P416,Member_Tab,4,FALSE())),0,(VLOOKUP($P416,Member_Tab,4,FALSE()) * 0.2 * AU$7) * (IF(AND(AU$5 &gt;= VLOOKUP($P416,Member_Tab,6,FALSE()), AU$5 &lt;= VLOOKUP($P416,Member_Tab,7,FALSE())),1,0))  )</f>
        <v>0</v>
      </c>
      <c r="AV416" s="76" t="n">
        <f aca="false">IF(ISERROR(VLOOKUP($P416,Member_Tab,4,FALSE())),0,(VLOOKUP($P416,Member_Tab,4,FALSE()) * 0.2 * AV$7) * (IF(AND(AV$5 &gt;= VLOOKUP($P416,Member_Tab,6,FALSE()), AV$5 &lt;= VLOOKUP($P416,Member_Tab,7,FALSE())),1,0))  )</f>
        <v>0</v>
      </c>
      <c r="AW416" s="76" t="n">
        <f aca="false">IF(ISERROR(VLOOKUP($P416,Member_Tab,4,FALSE())),0,(VLOOKUP($P416,Member_Tab,4,FALSE()) * 0.2 * AW$7) * (IF(AND(AW$5 &gt;= VLOOKUP($P416,Member_Tab,6,FALSE()), AW$5 &lt;= VLOOKUP($P416,Member_Tab,7,FALSE())),1,0))  )</f>
        <v>0</v>
      </c>
      <c r="AX416" s="76" t="n">
        <f aca="false">IF(ISERROR(VLOOKUP($P416,Member_Tab,4,FALSE())),0,(VLOOKUP($P416,Member_Tab,4,FALSE()) * 0.2 * AX$7) * (IF(AND(AX$5 &gt;= VLOOKUP($P416,Member_Tab,6,FALSE()), AX$5 &lt;= VLOOKUP($P416,Member_Tab,7,FALSE())),1,0))  )</f>
        <v>0</v>
      </c>
      <c r="AY416" s="76" t="n">
        <f aca="false">IF(ISERROR(VLOOKUP($P416,Member_Tab,4,FALSE())),0,(VLOOKUP($P416,Member_Tab,4,FALSE()) * 0.2 * AY$7) * (IF(AND(AY$5 &gt;= VLOOKUP($P416,Member_Tab,6,FALSE()), AY$5 &lt;= VLOOKUP($P416,Member_Tab,7,FALSE())),1,0))  )</f>
        <v>0</v>
      </c>
      <c r="AZ416" s="76" t="n">
        <f aca="false">IF(ISERROR(VLOOKUP($P416,Member_Tab,4,FALSE())),0,(VLOOKUP($P416,Member_Tab,4,FALSE()) * 0.2 * AZ$7) * (IF(AND(AZ$5 &gt;= VLOOKUP($P416,Member_Tab,6,FALSE()), AZ$5 &lt;= VLOOKUP($P416,Member_Tab,7,FALSE())),1,0))  )</f>
        <v>0</v>
      </c>
      <c r="BA416" s="76" t="n">
        <f aca="false">IF(ISERROR(VLOOKUP($P416,Member_Tab,4,FALSE())),0,(VLOOKUP($P416,Member_Tab,4,FALSE()) * 0.2 * BA$7) * (IF(AND(BA$5 &gt;= VLOOKUP($P416,Member_Tab,6,FALSE()), BA$5 &lt;= VLOOKUP($P416,Member_Tab,7,FALSE())),1,0))  )</f>
        <v>0</v>
      </c>
      <c r="BB416" s="76" t="n">
        <f aca="false">IF(ISERROR(VLOOKUP($P416,Member_Tab,4,FALSE())),0,(VLOOKUP($P416,Member_Tab,4,FALSE()) * 0.2 * BB$7) * (IF(AND(BB$5 &gt;= VLOOKUP($P416,Member_Tab,6,FALSE()), BB$5 &lt;= VLOOKUP($P416,Member_Tab,7,FALSE())),1,0))  )</f>
        <v>0</v>
      </c>
    </row>
    <row r="417" s="173" customFormat="true" ht="15" hidden="true" customHeight="false" outlineLevel="1" collapsed="false">
      <c r="E417" s="40"/>
      <c r="K417" s="40"/>
      <c r="L417" s="40"/>
      <c r="M417" s="40"/>
      <c r="N417" s="40"/>
      <c r="P417" s="177" t="n">
        <f aca="false">P280</f>
        <v>0</v>
      </c>
      <c r="Q417" s="40"/>
      <c r="R417" s="178"/>
      <c r="S417" s="76" t="n">
        <f aca="false">IF(ISERROR(VLOOKUP($P417,Member_Tab,4,FALSE())),0,(VLOOKUP($P417,Member_Tab,4,FALSE()) * 0.2 * S$7) * (IF(AND(S$5 &gt;= VLOOKUP($P417,Member_Tab,6,FALSE()), S$5 &lt;= VLOOKUP($P417,Member_Tab,7,FALSE())),1,0))  )</f>
        <v>0</v>
      </c>
      <c r="T417" s="76" t="n">
        <f aca="false">IF(ISERROR(VLOOKUP($P417,Member_Tab,4,FALSE())),0,(VLOOKUP($P417,Member_Tab,4,FALSE()) * 0.2 * T$7) * (IF(AND(T$5 &gt;= VLOOKUP($P417,Member_Tab,6,FALSE()), T$5 &lt;= VLOOKUP($P417,Member_Tab,7,FALSE())),1,0))  )</f>
        <v>0</v>
      </c>
      <c r="U417" s="76" t="n">
        <f aca="false">IF(ISERROR(VLOOKUP($P417,Member_Tab,4,FALSE())),0,(VLOOKUP($P417,Member_Tab,4,FALSE()) * 0.2 * U$7) * (IF(AND(U$5 &gt;= VLOOKUP($P417,Member_Tab,6,FALSE()), U$5 &lt;= VLOOKUP($P417,Member_Tab,7,FALSE())),1,0))  )</f>
        <v>0</v>
      </c>
      <c r="V417" s="76" t="n">
        <f aca="false">IF(ISERROR(VLOOKUP($P417,Member_Tab,4,FALSE())),0,(VLOOKUP($P417,Member_Tab,4,FALSE()) * 0.2 * V$7) * (IF(AND(V$5 &gt;= VLOOKUP($P417,Member_Tab,6,FALSE()), V$5 &lt;= VLOOKUP($P417,Member_Tab,7,FALSE())),1,0))  )</f>
        <v>0</v>
      </c>
      <c r="W417" s="76" t="n">
        <f aca="false">IF(ISERROR(VLOOKUP($P417,Member_Tab,4,FALSE())),0,(VLOOKUP($P417,Member_Tab,4,FALSE()) * 0.2 * W$7) * (IF(AND(W$5 &gt;= VLOOKUP($P417,Member_Tab,6,FALSE()), W$5 &lt;= VLOOKUP($P417,Member_Tab,7,FALSE())),1,0))  )</f>
        <v>0</v>
      </c>
      <c r="X417" s="76" t="n">
        <f aca="false">IF(ISERROR(VLOOKUP($P417,Member_Tab,4,FALSE())),0,(VLOOKUP($P417,Member_Tab,4,FALSE()) * 0.2 * X$7) * (IF(AND(X$5 &gt;= VLOOKUP($P417,Member_Tab,6,FALSE()), X$5 &lt;= VLOOKUP($P417,Member_Tab,7,FALSE())),1,0))  )</f>
        <v>0</v>
      </c>
      <c r="Y417" s="76" t="n">
        <f aca="false">IF(ISERROR(VLOOKUP($P417,Member_Tab,4,FALSE())),0,(VLOOKUP($P417,Member_Tab,4,FALSE()) * 0.2 * Y$7) * (IF(AND(Y$5 &gt;= VLOOKUP($P417,Member_Tab,6,FALSE()), Y$5 &lt;= VLOOKUP($P417,Member_Tab,7,FALSE())),1,0))  )</f>
        <v>0</v>
      </c>
      <c r="Z417" s="76" t="n">
        <f aca="false">IF(ISERROR(VLOOKUP($P417,Member_Tab,4,FALSE())),0,(VLOOKUP($P417,Member_Tab,4,FALSE()) * 0.2 * Z$7) * (IF(AND(Z$5 &gt;= VLOOKUP($P417,Member_Tab,6,FALSE()), Z$5 &lt;= VLOOKUP($P417,Member_Tab,7,FALSE())),1,0))  )</f>
        <v>0</v>
      </c>
      <c r="AA417" s="76" t="n">
        <f aca="false">IF(ISERROR(VLOOKUP($P417,Member_Tab,4,FALSE())),0,(VLOOKUP($P417,Member_Tab,4,FALSE()) * 0.2 * AA$7) * (IF(AND(AA$5 &gt;= VLOOKUP($P417,Member_Tab,6,FALSE()), AA$5 &lt;= VLOOKUP($P417,Member_Tab,7,FALSE())),1,0))  )</f>
        <v>0</v>
      </c>
      <c r="AB417" s="76" t="n">
        <f aca="false">IF(ISERROR(VLOOKUP($P417,Member_Tab,4,FALSE())),0,(VLOOKUP($P417,Member_Tab,4,FALSE()) * 0.2 * AB$7) * (IF(AND(AB$5 &gt;= VLOOKUP($P417,Member_Tab,6,FALSE()), AB$5 &lt;= VLOOKUP($P417,Member_Tab,7,FALSE())),1,0))  )</f>
        <v>0</v>
      </c>
      <c r="AC417" s="76" t="n">
        <f aca="false">IF(ISERROR(VLOOKUP($P417,Member_Tab,4,FALSE())),0,(VLOOKUP($P417,Member_Tab,4,FALSE()) * 0.2 * AC$7) * (IF(AND(AC$5 &gt;= VLOOKUP($P417,Member_Tab,6,FALSE()), AC$5 &lt;= VLOOKUP($P417,Member_Tab,7,FALSE())),1,0))  )</f>
        <v>0</v>
      </c>
      <c r="AD417" s="76" t="n">
        <f aca="false">IF(ISERROR(VLOOKUP($P417,Member_Tab,4,FALSE())),0,(VLOOKUP($P417,Member_Tab,4,FALSE()) * 0.2 * AD$7) * (IF(AND(AD$5 &gt;= VLOOKUP($P417,Member_Tab,6,FALSE()), AD$5 &lt;= VLOOKUP($P417,Member_Tab,7,FALSE())),1,0))  )</f>
        <v>0</v>
      </c>
      <c r="AE417" s="76" t="n">
        <f aca="false">IF(ISERROR(VLOOKUP($P417,Member_Tab,4,FALSE())),0,(VLOOKUP($P417,Member_Tab,4,FALSE()) * 0.2 * AE$7) * (IF(AND(AE$5 &gt;= VLOOKUP($P417,Member_Tab,6,FALSE()), AE$5 &lt;= VLOOKUP($P417,Member_Tab,7,FALSE())),1,0))  )</f>
        <v>0</v>
      </c>
      <c r="AF417" s="76" t="n">
        <f aca="false">IF(ISERROR(VLOOKUP($P417,Member_Tab,4,FALSE())),0,(VLOOKUP($P417,Member_Tab,4,FALSE()) * 0.2 * AF$7) * (IF(AND(AF$5 &gt;= VLOOKUP($P417,Member_Tab,6,FALSE()), AF$5 &lt;= VLOOKUP($P417,Member_Tab,7,FALSE())),1,0))  )</f>
        <v>0</v>
      </c>
      <c r="AG417" s="76" t="n">
        <f aca="false">IF(ISERROR(VLOOKUP($P417,Member_Tab,4,FALSE())),0,(VLOOKUP($P417,Member_Tab,4,FALSE()) * 0.2 * AG$7) * (IF(AND(AG$5 &gt;= VLOOKUP($P417,Member_Tab,6,FALSE()), AG$5 &lt;= VLOOKUP($P417,Member_Tab,7,FALSE())),1,0))  )</f>
        <v>0</v>
      </c>
      <c r="AH417" s="76" t="n">
        <f aca="false">IF(ISERROR(VLOOKUP($P417,Member_Tab,4,FALSE())),0,(VLOOKUP($P417,Member_Tab,4,FALSE()) * 0.2 * AH$7) * (IF(AND(AH$5 &gt;= VLOOKUP($P417,Member_Tab,6,FALSE()), AH$5 &lt;= VLOOKUP($P417,Member_Tab,7,FALSE())),1,0))  )</f>
        <v>0</v>
      </c>
      <c r="AI417" s="76" t="n">
        <f aca="false">IF(ISERROR(VLOOKUP($P417,Member_Tab,4,FALSE())),0,(VLOOKUP($P417,Member_Tab,4,FALSE()) * 0.2 * AI$7) * (IF(AND(AI$5 &gt;= VLOOKUP($P417,Member_Tab,6,FALSE()), AI$5 &lt;= VLOOKUP($P417,Member_Tab,7,FALSE())),1,0))  )</f>
        <v>0</v>
      </c>
      <c r="AJ417" s="76" t="n">
        <f aca="false">IF(ISERROR(VLOOKUP($P417,Member_Tab,4,FALSE())),0,(VLOOKUP($P417,Member_Tab,4,FALSE()) * 0.2 * AJ$7) * (IF(AND(AJ$5 &gt;= VLOOKUP($P417,Member_Tab,6,FALSE()), AJ$5 &lt;= VLOOKUP($P417,Member_Tab,7,FALSE())),1,0))  )</f>
        <v>0</v>
      </c>
      <c r="AK417" s="76" t="n">
        <f aca="false">IF(ISERROR(VLOOKUP($P417,Member_Tab,4,FALSE())),0,(VLOOKUP($P417,Member_Tab,4,FALSE()) * 0.2 * AK$7) * (IF(AND(AK$5 &gt;= VLOOKUP($P417,Member_Tab,6,FALSE()), AK$5 &lt;= VLOOKUP($P417,Member_Tab,7,FALSE())),1,0))  )</f>
        <v>0</v>
      </c>
      <c r="AL417" s="76" t="n">
        <f aca="false">IF(ISERROR(VLOOKUP($P417,Member_Tab,4,FALSE())),0,(VLOOKUP($P417,Member_Tab,4,FALSE()) * 0.2 * AL$7) * (IF(AND(AL$5 &gt;= VLOOKUP($P417,Member_Tab,6,FALSE()), AL$5 &lt;= VLOOKUP($P417,Member_Tab,7,FALSE())),1,0))  )</f>
        <v>0</v>
      </c>
      <c r="AM417" s="76" t="n">
        <f aca="false">IF(ISERROR(VLOOKUP($P417,Member_Tab,4,FALSE())),0,(VLOOKUP($P417,Member_Tab,4,FALSE()) * 0.2 * AM$7) * (IF(AND(AM$5 &gt;= VLOOKUP($P417,Member_Tab,6,FALSE()), AM$5 &lt;= VLOOKUP($P417,Member_Tab,7,FALSE())),1,0))  )</f>
        <v>0</v>
      </c>
      <c r="AN417" s="76" t="n">
        <f aca="false">IF(ISERROR(VLOOKUP($P417,Member_Tab,4,FALSE())),0,(VLOOKUP($P417,Member_Tab,4,FALSE()) * 0.2 * AN$7) * (IF(AND(AN$5 &gt;= VLOOKUP($P417,Member_Tab,6,FALSE()), AN$5 &lt;= VLOOKUP($P417,Member_Tab,7,FALSE())),1,0))  )</f>
        <v>0</v>
      </c>
      <c r="AO417" s="76" t="n">
        <f aca="false">IF(ISERROR(VLOOKUP($P417,Member_Tab,4,FALSE())),0,(VLOOKUP($P417,Member_Tab,4,FALSE()) * 0.2 * AO$7) * (IF(AND(AO$5 &gt;= VLOOKUP($P417,Member_Tab,6,FALSE()), AO$5 &lt;= VLOOKUP($P417,Member_Tab,7,FALSE())),1,0))  )</f>
        <v>0</v>
      </c>
      <c r="AP417" s="76" t="n">
        <f aca="false">IF(ISERROR(VLOOKUP($P417,Member_Tab,4,FALSE())),0,(VLOOKUP($P417,Member_Tab,4,FALSE()) * 0.2 * AP$7) * (IF(AND(AP$5 &gt;= VLOOKUP($P417,Member_Tab,6,FALSE()), AP$5 &lt;= VLOOKUP($P417,Member_Tab,7,FALSE())),1,0))  )</f>
        <v>0</v>
      </c>
      <c r="AQ417" s="76" t="n">
        <f aca="false">IF(ISERROR(VLOOKUP($P417,Member_Tab,4,FALSE())),0,(VLOOKUP($P417,Member_Tab,4,FALSE()) * 0.2 * AQ$7) * (IF(AND(AQ$5 &gt;= VLOOKUP($P417,Member_Tab,6,FALSE()), AQ$5 &lt;= VLOOKUP($P417,Member_Tab,7,FALSE())),1,0))  )</f>
        <v>0</v>
      </c>
      <c r="AR417" s="76" t="n">
        <f aca="false">IF(ISERROR(VLOOKUP($P417,Member_Tab,4,FALSE())),0,(VLOOKUP($P417,Member_Tab,4,FALSE()) * 0.2 * AR$7) * (IF(AND(AR$5 &gt;= VLOOKUP($P417,Member_Tab,6,FALSE()), AR$5 &lt;= VLOOKUP($P417,Member_Tab,7,FALSE())),1,0))  )</f>
        <v>0</v>
      </c>
      <c r="AS417" s="76" t="n">
        <f aca="false">IF(ISERROR(VLOOKUP($P417,Member_Tab,4,FALSE())),0,(VLOOKUP($P417,Member_Tab,4,FALSE()) * 0.2 * AS$7) * (IF(AND(AS$5 &gt;= VLOOKUP($P417,Member_Tab,6,FALSE()), AS$5 &lt;= VLOOKUP($P417,Member_Tab,7,FALSE())),1,0))  )</f>
        <v>0</v>
      </c>
      <c r="AT417" s="76" t="n">
        <f aca="false">IF(ISERROR(VLOOKUP($P417,Member_Tab,4,FALSE())),0,(VLOOKUP($P417,Member_Tab,4,FALSE()) * 0.2 * AT$7) * (IF(AND(AT$5 &gt;= VLOOKUP($P417,Member_Tab,6,FALSE()), AT$5 &lt;= VLOOKUP($P417,Member_Tab,7,FALSE())),1,0))  )</f>
        <v>0</v>
      </c>
      <c r="AU417" s="76" t="n">
        <f aca="false">IF(ISERROR(VLOOKUP($P417,Member_Tab,4,FALSE())),0,(VLOOKUP($P417,Member_Tab,4,FALSE()) * 0.2 * AU$7) * (IF(AND(AU$5 &gt;= VLOOKUP($P417,Member_Tab,6,FALSE()), AU$5 &lt;= VLOOKUP($P417,Member_Tab,7,FALSE())),1,0))  )</f>
        <v>0</v>
      </c>
      <c r="AV417" s="76" t="n">
        <f aca="false">IF(ISERROR(VLOOKUP($P417,Member_Tab,4,FALSE())),0,(VLOOKUP($P417,Member_Tab,4,FALSE()) * 0.2 * AV$7) * (IF(AND(AV$5 &gt;= VLOOKUP($P417,Member_Tab,6,FALSE()), AV$5 &lt;= VLOOKUP($P417,Member_Tab,7,FALSE())),1,0))  )</f>
        <v>0</v>
      </c>
      <c r="AW417" s="76" t="n">
        <f aca="false">IF(ISERROR(VLOOKUP($P417,Member_Tab,4,FALSE())),0,(VLOOKUP($P417,Member_Tab,4,FALSE()) * 0.2 * AW$7) * (IF(AND(AW$5 &gt;= VLOOKUP($P417,Member_Tab,6,FALSE()), AW$5 &lt;= VLOOKUP($P417,Member_Tab,7,FALSE())),1,0))  )</f>
        <v>0</v>
      </c>
      <c r="AX417" s="76" t="n">
        <f aca="false">IF(ISERROR(VLOOKUP($P417,Member_Tab,4,FALSE())),0,(VLOOKUP($P417,Member_Tab,4,FALSE()) * 0.2 * AX$7) * (IF(AND(AX$5 &gt;= VLOOKUP($P417,Member_Tab,6,FALSE()), AX$5 &lt;= VLOOKUP($P417,Member_Tab,7,FALSE())),1,0))  )</f>
        <v>0</v>
      </c>
      <c r="AY417" s="76" t="n">
        <f aca="false">IF(ISERROR(VLOOKUP($P417,Member_Tab,4,FALSE())),0,(VLOOKUP($P417,Member_Tab,4,FALSE()) * 0.2 * AY$7) * (IF(AND(AY$5 &gt;= VLOOKUP($P417,Member_Tab,6,FALSE()), AY$5 &lt;= VLOOKUP($P417,Member_Tab,7,FALSE())),1,0))  )</f>
        <v>0</v>
      </c>
      <c r="AZ417" s="76" t="n">
        <f aca="false">IF(ISERROR(VLOOKUP($P417,Member_Tab,4,FALSE())),0,(VLOOKUP($P417,Member_Tab,4,FALSE()) * 0.2 * AZ$7) * (IF(AND(AZ$5 &gt;= VLOOKUP($P417,Member_Tab,6,FALSE()), AZ$5 &lt;= VLOOKUP($P417,Member_Tab,7,FALSE())),1,0))  )</f>
        <v>0</v>
      </c>
      <c r="BA417" s="76" t="n">
        <f aca="false">IF(ISERROR(VLOOKUP($P417,Member_Tab,4,FALSE())),0,(VLOOKUP($P417,Member_Tab,4,FALSE()) * 0.2 * BA$7) * (IF(AND(BA$5 &gt;= VLOOKUP($P417,Member_Tab,6,FALSE()), BA$5 &lt;= VLOOKUP($P417,Member_Tab,7,FALSE())),1,0))  )</f>
        <v>0</v>
      </c>
      <c r="BB417" s="76" t="n">
        <f aca="false">IF(ISERROR(VLOOKUP($P417,Member_Tab,4,FALSE())),0,(VLOOKUP($P417,Member_Tab,4,FALSE()) * 0.2 * BB$7) * (IF(AND(BB$5 &gt;= VLOOKUP($P417,Member_Tab,6,FALSE()), BB$5 &lt;= VLOOKUP($P417,Member_Tab,7,FALSE())),1,0))  )</f>
        <v>0</v>
      </c>
    </row>
    <row r="418" s="173" customFormat="true" ht="15" hidden="true" customHeight="false" outlineLevel="1" collapsed="false">
      <c r="E418" s="40"/>
      <c r="K418" s="40"/>
      <c r="L418" s="40"/>
      <c r="M418" s="40"/>
      <c r="N418" s="40"/>
      <c r="P418" s="177" t="n">
        <f aca="false">P281</f>
        <v>0</v>
      </c>
      <c r="Q418" s="40"/>
      <c r="R418" s="178"/>
      <c r="S418" s="76" t="n">
        <f aca="false">IF(ISERROR(VLOOKUP($P418,Member_Tab,4,FALSE())),0,(VLOOKUP($P418,Member_Tab,4,FALSE()) * 0.2 * S$7) * (IF(AND(S$5 &gt;= VLOOKUP($P418,Member_Tab,6,FALSE()), S$5 &lt;= VLOOKUP($P418,Member_Tab,7,FALSE())),1,0))  )</f>
        <v>0</v>
      </c>
      <c r="T418" s="76" t="n">
        <f aca="false">IF(ISERROR(VLOOKUP($P418,Member_Tab,4,FALSE())),0,(VLOOKUP($P418,Member_Tab,4,FALSE()) * 0.2 * T$7) * (IF(AND(T$5 &gt;= VLOOKUP($P418,Member_Tab,6,FALSE()), T$5 &lt;= VLOOKUP($P418,Member_Tab,7,FALSE())),1,0))  )</f>
        <v>0</v>
      </c>
      <c r="U418" s="76" t="n">
        <f aca="false">IF(ISERROR(VLOOKUP($P418,Member_Tab,4,FALSE())),0,(VLOOKUP($P418,Member_Tab,4,FALSE()) * 0.2 * U$7) * (IF(AND(U$5 &gt;= VLOOKUP($P418,Member_Tab,6,FALSE()), U$5 &lt;= VLOOKUP($P418,Member_Tab,7,FALSE())),1,0))  )</f>
        <v>0</v>
      </c>
      <c r="V418" s="76" t="n">
        <f aca="false">IF(ISERROR(VLOOKUP($P418,Member_Tab,4,FALSE())),0,(VLOOKUP($P418,Member_Tab,4,FALSE()) * 0.2 * V$7) * (IF(AND(V$5 &gt;= VLOOKUP($P418,Member_Tab,6,FALSE()), V$5 &lt;= VLOOKUP($P418,Member_Tab,7,FALSE())),1,0))  )</f>
        <v>0</v>
      </c>
      <c r="W418" s="76" t="n">
        <f aca="false">IF(ISERROR(VLOOKUP($P418,Member_Tab,4,FALSE())),0,(VLOOKUP($P418,Member_Tab,4,FALSE()) * 0.2 * W$7) * (IF(AND(W$5 &gt;= VLOOKUP($P418,Member_Tab,6,FALSE()), W$5 &lt;= VLOOKUP($P418,Member_Tab,7,FALSE())),1,0))  )</f>
        <v>0</v>
      </c>
      <c r="X418" s="76" t="n">
        <f aca="false">IF(ISERROR(VLOOKUP($P418,Member_Tab,4,FALSE())),0,(VLOOKUP($P418,Member_Tab,4,FALSE()) * 0.2 * X$7) * (IF(AND(X$5 &gt;= VLOOKUP($P418,Member_Tab,6,FALSE()), X$5 &lt;= VLOOKUP($P418,Member_Tab,7,FALSE())),1,0))  )</f>
        <v>0</v>
      </c>
      <c r="Y418" s="76" t="n">
        <f aca="false">IF(ISERROR(VLOOKUP($P418,Member_Tab,4,FALSE())),0,(VLOOKUP($P418,Member_Tab,4,FALSE()) * 0.2 * Y$7) * (IF(AND(Y$5 &gt;= VLOOKUP($P418,Member_Tab,6,FALSE()), Y$5 &lt;= VLOOKUP($P418,Member_Tab,7,FALSE())),1,0))  )</f>
        <v>0</v>
      </c>
      <c r="Z418" s="76" t="n">
        <f aca="false">IF(ISERROR(VLOOKUP($P418,Member_Tab,4,FALSE())),0,(VLOOKUP($P418,Member_Tab,4,FALSE()) * 0.2 * Z$7) * (IF(AND(Z$5 &gt;= VLOOKUP($P418,Member_Tab,6,FALSE()), Z$5 &lt;= VLOOKUP($P418,Member_Tab,7,FALSE())),1,0))  )</f>
        <v>0</v>
      </c>
      <c r="AA418" s="76" t="n">
        <f aca="false">IF(ISERROR(VLOOKUP($P418,Member_Tab,4,FALSE())),0,(VLOOKUP($P418,Member_Tab,4,FALSE()) * 0.2 * AA$7) * (IF(AND(AA$5 &gt;= VLOOKUP($P418,Member_Tab,6,FALSE()), AA$5 &lt;= VLOOKUP($P418,Member_Tab,7,FALSE())),1,0))  )</f>
        <v>0</v>
      </c>
      <c r="AB418" s="76" t="n">
        <f aca="false">IF(ISERROR(VLOOKUP($P418,Member_Tab,4,FALSE())),0,(VLOOKUP($P418,Member_Tab,4,FALSE()) * 0.2 * AB$7) * (IF(AND(AB$5 &gt;= VLOOKUP($P418,Member_Tab,6,FALSE()), AB$5 &lt;= VLOOKUP($P418,Member_Tab,7,FALSE())),1,0))  )</f>
        <v>0</v>
      </c>
      <c r="AC418" s="76" t="n">
        <f aca="false">IF(ISERROR(VLOOKUP($P418,Member_Tab,4,FALSE())),0,(VLOOKUP($P418,Member_Tab,4,FALSE()) * 0.2 * AC$7) * (IF(AND(AC$5 &gt;= VLOOKUP($P418,Member_Tab,6,FALSE()), AC$5 &lt;= VLOOKUP($P418,Member_Tab,7,FALSE())),1,0))  )</f>
        <v>0</v>
      </c>
      <c r="AD418" s="76" t="n">
        <f aca="false">IF(ISERROR(VLOOKUP($P418,Member_Tab,4,FALSE())),0,(VLOOKUP($P418,Member_Tab,4,FALSE()) * 0.2 * AD$7) * (IF(AND(AD$5 &gt;= VLOOKUP($P418,Member_Tab,6,FALSE()), AD$5 &lt;= VLOOKUP($P418,Member_Tab,7,FALSE())),1,0))  )</f>
        <v>0</v>
      </c>
      <c r="AE418" s="76" t="n">
        <f aca="false">IF(ISERROR(VLOOKUP($P418,Member_Tab,4,FALSE())),0,(VLOOKUP($P418,Member_Tab,4,FALSE()) * 0.2 * AE$7) * (IF(AND(AE$5 &gt;= VLOOKUP($P418,Member_Tab,6,FALSE()), AE$5 &lt;= VLOOKUP($P418,Member_Tab,7,FALSE())),1,0))  )</f>
        <v>0</v>
      </c>
      <c r="AF418" s="76" t="n">
        <f aca="false">IF(ISERROR(VLOOKUP($P418,Member_Tab,4,FALSE())),0,(VLOOKUP($P418,Member_Tab,4,FALSE()) * 0.2 * AF$7) * (IF(AND(AF$5 &gt;= VLOOKUP($P418,Member_Tab,6,FALSE()), AF$5 &lt;= VLOOKUP($P418,Member_Tab,7,FALSE())),1,0))  )</f>
        <v>0</v>
      </c>
      <c r="AG418" s="76" t="n">
        <f aca="false">IF(ISERROR(VLOOKUP($P418,Member_Tab,4,FALSE())),0,(VLOOKUP($P418,Member_Tab,4,FALSE()) * 0.2 * AG$7) * (IF(AND(AG$5 &gt;= VLOOKUP($P418,Member_Tab,6,FALSE()), AG$5 &lt;= VLOOKUP($P418,Member_Tab,7,FALSE())),1,0))  )</f>
        <v>0</v>
      </c>
      <c r="AH418" s="76" t="n">
        <f aca="false">IF(ISERROR(VLOOKUP($P418,Member_Tab,4,FALSE())),0,(VLOOKUP($P418,Member_Tab,4,FALSE()) * 0.2 * AH$7) * (IF(AND(AH$5 &gt;= VLOOKUP($P418,Member_Tab,6,FALSE()), AH$5 &lt;= VLOOKUP($P418,Member_Tab,7,FALSE())),1,0))  )</f>
        <v>0</v>
      </c>
      <c r="AI418" s="76" t="n">
        <f aca="false">IF(ISERROR(VLOOKUP($P418,Member_Tab,4,FALSE())),0,(VLOOKUP($P418,Member_Tab,4,FALSE()) * 0.2 * AI$7) * (IF(AND(AI$5 &gt;= VLOOKUP($P418,Member_Tab,6,FALSE()), AI$5 &lt;= VLOOKUP($P418,Member_Tab,7,FALSE())),1,0))  )</f>
        <v>0</v>
      </c>
      <c r="AJ418" s="76" t="n">
        <f aca="false">IF(ISERROR(VLOOKUP($P418,Member_Tab,4,FALSE())),0,(VLOOKUP($P418,Member_Tab,4,FALSE()) * 0.2 * AJ$7) * (IF(AND(AJ$5 &gt;= VLOOKUP($P418,Member_Tab,6,FALSE()), AJ$5 &lt;= VLOOKUP($P418,Member_Tab,7,FALSE())),1,0))  )</f>
        <v>0</v>
      </c>
      <c r="AK418" s="76" t="n">
        <f aca="false">IF(ISERROR(VLOOKUP($P418,Member_Tab,4,FALSE())),0,(VLOOKUP($P418,Member_Tab,4,FALSE()) * 0.2 * AK$7) * (IF(AND(AK$5 &gt;= VLOOKUP($P418,Member_Tab,6,FALSE()), AK$5 &lt;= VLOOKUP($P418,Member_Tab,7,FALSE())),1,0))  )</f>
        <v>0</v>
      </c>
      <c r="AL418" s="76" t="n">
        <f aca="false">IF(ISERROR(VLOOKUP($P418,Member_Tab,4,FALSE())),0,(VLOOKUP($P418,Member_Tab,4,FALSE()) * 0.2 * AL$7) * (IF(AND(AL$5 &gt;= VLOOKUP($P418,Member_Tab,6,FALSE()), AL$5 &lt;= VLOOKUP($P418,Member_Tab,7,FALSE())),1,0))  )</f>
        <v>0</v>
      </c>
      <c r="AM418" s="76" t="n">
        <f aca="false">IF(ISERROR(VLOOKUP($P418,Member_Tab,4,FALSE())),0,(VLOOKUP($P418,Member_Tab,4,FALSE()) * 0.2 * AM$7) * (IF(AND(AM$5 &gt;= VLOOKUP($P418,Member_Tab,6,FALSE()), AM$5 &lt;= VLOOKUP($P418,Member_Tab,7,FALSE())),1,0))  )</f>
        <v>0</v>
      </c>
      <c r="AN418" s="76" t="n">
        <f aca="false">IF(ISERROR(VLOOKUP($P418,Member_Tab,4,FALSE())),0,(VLOOKUP($P418,Member_Tab,4,FALSE()) * 0.2 * AN$7) * (IF(AND(AN$5 &gt;= VLOOKUP($P418,Member_Tab,6,FALSE()), AN$5 &lt;= VLOOKUP($P418,Member_Tab,7,FALSE())),1,0))  )</f>
        <v>0</v>
      </c>
      <c r="AO418" s="76" t="n">
        <f aca="false">IF(ISERROR(VLOOKUP($P418,Member_Tab,4,FALSE())),0,(VLOOKUP($P418,Member_Tab,4,FALSE()) * 0.2 * AO$7) * (IF(AND(AO$5 &gt;= VLOOKUP($P418,Member_Tab,6,FALSE()), AO$5 &lt;= VLOOKUP($P418,Member_Tab,7,FALSE())),1,0))  )</f>
        <v>0</v>
      </c>
      <c r="AP418" s="76" t="n">
        <f aca="false">IF(ISERROR(VLOOKUP($P418,Member_Tab,4,FALSE())),0,(VLOOKUP($P418,Member_Tab,4,FALSE()) * 0.2 * AP$7) * (IF(AND(AP$5 &gt;= VLOOKUP($P418,Member_Tab,6,FALSE()), AP$5 &lt;= VLOOKUP($P418,Member_Tab,7,FALSE())),1,0))  )</f>
        <v>0</v>
      </c>
      <c r="AQ418" s="76" t="n">
        <f aca="false">IF(ISERROR(VLOOKUP($P418,Member_Tab,4,FALSE())),0,(VLOOKUP($P418,Member_Tab,4,FALSE()) * 0.2 * AQ$7) * (IF(AND(AQ$5 &gt;= VLOOKUP($P418,Member_Tab,6,FALSE()), AQ$5 &lt;= VLOOKUP($P418,Member_Tab,7,FALSE())),1,0))  )</f>
        <v>0</v>
      </c>
      <c r="AR418" s="76" t="n">
        <f aca="false">IF(ISERROR(VLOOKUP($P418,Member_Tab,4,FALSE())),0,(VLOOKUP($P418,Member_Tab,4,FALSE()) * 0.2 * AR$7) * (IF(AND(AR$5 &gt;= VLOOKUP($P418,Member_Tab,6,FALSE()), AR$5 &lt;= VLOOKUP($P418,Member_Tab,7,FALSE())),1,0))  )</f>
        <v>0</v>
      </c>
      <c r="AS418" s="76" t="n">
        <f aca="false">IF(ISERROR(VLOOKUP($P418,Member_Tab,4,FALSE())),0,(VLOOKUP($P418,Member_Tab,4,FALSE()) * 0.2 * AS$7) * (IF(AND(AS$5 &gt;= VLOOKUP($P418,Member_Tab,6,FALSE()), AS$5 &lt;= VLOOKUP($P418,Member_Tab,7,FALSE())),1,0))  )</f>
        <v>0</v>
      </c>
      <c r="AT418" s="76" t="n">
        <f aca="false">IF(ISERROR(VLOOKUP($P418,Member_Tab,4,FALSE())),0,(VLOOKUP($P418,Member_Tab,4,FALSE()) * 0.2 * AT$7) * (IF(AND(AT$5 &gt;= VLOOKUP($P418,Member_Tab,6,FALSE()), AT$5 &lt;= VLOOKUP($P418,Member_Tab,7,FALSE())),1,0))  )</f>
        <v>0</v>
      </c>
      <c r="AU418" s="76" t="n">
        <f aca="false">IF(ISERROR(VLOOKUP($P418,Member_Tab,4,FALSE())),0,(VLOOKUP($P418,Member_Tab,4,FALSE()) * 0.2 * AU$7) * (IF(AND(AU$5 &gt;= VLOOKUP($P418,Member_Tab,6,FALSE()), AU$5 &lt;= VLOOKUP($P418,Member_Tab,7,FALSE())),1,0))  )</f>
        <v>0</v>
      </c>
      <c r="AV418" s="76" t="n">
        <f aca="false">IF(ISERROR(VLOOKUP($P418,Member_Tab,4,FALSE())),0,(VLOOKUP($P418,Member_Tab,4,FALSE()) * 0.2 * AV$7) * (IF(AND(AV$5 &gt;= VLOOKUP($P418,Member_Tab,6,FALSE()), AV$5 &lt;= VLOOKUP($P418,Member_Tab,7,FALSE())),1,0))  )</f>
        <v>0</v>
      </c>
      <c r="AW418" s="76" t="n">
        <f aca="false">IF(ISERROR(VLOOKUP($P418,Member_Tab,4,FALSE())),0,(VLOOKUP($P418,Member_Tab,4,FALSE()) * 0.2 * AW$7) * (IF(AND(AW$5 &gt;= VLOOKUP($P418,Member_Tab,6,FALSE()), AW$5 &lt;= VLOOKUP($P418,Member_Tab,7,FALSE())),1,0))  )</f>
        <v>0</v>
      </c>
      <c r="AX418" s="76" t="n">
        <f aca="false">IF(ISERROR(VLOOKUP($P418,Member_Tab,4,FALSE())),0,(VLOOKUP($P418,Member_Tab,4,FALSE()) * 0.2 * AX$7) * (IF(AND(AX$5 &gt;= VLOOKUP($P418,Member_Tab,6,FALSE()), AX$5 &lt;= VLOOKUP($P418,Member_Tab,7,FALSE())),1,0))  )</f>
        <v>0</v>
      </c>
      <c r="AY418" s="76" t="n">
        <f aca="false">IF(ISERROR(VLOOKUP($P418,Member_Tab,4,FALSE())),0,(VLOOKUP($P418,Member_Tab,4,FALSE()) * 0.2 * AY$7) * (IF(AND(AY$5 &gt;= VLOOKUP($P418,Member_Tab,6,FALSE()), AY$5 &lt;= VLOOKUP($P418,Member_Tab,7,FALSE())),1,0))  )</f>
        <v>0</v>
      </c>
      <c r="AZ418" s="76" t="n">
        <f aca="false">IF(ISERROR(VLOOKUP($P418,Member_Tab,4,FALSE())),0,(VLOOKUP($P418,Member_Tab,4,FALSE()) * 0.2 * AZ$7) * (IF(AND(AZ$5 &gt;= VLOOKUP($P418,Member_Tab,6,FALSE()), AZ$5 &lt;= VLOOKUP($P418,Member_Tab,7,FALSE())),1,0))  )</f>
        <v>0</v>
      </c>
      <c r="BA418" s="76" t="n">
        <f aca="false">IF(ISERROR(VLOOKUP($P418,Member_Tab,4,FALSE())),0,(VLOOKUP($P418,Member_Tab,4,FALSE()) * 0.2 * BA$7) * (IF(AND(BA$5 &gt;= VLOOKUP($P418,Member_Tab,6,FALSE()), BA$5 &lt;= VLOOKUP($P418,Member_Tab,7,FALSE())),1,0))  )</f>
        <v>0</v>
      </c>
      <c r="BB418" s="76" t="n">
        <f aca="false">IF(ISERROR(VLOOKUP($P418,Member_Tab,4,FALSE())),0,(VLOOKUP($P418,Member_Tab,4,FALSE()) * 0.2 * BB$7) * (IF(AND(BB$5 &gt;= VLOOKUP($P418,Member_Tab,6,FALSE()), BB$5 &lt;= VLOOKUP($P418,Member_Tab,7,FALSE())),1,0))  )</f>
        <v>0</v>
      </c>
    </row>
    <row r="419" s="173" customFormat="true" ht="15" hidden="true" customHeight="false" outlineLevel="1" collapsed="false">
      <c r="E419" s="40"/>
      <c r="K419" s="40"/>
      <c r="L419" s="40"/>
      <c r="M419" s="40"/>
      <c r="N419" s="40"/>
      <c r="P419" s="177" t="n">
        <f aca="false">P282</f>
        <v>0</v>
      </c>
      <c r="Q419" s="40"/>
      <c r="R419" s="178"/>
      <c r="S419" s="76" t="n">
        <f aca="false">IF(ISERROR(VLOOKUP($P419,Member_Tab,4,FALSE())),0,(VLOOKUP($P419,Member_Tab,4,FALSE()) * 0.2 * S$7) * (IF(AND(S$5 &gt;= VLOOKUP($P419,Member_Tab,6,FALSE()), S$5 &lt;= VLOOKUP($P419,Member_Tab,7,FALSE())),1,0))  )</f>
        <v>0</v>
      </c>
      <c r="T419" s="76" t="n">
        <f aca="false">IF(ISERROR(VLOOKUP($P419,Member_Tab,4,FALSE())),0,(VLOOKUP($P419,Member_Tab,4,FALSE()) * 0.2 * T$7) * (IF(AND(T$5 &gt;= VLOOKUP($P419,Member_Tab,6,FALSE()), T$5 &lt;= VLOOKUP($P419,Member_Tab,7,FALSE())),1,0))  )</f>
        <v>0</v>
      </c>
      <c r="U419" s="76" t="n">
        <f aca="false">IF(ISERROR(VLOOKUP($P419,Member_Tab,4,FALSE())),0,(VLOOKUP($P419,Member_Tab,4,FALSE()) * 0.2 * U$7) * (IF(AND(U$5 &gt;= VLOOKUP($P419,Member_Tab,6,FALSE()), U$5 &lt;= VLOOKUP($P419,Member_Tab,7,FALSE())),1,0))  )</f>
        <v>0</v>
      </c>
      <c r="V419" s="76" t="n">
        <f aca="false">IF(ISERROR(VLOOKUP($P419,Member_Tab,4,FALSE())),0,(VLOOKUP($P419,Member_Tab,4,FALSE()) * 0.2 * V$7) * (IF(AND(V$5 &gt;= VLOOKUP($P419,Member_Tab,6,FALSE()), V$5 &lt;= VLOOKUP($P419,Member_Tab,7,FALSE())),1,0))  )</f>
        <v>0</v>
      </c>
      <c r="W419" s="76" t="n">
        <f aca="false">IF(ISERROR(VLOOKUP($P419,Member_Tab,4,FALSE())),0,(VLOOKUP($P419,Member_Tab,4,FALSE()) * 0.2 * W$7) * (IF(AND(W$5 &gt;= VLOOKUP($P419,Member_Tab,6,FALSE()), W$5 &lt;= VLOOKUP($P419,Member_Tab,7,FALSE())),1,0))  )</f>
        <v>0</v>
      </c>
      <c r="X419" s="76" t="n">
        <f aca="false">IF(ISERROR(VLOOKUP($P419,Member_Tab,4,FALSE())),0,(VLOOKUP($P419,Member_Tab,4,FALSE()) * 0.2 * X$7) * (IF(AND(X$5 &gt;= VLOOKUP($P419,Member_Tab,6,FALSE()), X$5 &lt;= VLOOKUP($P419,Member_Tab,7,FALSE())),1,0))  )</f>
        <v>0</v>
      </c>
      <c r="Y419" s="76" t="n">
        <f aca="false">IF(ISERROR(VLOOKUP($P419,Member_Tab,4,FALSE())),0,(VLOOKUP($P419,Member_Tab,4,FALSE()) * 0.2 * Y$7) * (IF(AND(Y$5 &gt;= VLOOKUP($P419,Member_Tab,6,FALSE()), Y$5 &lt;= VLOOKUP($P419,Member_Tab,7,FALSE())),1,0))  )</f>
        <v>0</v>
      </c>
      <c r="Z419" s="76" t="n">
        <f aca="false">IF(ISERROR(VLOOKUP($P419,Member_Tab,4,FALSE())),0,(VLOOKUP($P419,Member_Tab,4,FALSE()) * 0.2 * Z$7) * (IF(AND(Z$5 &gt;= VLOOKUP($P419,Member_Tab,6,FALSE()), Z$5 &lt;= VLOOKUP($P419,Member_Tab,7,FALSE())),1,0))  )</f>
        <v>0</v>
      </c>
      <c r="AA419" s="76" t="n">
        <f aca="false">IF(ISERROR(VLOOKUP($P419,Member_Tab,4,FALSE())),0,(VLOOKUP($P419,Member_Tab,4,FALSE()) * 0.2 * AA$7) * (IF(AND(AA$5 &gt;= VLOOKUP($P419,Member_Tab,6,FALSE()), AA$5 &lt;= VLOOKUP($P419,Member_Tab,7,FALSE())),1,0))  )</f>
        <v>0</v>
      </c>
      <c r="AB419" s="76" t="n">
        <f aca="false">IF(ISERROR(VLOOKUP($P419,Member_Tab,4,FALSE())),0,(VLOOKUP($P419,Member_Tab,4,FALSE()) * 0.2 * AB$7) * (IF(AND(AB$5 &gt;= VLOOKUP($P419,Member_Tab,6,FALSE()), AB$5 &lt;= VLOOKUP($P419,Member_Tab,7,FALSE())),1,0))  )</f>
        <v>0</v>
      </c>
      <c r="AC419" s="76" t="n">
        <f aca="false">IF(ISERROR(VLOOKUP($P419,Member_Tab,4,FALSE())),0,(VLOOKUP($P419,Member_Tab,4,FALSE()) * 0.2 * AC$7) * (IF(AND(AC$5 &gt;= VLOOKUP($P419,Member_Tab,6,FALSE()), AC$5 &lt;= VLOOKUP($P419,Member_Tab,7,FALSE())),1,0))  )</f>
        <v>0</v>
      </c>
      <c r="AD419" s="76" t="n">
        <f aca="false">IF(ISERROR(VLOOKUP($P419,Member_Tab,4,FALSE())),0,(VLOOKUP($P419,Member_Tab,4,FALSE()) * 0.2 * AD$7) * (IF(AND(AD$5 &gt;= VLOOKUP($P419,Member_Tab,6,FALSE()), AD$5 &lt;= VLOOKUP($P419,Member_Tab,7,FALSE())),1,0))  )</f>
        <v>0</v>
      </c>
      <c r="AE419" s="76" t="n">
        <f aca="false">IF(ISERROR(VLOOKUP($P419,Member_Tab,4,FALSE())),0,(VLOOKUP($P419,Member_Tab,4,FALSE()) * 0.2 * AE$7) * (IF(AND(AE$5 &gt;= VLOOKUP($P419,Member_Tab,6,FALSE()), AE$5 &lt;= VLOOKUP($P419,Member_Tab,7,FALSE())),1,0))  )</f>
        <v>0</v>
      </c>
      <c r="AF419" s="76" t="n">
        <f aca="false">IF(ISERROR(VLOOKUP($P419,Member_Tab,4,FALSE())),0,(VLOOKUP($P419,Member_Tab,4,FALSE()) * 0.2 * AF$7) * (IF(AND(AF$5 &gt;= VLOOKUP($P419,Member_Tab,6,FALSE()), AF$5 &lt;= VLOOKUP($P419,Member_Tab,7,FALSE())),1,0))  )</f>
        <v>0</v>
      </c>
      <c r="AG419" s="76" t="n">
        <f aca="false">IF(ISERROR(VLOOKUP($P419,Member_Tab,4,FALSE())),0,(VLOOKUP($P419,Member_Tab,4,FALSE()) * 0.2 * AG$7) * (IF(AND(AG$5 &gt;= VLOOKUP($P419,Member_Tab,6,FALSE()), AG$5 &lt;= VLOOKUP($P419,Member_Tab,7,FALSE())),1,0))  )</f>
        <v>0</v>
      </c>
      <c r="AH419" s="76" t="n">
        <f aca="false">IF(ISERROR(VLOOKUP($P419,Member_Tab,4,FALSE())),0,(VLOOKUP($P419,Member_Tab,4,FALSE()) * 0.2 * AH$7) * (IF(AND(AH$5 &gt;= VLOOKUP($P419,Member_Tab,6,FALSE()), AH$5 &lt;= VLOOKUP($P419,Member_Tab,7,FALSE())),1,0))  )</f>
        <v>0</v>
      </c>
      <c r="AI419" s="76" t="n">
        <f aca="false">IF(ISERROR(VLOOKUP($P419,Member_Tab,4,FALSE())),0,(VLOOKUP($P419,Member_Tab,4,FALSE()) * 0.2 * AI$7) * (IF(AND(AI$5 &gt;= VLOOKUP($P419,Member_Tab,6,FALSE()), AI$5 &lt;= VLOOKUP($P419,Member_Tab,7,FALSE())),1,0))  )</f>
        <v>0</v>
      </c>
      <c r="AJ419" s="76" t="n">
        <f aca="false">IF(ISERROR(VLOOKUP($P419,Member_Tab,4,FALSE())),0,(VLOOKUP($P419,Member_Tab,4,FALSE()) * 0.2 * AJ$7) * (IF(AND(AJ$5 &gt;= VLOOKUP($P419,Member_Tab,6,FALSE()), AJ$5 &lt;= VLOOKUP($P419,Member_Tab,7,FALSE())),1,0))  )</f>
        <v>0</v>
      </c>
      <c r="AK419" s="76" t="n">
        <f aca="false">IF(ISERROR(VLOOKUP($P419,Member_Tab,4,FALSE())),0,(VLOOKUP($P419,Member_Tab,4,FALSE()) * 0.2 * AK$7) * (IF(AND(AK$5 &gt;= VLOOKUP($P419,Member_Tab,6,FALSE()), AK$5 &lt;= VLOOKUP($P419,Member_Tab,7,FALSE())),1,0))  )</f>
        <v>0</v>
      </c>
      <c r="AL419" s="76" t="n">
        <f aca="false">IF(ISERROR(VLOOKUP($P419,Member_Tab,4,FALSE())),0,(VLOOKUP($P419,Member_Tab,4,FALSE()) * 0.2 * AL$7) * (IF(AND(AL$5 &gt;= VLOOKUP($P419,Member_Tab,6,FALSE()), AL$5 &lt;= VLOOKUP($P419,Member_Tab,7,FALSE())),1,0))  )</f>
        <v>0</v>
      </c>
      <c r="AM419" s="76" t="n">
        <f aca="false">IF(ISERROR(VLOOKUP($P419,Member_Tab,4,FALSE())),0,(VLOOKUP($P419,Member_Tab,4,FALSE()) * 0.2 * AM$7) * (IF(AND(AM$5 &gt;= VLOOKUP($P419,Member_Tab,6,FALSE()), AM$5 &lt;= VLOOKUP($P419,Member_Tab,7,FALSE())),1,0))  )</f>
        <v>0</v>
      </c>
      <c r="AN419" s="76" t="n">
        <f aca="false">IF(ISERROR(VLOOKUP($P419,Member_Tab,4,FALSE())),0,(VLOOKUP($P419,Member_Tab,4,FALSE()) * 0.2 * AN$7) * (IF(AND(AN$5 &gt;= VLOOKUP($P419,Member_Tab,6,FALSE()), AN$5 &lt;= VLOOKUP($P419,Member_Tab,7,FALSE())),1,0))  )</f>
        <v>0</v>
      </c>
      <c r="AO419" s="76" t="n">
        <f aca="false">IF(ISERROR(VLOOKUP($P419,Member_Tab,4,FALSE())),0,(VLOOKUP($P419,Member_Tab,4,FALSE()) * 0.2 * AO$7) * (IF(AND(AO$5 &gt;= VLOOKUP($P419,Member_Tab,6,FALSE()), AO$5 &lt;= VLOOKUP($P419,Member_Tab,7,FALSE())),1,0))  )</f>
        <v>0</v>
      </c>
      <c r="AP419" s="76" t="n">
        <f aca="false">IF(ISERROR(VLOOKUP($P419,Member_Tab,4,FALSE())),0,(VLOOKUP($P419,Member_Tab,4,FALSE()) * 0.2 * AP$7) * (IF(AND(AP$5 &gt;= VLOOKUP($P419,Member_Tab,6,FALSE()), AP$5 &lt;= VLOOKUP($P419,Member_Tab,7,FALSE())),1,0))  )</f>
        <v>0</v>
      </c>
      <c r="AQ419" s="76" t="n">
        <f aca="false">IF(ISERROR(VLOOKUP($P419,Member_Tab,4,FALSE())),0,(VLOOKUP($P419,Member_Tab,4,FALSE()) * 0.2 * AQ$7) * (IF(AND(AQ$5 &gt;= VLOOKUP($P419,Member_Tab,6,FALSE()), AQ$5 &lt;= VLOOKUP($P419,Member_Tab,7,FALSE())),1,0))  )</f>
        <v>0</v>
      </c>
      <c r="AR419" s="76" t="n">
        <f aca="false">IF(ISERROR(VLOOKUP($P419,Member_Tab,4,FALSE())),0,(VLOOKUP($P419,Member_Tab,4,FALSE()) * 0.2 * AR$7) * (IF(AND(AR$5 &gt;= VLOOKUP($P419,Member_Tab,6,FALSE()), AR$5 &lt;= VLOOKUP($P419,Member_Tab,7,FALSE())),1,0))  )</f>
        <v>0</v>
      </c>
      <c r="AS419" s="76" t="n">
        <f aca="false">IF(ISERROR(VLOOKUP($P419,Member_Tab,4,FALSE())),0,(VLOOKUP($P419,Member_Tab,4,FALSE()) * 0.2 * AS$7) * (IF(AND(AS$5 &gt;= VLOOKUP($P419,Member_Tab,6,FALSE()), AS$5 &lt;= VLOOKUP($P419,Member_Tab,7,FALSE())),1,0))  )</f>
        <v>0</v>
      </c>
      <c r="AT419" s="76" t="n">
        <f aca="false">IF(ISERROR(VLOOKUP($P419,Member_Tab,4,FALSE())),0,(VLOOKUP($P419,Member_Tab,4,FALSE()) * 0.2 * AT$7) * (IF(AND(AT$5 &gt;= VLOOKUP($P419,Member_Tab,6,FALSE()), AT$5 &lt;= VLOOKUP($P419,Member_Tab,7,FALSE())),1,0))  )</f>
        <v>0</v>
      </c>
      <c r="AU419" s="76" t="n">
        <f aca="false">IF(ISERROR(VLOOKUP($P419,Member_Tab,4,FALSE())),0,(VLOOKUP($P419,Member_Tab,4,FALSE()) * 0.2 * AU$7) * (IF(AND(AU$5 &gt;= VLOOKUP($P419,Member_Tab,6,FALSE()), AU$5 &lt;= VLOOKUP($P419,Member_Tab,7,FALSE())),1,0))  )</f>
        <v>0</v>
      </c>
      <c r="AV419" s="76" t="n">
        <f aca="false">IF(ISERROR(VLOOKUP($P419,Member_Tab,4,FALSE())),0,(VLOOKUP($P419,Member_Tab,4,FALSE()) * 0.2 * AV$7) * (IF(AND(AV$5 &gt;= VLOOKUP($P419,Member_Tab,6,FALSE()), AV$5 &lt;= VLOOKUP($P419,Member_Tab,7,FALSE())),1,0))  )</f>
        <v>0</v>
      </c>
      <c r="AW419" s="76" t="n">
        <f aca="false">IF(ISERROR(VLOOKUP($P419,Member_Tab,4,FALSE())),0,(VLOOKUP($P419,Member_Tab,4,FALSE()) * 0.2 * AW$7) * (IF(AND(AW$5 &gt;= VLOOKUP($P419,Member_Tab,6,FALSE()), AW$5 &lt;= VLOOKUP($P419,Member_Tab,7,FALSE())),1,0))  )</f>
        <v>0</v>
      </c>
      <c r="AX419" s="76" t="n">
        <f aca="false">IF(ISERROR(VLOOKUP($P419,Member_Tab,4,FALSE())),0,(VLOOKUP($P419,Member_Tab,4,FALSE()) * 0.2 * AX$7) * (IF(AND(AX$5 &gt;= VLOOKUP($P419,Member_Tab,6,FALSE()), AX$5 &lt;= VLOOKUP($P419,Member_Tab,7,FALSE())),1,0))  )</f>
        <v>0</v>
      </c>
      <c r="AY419" s="76" t="n">
        <f aca="false">IF(ISERROR(VLOOKUP($P419,Member_Tab,4,FALSE())),0,(VLOOKUP($P419,Member_Tab,4,FALSE()) * 0.2 * AY$7) * (IF(AND(AY$5 &gt;= VLOOKUP($P419,Member_Tab,6,FALSE()), AY$5 &lt;= VLOOKUP($P419,Member_Tab,7,FALSE())),1,0))  )</f>
        <v>0</v>
      </c>
      <c r="AZ419" s="76" t="n">
        <f aca="false">IF(ISERROR(VLOOKUP($P419,Member_Tab,4,FALSE())),0,(VLOOKUP($P419,Member_Tab,4,FALSE()) * 0.2 * AZ$7) * (IF(AND(AZ$5 &gt;= VLOOKUP($P419,Member_Tab,6,FALSE()), AZ$5 &lt;= VLOOKUP($P419,Member_Tab,7,FALSE())),1,0))  )</f>
        <v>0</v>
      </c>
      <c r="BA419" s="76" t="n">
        <f aca="false">IF(ISERROR(VLOOKUP($P419,Member_Tab,4,FALSE())),0,(VLOOKUP($P419,Member_Tab,4,FALSE()) * 0.2 * BA$7) * (IF(AND(BA$5 &gt;= VLOOKUP($P419,Member_Tab,6,FALSE()), BA$5 &lt;= VLOOKUP($P419,Member_Tab,7,FALSE())),1,0))  )</f>
        <v>0</v>
      </c>
      <c r="BB419" s="76" t="n">
        <f aca="false">IF(ISERROR(VLOOKUP($P419,Member_Tab,4,FALSE())),0,(VLOOKUP($P419,Member_Tab,4,FALSE()) * 0.2 * BB$7) * (IF(AND(BB$5 &gt;= VLOOKUP($P419,Member_Tab,6,FALSE()), BB$5 &lt;= VLOOKUP($P419,Member_Tab,7,FALSE())),1,0))  )</f>
        <v>0</v>
      </c>
    </row>
    <row r="420" s="173" customFormat="true" ht="15" hidden="true" customHeight="false" outlineLevel="1" collapsed="false">
      <c r="E420" s="40"/>
      <c r="K420" s="40"/>
      <c r="L420" s="40"/>
      <c r="M420" s="40"/>
      <c r="N420" s="40"/>
      <c r="P420" s="177" t="n">
        <f aca="false">P283</f>
        <v>0</v>
      </c>
      <c r="Q420" s="40"/>
      <c r="R420" s="178"/>
      <c r="S420" s="76" t="n">
        <f aca="false">IF(ISERROR(VLOOKUP($P420,Member_Tab,4,FALSE())),0,(VLOOKUP($P420,Member_Tab,4,FALSE()) * 0.2 * S$7) * (IF(AND(S$5 &gt;= VLOOKUP($P420,Member_Tab,6,FALSE()), S$5 &lt;= VLOOKUP($P420,Member_Tab,7,FALSE())),1,0))  )</f>
        <v>0</v>
      </c>
      <c r="T420" s="76" t="n">
        <f aca="false">IF(ISERROR(VLOOKUP($P420,Member_Tab,4,FALSE())),0,(VLOOKUP($P420,Member_Tab,4,FALSE()) * 0.2 * T$7) * (IF(AND(T$5 &gt;= VLOOKUP($P420,Member_Tab,6,FALSE()), T$5 &lt;= VLOOKUP($P420,Member_Tab,7,FALSE())),1,0))  )</f>
        <v>0</v>
      </c>
      <c r="U420" s="76" t="n">
        <f aca="false">IF(ISERROR(VLOOKUP($P420,Member_Tab,4,FALSE())),0,(VLOOKUP($P420,Member_Tab,4,FALSE()) * 0.2 * U$7) * (IF(AND(U$5 &gt;= VLOOKUP($P420,Member_Tab,6,FALSE()), U$5 &lt;= VLOOKUP($P420,Member_Tab,7,FALSE())),1,0))  )</f>
        <v>0</v>
      </c>
      <c r="V420" s="76" t="n">
        <f aca="false">IF(ISERROR(VLOOKUP($P420,Member_Tab,4,FALSE())),0,(VLOOKUP($P420,Member_Tab,4,FALSE()) * 0.2 * V$7) * (IF(AND(V$5 &gt;= VLOOKUP($P420,Member_Tab,6,FALSE()), V$5 &lt;= VLOOKUP($P420,Member_Tab,7,FALSE())),1,0))  )</f>
        <v>0</v>
      </c>
      <c r="W420" s="76" t="n">
        <f aca="false">IF(ISERROR(VLOOKUP($P420,Member_Tab,4,FALSE())),0,(VLOOKUP($P420,Member_Tab,4,FALSE()) * 0.2 * W$7) * (IF(AND(W$5 &gt;= VLOOKUP($P420,Member_Tab,6,FALSE()), W$5 &lt;= VLOOKUP($P420,Member_Tab,7,FALSE())),1,0))  )</f>
        <v>0</v>
      </c>
      <c r="X420" s="76" t="n">
        <f aca="false">IF(ISERROR(VLOOKUP($P420,Member_Tab,4,FALSE())),0,(VLOOKUP($P420,Member_Tab,4,FALSE()) * 0.2 * X$7) * (IF(AND(X$5 &gt;= VLOOKUP($P420,Member_Tab,6,FALSE()), X$5 &lt;= VLOOKUP($P420,Member_Tab,7,FALSE())),1,0))  )</f>
        <v>0</v>
      </c>
      <c r="Y420" s="76" t="n">
        <f aca="false">IF(ISERROR(VLOOKUP($P420,Member_Tab,4,FALSE())),0,(VLOOKUP($P420,Member_Tab,4,FALSE()) * 0.2 * Y$7) * (IF(AND(Y$5 &gt;= VLOOKUP($P420,Member_Tab,6,FALSE()), Y$5 &lt;= VLOOKUP($P420,Member_Tab,7,FALSE())),1,0))  )</f>
        <v>0</v>
      </c>
      <c r="Z420" s="76" t="n">
        <f aca="false">IF(ISERROR(VLOOKUP($P420,Member_Tab,4,FALSE())),0,(VLOOKUP($P420,Member_Tab,4,FALSE()) * 0.2 * Z$7) * (IF(AND(Z$5 &gt;= VLOOKUP($P420,Member_Tab,6,FALSE()), Z$5 &lt;= VLOOKUP($P420,Member_Tab,7,FALSE())),1,0))  )</f>
        <v>0</v>
      </c>
      <c r="AA420" s="76" t="n">
        <f aca="false">IF(ISERROR(VLOOKUP($P420,Member_Tab,4,FALSE())),0,(VLOOKUP($P420,Member_Tab,4,FALSE()) * 0.2 * AA$7) * (IF(AND(AA$5 &gt;= VLOOKUP($P420,Member_Tab,6,FALSE()), AA$5 &lt;= VLOOKUP($P420,Member_Tab,7,FALSE())),1,0))  )</f>
        <v>0</v>
      </c>
      <c r="AB420" s="76" t="n">
        <f aca="false">IF(ISERROR(VLOOKUP($P420,Member_Tab,4,FALSE())),0,(VLOOKUP($P420,Member_Tab,4,FALSE()) * 0.2 * AB$7) * (IF(AND(AB$5 &gt;= VLOOKUP($P420,Member_Tab,6,FALSE()), AB$5 &lt;= VLOOKUP($P420,Member_Tab,7,FALSE())),1,0))  )</f>
        <v>0</v>
      </c>
      <c r="AC420" s="76" t="n">
        <f aca="false">IF(ISERROR(VLOOKUP($P420,Member_Tab,4,FALSE())),0,(VLOOKUP($P420,Member_Tab,4,FALSE()) * 0.2 * AC$7) * (IF(AND(AC$5 &gt;= VLOOKUP($P420,Member_Tab,6,FALSE()), AC$5 &lt;= VLOOKUP($P420,Member_Tab,7,FALSE())),1,0))  )</f>
        <v>0</v>
      </c>
      <c r="AD420" s="76" t="n">
        <f aca="false">IF(ISERROR(VLOOKUP($P420,Member_Tab,4,FALSE())),0,(VLOOKUP($P420,Member_Tab,4,FALSE()) * 0.2 * AD$7) * (IF(AND(AD$5 &gt;= VLOOKUP($P420,Member_Tab,6,FALSE()), AD$5 &lt;= VLOOKUP($P420,Member_Tab,7,FALSE())),1,0))  )</f>
        <v>0</v>
      </c>
      <c r="AE420" s="76" t="n">
        <f aca="false">IF(ISERROR(VLOOKUP($P420,Member_Tab,4,FALSE())),0,(VLOOKUP($P420,Member_Tab,4,FALSE()) * 0.2 * AE$7) * (IF(AND(AE$5 &gt;= VLOOKUP($P420,Member_Tab,6,FALSE()), AE$5 &lt;= VLOOKUP($P420,Member_Tab,7,FALSE())),1,0))  )</f>
        <v>0</v>
      </c>
      <c r="AF420" s="76" t="n">
        <f aca="false">IF(ISERROR(VLOOKUP($P420,Member_Tab,4,FALSE())),0,(VLOOKUP($P420,Member_Tab,4,FALSE()) * 0.2 * AF$7) * (IF(AND(AF$5 &gt;= VLOOKUP($P420,Member_Tab,6,FALSE()), AF$5 &lt;= VLOOKUP($P420,Member_Tab,7,FALSE())),1,0))  )</f>
        <v>0</v>
      </c>
      <c r="AG420" s="76" t="n">
        <f aca="false">IF(ISERROR(VLOOKUP($P420,Member_Tab,4,FALSE())),0,(VLOOKUP($P420,Member_Tab,4,FALSE()) * 0.2 * AG$7) * (IF(AND(AG$5 &gt;= VLOOKUP($P420,Member_Tab,6,FALSE()), AG$5 &lt;= VLOOKUP($P420,Member_Tab,7,FALSE())),1,0))  )</f>
        <v>0</v>
      </c>
      <c r="AH420" s="76" t="n">
        <f aca="false">IF(ISERROR(VLOOKUP($P420,Member_Tab,4,FALSE())),0,(VLOOKUP($P420,Member_Tab,4,FALSE()) * 0.2 * AH$7) * (IF(AND(AH$5 &gt;= VLOOKUP($P420,Member_Tab,6,FALSE()), AH$5 &lt;= VLOOKUP($P420,Member_Tab,7,FALSE())),1,0))  )</f>
        <v>0</v>
      </c>
      <c r="AI420" s="76" t="n">
        <f aca="false">IF(ISERROR(VLOOKUP($P420,Member_Tab,4,FALSE())),0,(VLOOKUP($P420,Member_Tab,4,FALSE()) * 0.2 * AI$7) * (IF(AND(AI$5 &gt;= VLOOKUP($P420,Member_Tab,6,FALSE()), AI$5 &lt;= VLOOKUP($P420,Member_Tab,7,FALSE())),1,0))  )</f>
        <v>0</v>
      </c>
      <c r="AJ420" s="76" t="n">
        <f aca="false">IF(ISERROR(VLOOKUP($P420,Member_Tab,4,FALSE())),0,(VLOOKUP($P420,Member_Tab,4,FALSE()) * 0.2 * AJ$7) * (IF(AND(AJ$5 &gt;= VLOOKUP($P420,Member_Tab,6,FALSE()), AJ$5 &lt;= VLOOKUP($P420,Member_Tab,7,FALSE())),1,0))  )</f>
        <v>0</v>
      </c>
      <c r="AK420" s="76" t="n">
        <f aca="false">IF(ISERROR(VLOOKUP($P420,Member_Tab,4,FALSE())),0,(VLOOKUP($P420,Member_Tab,4,FALSE()) * 0.2 * AK$7) * (IF(AND(AK$5 &gt;= VLOOKUP($P420,Member_Tab,6,FALSE()), AK$5 &lt;= VLOOKUP($P420,Member_Tab,7,FALSE())),1,0))  )</f>
        <v>0</v>
      </c>
      <c r="AL420" s="76" t="n">
        <f aca="false">IF(ISERROR(VLOOKUP($P420,Member_Tab,4,FALSE())),0,(VLOOKUP($P420,Member_Tab,4,FALSE()) * 0.2 * AL$7) * (IF(AND(AL$5 &gt;= VLOOKUP($P420,Member_Tab,6,FALSE()), AL$5 &lt;= VLOOKUP($P420,Member_Tab,7,FALSE())),1,0))  )</f>
        <v>0</v>
      </c>
      <c r="AM420" s="76" t="n">
        <f aca="false">IF(ISERROR(VLOOKUP($P420,Member_Tab,4,FALSE())),0,(VLOOKUP($P420,Member_Tab,4,FALSE()) * 0.2 * AM$7) * (IF(AND(AM$5 &gt;= VLOOKUP($P420,Member_Tab,6,FALSE()), AM$5 &lt;= VLOOKUP($P420,Member_Tab,7,FALSE())),1,0))  )</f>
        <v>0</v>
      </c>
      <c r="AN420" s="76" t="n">
        <f aca="false">IF(ISERROR(VLOOKUP($P420,Member_Tab,4,FALSE())),0,(VLOOKUP($P420,Member_Tab,4,FALSE()) * 0.2 * AN$7) * (IF(AND(AN$5 &gt;= VLOOKUP($P420,Member_Tab,6,FALSE()), AN$5 &lt;= VLOOKUP($P420,Member_Tab,7,FALSE())),1,0))  )</f>
        <v>0</v>
      </c>
      <c r="AO420" s="76" t="n">
        <f aca="false">IF(ISERROR(VLOOKUP($P420,Member_Tab,4,FALSE())),0,(VLOOKUP($P420,Member_Tab,4,FALSE()) * 0.2 * AO$7) * (IF(AND(AO$5 &gt;= VLOOKUP($P420,Member_Tab,6,FALSE()), AO$5 &lt;= VLOOKUP($P420,Member_Tab,7,FALSE())),1,0))  )</f>
        <v>0</v>
      </c>
      <c r="AP420" s="76" t="n">
        <f aca="false">IF(ISERROR(VLOOKUP($P420,Member_Tab,4,FALSE())),0,(VLOOKUP($P420,Member_Tab,4,FALSE()) * 0.2 * AP$7) * (IF(AND(AP$5 &gt;= VLOOKUP($P420,Member_Tab,6,FALSE()), AP$5 &lt;= VLOOKUP($P420,Member_Tab,7,FALSE())),1,0))  )</f>
        <v>0</v>
      </c>
      <c r="AQ420" s="76" t="n">
        <f aca="false">IF(ISERROR(VLOOKUP($P420,Member_Tab,4,FALSE())),0,(VLOOKUP($P420,Member_Tab,4,FALSE()) * 0.2 * AQ$7) * (IF(AND(AQ$5 &gt;= VLOOKUP($P420,Member_Tab,6,FALSE()), AQ$5 &lt;= VLOOKUP($P420,Member_Tab,7,FALSE())),1,0))  )</f>
        <v>0</v>
      </c>
      <c r="AR420" s="76" t="n">
        <f aca="false">IF(ISERROR(VLOOKUP($P420,Member_Tab,4,FALSE())),0,(VLOOKUP($P420,Member_Tab,4,FALSE()) * 0.2 * AR$7) * (IF(AND(AR$5 &gt;= VLOOKUP($P420,Member_Tab,6,FALSE()), AR$5 &lt;= VLOOKUP($P420,Member_Tab,7,FALSE())),1,0))  )</f>
        <v>0</v>
      </c>
      <c r="AS420" s="76" t="n">
        <f aca="false">IF(ISERROR(VLOOKUP($P420,Member_Tab,4,FALSE())),0,(VLOOKUP($P420,Member_Tab,4,FALSE()) * 0.2 * AS$7) * (IF(AND(AS$5 &gt;= VLOOKUP($P420,Member_Tab,6,FALSE()), AS$5 &lt;= VLOOKUP($P420,Member_Tab,7,FALSE())),1,0))  )</f>
        <v>0</v>
      </c>
      <c r="AT420" s="76" t="n">
        <f aca="false">IF(ISERROR(VLOOKUP($P420,Member_Tab,4,FALSE())),0,(VLOOKUP($P420,Member_Tab,4,FALSE()) * 0.2 * AT$7) * (IF(AND(AT$5 &gt;= VLOOKUP($P420,Member_Tab,6,FALSE()), AT$5 &lt;= VLOOKUP($P420,Member_Tab,7,FALSE())),1,0))  )</f>
        <v>0</v>
      </c>
      <c r="AU420" s="76" t="n">
        <f aca="false">IF(ISERROR(VLOOKUP($P420,Member_Tab,4,FALSE())),0,(VLOOKUP($P420,Member_Tab,4,FALSE()) * 0.2 * AU$7) * (IF(AND(AU$5 &gt;= VLOOKUP($P420,Member_Tab,6,FALSE()), AU$5 &lt;= VLOOKUP($P420,Member_Tab,7,FALSE())),1,0))  )</f>
        <v>0</v>
      </c>
      <c r="AV420" s="76" t="n">
        <f aca="false">IF(ISERROR(VLOOKUP($P420,Member_Tab,4,FALSE())),0,(VLOOKUP($P420,Member_Tab,4,FALSE()) * 0.2 * AV$7) * (IF(AND(AV$5 &gt;= VLOOKUP($P420,Member_Tab,6,FALSE()), AV$5 &lt;= VLOOKUP($P420,Member_Tab,7,FALSE())),1,0))  )</f>
        <v>0</v>
      </c>
      <c r="AW420" s="76" t="n">
        <f aca="false">IF(ISERROR(VLOOKUP($P420,Member_Tab,4,FALSE())),0,(VLOOKUP($P420,Member_Tab,4,FALSE()) * 0.2 * AW$7) * (IF(AND(AW$5 &gt;= VLOOKUP($P420,Member_Tab,6,FALSE()), AW$5 &lt;= VLOOKUP($P420,Member_Tab,7,FALSE())),1,0))  )</f>
        <v>0</v>
      </c>
      <c r="AX420" s="76" t="n">
        <f aca="false">IF(ISERROR(VLOOKUP($P420,Member_Tab,4,FALSE())),0,(VLOOKUP($P420,Member_Tab,4,FALSE()) * 0.2 * AX$7) * (IF(AND(AX$5 &gt;= VLOOKUP($P420,Member_Tab,6,FALSE()), AX$5 &lt;= VLOOKUP($P420,Member_Tab,7,FALSE())),1,0))  )</f>
        <v>0</v>
      </c>
      <c r="AY420" s="76" t="n">
        <f aca="false">IF(ISERROR(VLOOKUP($P420,Member_Tab,4,FALSE())),0,(VLOOKUP($P420,Member_Tab,4,FALSE()) * 0.2 * AY$7) * (IF(AND(AY$5 &gt;= VLOOKUP($P420,Member_Tab,6,FALSE()), AY$5 &lt;= VLOOKUP($P420,Member_Tab,7,FALSE())),1,0))  )</f>
        <v>0</v>
      </c>
      <c r="AZ420" s="76" t="n">
        <f aca="false">IF(ISERROR(VLOOKUP($P420,Member_Tab,4,FALSE())),0,(VLOOKUP($P420,Member_Tab,4,FALSE()) * 0.2 * AZ$7) * (IF(AND(AZ$5 &gt;= VLOOKUP($P420,Member_Tab,6,FALSE()), AZ$5 &lt;= VLOOKUP($P420,Member_Tab,7,FALSE())),1,0))  )</f>
        <v>0</v>
      </c>
      <c r="BA420" s="76" t="n">
        <f aca="false">IF(ISERROR(VLOOKUP($P420,Member_Tab,4,FALSE())),0,(VLOOKUP($P420,Member_Tab,4,FALSE()) * 0.2 * BA$7) * (IF(AND(BA$5 &gt;= VLOOKUP($P420,Member_Tab,6,FALSE()), BA$5 &lt;= VLOOKUP($P420,Member_Tab,7,FALSE())),1,0))  )</f>
        <v>0</v>
      </c>
      <c r="BB420" s="76" t="n">
        <f aca="false">IF(ISERROR(VLOOKUP($P420,Member_Tab,4,FALSE())),0,(VLOOKUP($P420,Member_Tab,4,FALSE()) * 0.2 * BB$7) * (IF(AND(BB$5 &gt;= VLOOKUP($P420,Member_Tab,6,FALSE()), BB$5 &lt;= VLOOKUP($P420,Member_Tab,7,FALSE())),1,0))  )</f>
        <v>0</v>
      </c>
    </row>
    <row r="421" s="173" customFormat="true" ht="15" hidden="true" customHeight="false" outlineLevel="1" collapsed="false">
      <c r="E421" s="40"/>
      <c r="K421" s="40"/>
      <c r="L421" s="40"/>
      <c r="M421" s="40"/>
      <c r="N421" s="40"/>
      <c r="P421" s="177" t="n">
        <f aca="false">P284</f>
        <v>0</v>
      </c>
      <c r="Q421" s="40"/>
      <c r="R421" s="178"/>
      <c r="S421" s="76" t="n">
        <f aca="false">IF(ISERROR(VLOOKUP($P421,Member_Tab,4,FALSE())),0,(VLOOKUP($P421,Member_Tab,4,FALSE()) * 0.2 * S$7) * (IF(AND(S$5 &gt;= VLOOKUP($P421,Member_Tab,6,FALSE()), S$5 &lt;= VLOOKUP($P421,Member_Tab,7,FALSE())),1,0))  )</f>
        <v>0</v>
      </c>
      <c r="T421" s="76" t="n">
        <f aca="false">IF(ISERROR(VLOOKUP($P421,Member_Tab,4,FALSE())),0,(VLOOKUP($P421,Member_Tab,4,FALSE()) * 0.2 * T$7) * (IF(AND(T$5 &gt;= VLOOKUP($P421,Member_Tab,6,FALSE()), T$5 &lt;= VLOOKUP($P421,Member_Tab,7,FALSE())),1,0))  )</f>
        <v>0</v>
      </c>
      <c r="U421" s="76" t="n">
        <f aca="false">IF(ISERROR(VLOOKUP($P421,Member_Tab,4,FALSE())),0,(VLOOKUP($P421,Member_Tab,4,FALSE()) * 0.2 * U$7) * (IF(AND(U$5 &gt;= VLOOKUP($P421,Member_Tab,6,FALSE()), U$5 &lt;= VLOOKUP($P421,Member_Tab,7,FALSE())),1,0))  )</f>
        <v>0</v>
      </c>
      <c r="V421" s="76" t="n">
        <f aca="false">IF(ISERROR(VLOOKUP($P421,Member_Tab,4,FALSE())),0,(VLOOKUP($P421,Member_Tab,4,FALSE()) * 0.2 * V$7) * (IF(AND(V$5 &gt;= VLOOKUP($P421,Member_Tab,6,FALSE()), V$5 &lt;= VLOOKUP($P421,Member_Tab,7,FALSE())),1,0))  )</f>
        <v>0</v>
      </c>
      <c r="W421" s="76" t="n">
        <f aca="false">IF(ISERROR(VLOOKUP($P421,Member_Tab,4,FALSE())),0,(VLOOKUP($P421,Member_Tab,4,FALSE()) * 0.2 * W$7) * (IF(AND(W$5 &gt;= VLOOKUP($P421,Member_Tab,6,FALSE()), W$5 &lt;= VLOOKUP($P421,Member_Tab,7,FALSE())),1,0))  )</f>
        <v>0</v>
      </c>
      <c r="X421" s="76" t="n">
        <f aca="false">IF(ISERROR(VLOOKUP($P421,Member_Tab,4,FALSE())),0,(VLOOKUP($P421,Member_Tab,4,FALSE()) * 0.2 * X$7) * (IF(AND(X$5 &gt;= VLOOKUP($P421,Member_Tab,6,FALSE()), X$5 &lt;= VLOOKUP($P421,Member_Tab,7,FALSE())),1,0))  )</f>
        <v>0</v>
      </c>
      <c r="Y421" s="76" t="n">
        <f aca="false">IF(ISERROR(VLOOKUP($P421,Member_Tab,4,FALSE())),0,(VLOOKUP($P421,Member_Tab,4,FALSE()) * 0.2 * Y$7) * (IF(AND(Y$5 &gt;= VLOOKUP($P421,Member_Tab,6,FALSE()), Y$5 &lt;= VLOOKUP($P421,Member_Tab,7,FALSE())),1,0))  )</f>
        <v>0</v>
      </c>
      <c r="Z421" s="76" t="n">
        <f aca="false">IF(ISERROR(VLOOKUP($P421,Member_Tab,4,FALSE())),0,(VLOOKUP($P421,Member_Tab,4,FALSE()) * 0.2 * Z$7) * (IF(AND(Z$5 &gt;= VLOOKUP($P421,Member_Tab,6,FALSE()), Z$5 &lt;= VLOOKUP($P421,Member_Tab,7,FALSE())),1,0))  )</f>
        <v>0</v>
      </c>
      <c r="AA421" s="76" t="n">
        <f aca="false">IF(ISERROR(VLOOKUP($P421,Member_Tab,4,FALSE())),0,(VLOOKUP($P421,Member_Tab,4,FALSE()) * 0.2 * AA$7) * (IF(AND(AA$5 &gt;= VLOOKUP($P421,Member_Tab,6,FALSE()), AA$5 &lt;= VLOOKUP($P421,Member_Tab,7,FALSE())),1,0))  )</f>
        <v>0</v>
      </c>
      <c r="AB421" s="76" t="n">
        <f aca="false">IF(ISERROR(VLOOKUP($P421,Member_Tab,4,FALSE())),0,(VLOOKUP($P421,Member_Tab,4,FALSE()) * 0.2 * AB$7) * (IF(AND(AB$5 &gt;= VLOOKUP($P421,Member_Tab,6,FALSE()), AB$5 &lt;= VLOOKUP($P421,Member_Tab,7,FALSE())),1,0))  )</f>
        <v>0</v>
      </c>
      <c r="AC421" s="76" t="n">
        <f aca="false">IF(ISERROR(VLOOKUP($P421,Member_Tab,4,FALSE())),0,(VLOOKUP($P421,Member_Tab,4,FALSE()) * 0.2 * AC$7) * (IF(AND(AC$5 &gt;= VLOOKUP($P421,Member_Tab,6,FALSE()), AC$5 &lt;= VLOOKUP($P421,Member_Tab,7,FALSE())),1,0))  )</f>
        <v>0</v>
      </c>
      <c r="AD421" s="76" t="n">
        <f aca="false">IF(ISERROR(VLOOKUP($P421,Member_Tab,4,FALSE())),0,(VLOOKUP($P421,Member_Tab,4,FALSE()) * 0.2 * AD$7) * (IF(AND(AD$5 &gt;= VLOOKUP($P421,Member_Tab,6,FALSE()), AD$5 &lt;= VLOOKUP($P421,Member_Tab,7,FALSE())),1,0))  )</f>
        <v>0</v>
      </c>
      <c r="AE421" s="76" t="n">
        <f aca="false">IF(ISERROR(VLOOKUP($P421,Member_Tab,4,FALSE())),0,(VLOOKUP($P421,Member_Tab,4,FALSE()) * 0.2 * AE$7) * (IF(AND(AE$5 &gt;= VLOOKUP($P421,Member_Tab,6,FALSE()), AE$5 &lt;= VLOOKUP($P421,Member_Tab,7,FALSE())),1,0))  )</f>
        <v>0</v>
      </c>
      <c r="AF421" s="76" t="n">
        <f aca="false">IF(ISERROR(VLOOKUP($P421,Member_Tab,4,FALSE())),0,(VLOOKUP($P421,Member_Tab,4,FALSE()) * 0.2 * AF$7) * (IF(AND(AF$5 &gt;= VLOOKUP($P421,Member_Tab,6,FALSE()), AF$5 &lt;= VLOOKUP($P421,Member_Tab,7,FALSE())),1,0))  )</f>
        <v>0</v>
      </c>
      <c r="AG421" s="76" t="n">
        <f aca="false">IF(ISERROR(VLOOKUP($P421,Member_Tab,4,FALSE())),0,(VLOOKUP($P421,Member_Tab,4,FALSE()) * 0.2 * AG$7) * (IF(AND(AG$5 &gt;= VLOOKUP($P421,Member_Tab,6,FALSE()), AG$5 &lt;= VLOOKUP($P421,Member_Tab,7,FALSE())),1,0))  )</f>
        <v>0</v>
      </c>
      <c r="AH421" s="76" t="n">
        <f aca="false">IF(ISERROR(VLOOKUP($P421,Member_Tab,4,FALSE())),0,(VLOOKUP($P421,Member_Tab,4,FALSE()) * 0.2 * AH$7) * (IF(AND(AH$5 &gt;= VLOOKUP($P421,Member_Tab,6,FALSE()), AH$5 &lt;= VLOOKUP($P421,Member_Tab,7,FALSE())),1,0))  )</f>
        <v>0</v>
      </c>
      <c r="AI421" s="76" t="n">
        <f aca="false">IF(ISERROR(VLOOKUP($P421,Member_Tab,4,FALSE())),0,(VLOOKUP($P421,Member_Tab,4,FALSE()) * 0.2 * AI$7) * (IF(AND(AI$5 &gt;= VLOOKUP($P421,Member_Tab,6,FALSE()), AI$5 &lt;= VLOOKUP($P421,Member_Tab,7,FALSE())),1,0))  )</f>
        <v>0</v>
      </c>
      <c r="AJ421" s="76" t="n">
        <f aca="false">IF(ISERROR(VLOOKUP($P421,Member_Tab,4,FALSE())),0,(VLOOKUP($P421,Member_Tab,4,FALSE()) * 0.2 * AJ$7) * (IF(AND(AJ$5 &gt;= VLOOKUP($P421,Member_Tab,6,FALSE()), AJ$5 &lt;= VLOOKUP($P421,Member_Tab,7,FALSE())),1,0))  )</f>
        <v>0</v>
      </c>
      <c r="AK421" s="76" t="n">
        <f aca="false">IF(ISERROR(VLOOKUP($P421,Member_Tab,4,FALSE())),0,(VLOOKUP($P421,Member_Tab,4,FALSE()) * 0.2 * AK$7) * (IF(AND(AK$5 &gt;= VLOOKUP($P421,Member_Tab,6,FALSE()), AK$5 &lt;= VLOOKUP($P421,Member_Tab,7,FALSE())),1,0))  )</f>
        <v>0</v>
      </c>
      <c r="AL421" s="76" t="n">
        <f aca="false">IF(ISERROR(VLOOKUP($P421,Member_Tab,4,FALSE())),0,(VLOOKUP($P421,Member_Tab,4,FALSE()) * 0.2 * AL$7) * (IF(AND(AL$5 &gt;= VLOOKUP($P421,Member_Tab,6,FALSE()), AL$5 &lt;= VLOOKUP($P421,Member_Tab,7,FALSE())),1,0))  )</f>
        <v>0</v>
      </c>
      <c r="AM421" s="76" t="n">
        <f aca="false">IF(ISERROR(VLOOKUP($P421,Member_Tab,4,FALSE())),0,(VLOOKUP($P421,Member_Tab,4,FALSE()) * 0.2 * AM$7) * (IF(AND(AM$5 &gt;= VLOOKUP($P421,Member_Tab,6,FALSE()), AM$5 &lt;= VLOOKUP($P421,Member_Tab,7,FALSE())),1,0))  )</f>
        <v>0</v>
      </c>
      <c r="AN421" s="76" t="n">
        <f aca="false">IF(ISERROR(VLOOKUP($P421,Member_Tab,4,FALSE())),0,(VLOOKUP($P421,Member_Tab,4,FALSE()) * 0.2 * AN$7) * (IF(AND(AN$5 &gt;= VLOOKUP($P421,Member_Tab,6,FALSE()), AN$5 &lt;= VLOOKUP($P421,Member_Tab,7,FALSE())),1,0))  )</f>
        <v>0</v>
      </c>
      <c r="AO421" s="76" t="n">
        <f aca="false">IF(ISERROR(VLOOKUP($P421,Member_Tab,4,FALSE())),0,(VLOOKUP($P421,Member_Tab,4,FALSE()) * 0.2 * AO$7) * (IF(AND(AO$5 &gt;= VLOOKUP($P421,Member_Tab,6,FALSE()), AO$5 &lt;= VLOOKUP($P421,Member_Tab,7,FALSE())),1,0))  )</f>
        <v>0</v>
      </c>
      <c r="AP421" s="76" t="n">
        <f aca="false">IF(ISERROR(VLOOKUP($P421,Member_Tab,4,FALSE())),0,(VLOOKUP($P421,Member_Tab,4,FALSE()) * 0.2 * AP$7) * (IF(AND(AP$5 &gt;= VLOOKUP($P421,Member_Tab,6,FALSE()), AP$5 &lt;= VLOOKUP($P421,Member_Tab,7,FALSE())),1,0))  )</f>
        <v>0</v>
      </c>
      <c r="AQ421" s="76" t="n">
        <f aca="false">IF(ISERROR(VLOOKUP($P421,Member_Tab,4,FALSE())),0,(VLOOKUP($P421,Member_Tab,4,FALSE()) * 0.2 * AQ$7) * (IF(AND(AQ$5 &gt;= VLOOKUP($P421,Member_Tab,6,FALSE()), AQ$5 &lt;= VLOOKUP($P421,Member_Tab,7,FALSE())),1,0))  )</f>
        <v>0</v>
      </c>
      <c r="AR421" s="76" t="n">
        <f aca="false">IF(ISERROR(VLOOKUP($P421,Member_Tab,4,FALSE())),0,(VLOOKUP($P421,Member_Tab,4,FALSE()) * 0.2 * AR$7) * (IF(AND(AR$5 &gt;= VLOOKUP($P421,Member_Tab,6,FALSE()), AR$5 &lt;= VLOOKUP($P421,Member_Tab,7,FALSE())),1,0))  )</f>
        <v>0</v>
      </c>
      <c r="AS421" s="76" t="n">
        <f aca="false">IF(ISERROR(VLOOKUP($P421,Member_Tab,4,FALSE())),0,(VLOOKUP($P421,Member_Tab,4,FALSE()) * 0.2 * AS$7) * (IF(AND(AS$5 &gt;= VLOOKUP($P421,Member_Tab,6,FALSE()), AS$5 &lt;= VLOOKUP($P421,Member_Tab,7,FALSE())),1,0))  )</f>
        <v>0</v>
      </c>
      <c r="AT421" s="76" t="n">
        <f aca="false">IF(ISERROR(VLOOKUP($P421,Member_Tab,4,FALSE())),0,(VLOOKUP($P421,Member_Tab,4,FALSE()) * 0.2 * AT$7) * (IF(AND(AT$5 &gt;= VLOOKUP($P421,Member_Tab,6,FALSE()), AT$5 &lt;= VLOOKUP($P421,Member_Tab,7,FALSE())),1,0))  )</f>
        <v>0</v>
      </c>
      <c r="AU421" s="76" t="n">
        <f aca="false">IF(ISERROR(VLOOKUP($P421,Member_Tab,4,FALSE())),0,(VLOOKUP($P421,Member_Tab,4,FALSE()) * 0.2 * AU$7) * (IF(AND(AU$5 &gt;= VLOOKUP($P421,Member_Tab,6,FALSE()), AU$5 &lt;= VLOOKUP($P421,Member_Tab,7,FALSE())),1,0))  )</f>
        <v>0</v>
      </c>
      <c r="AV421" s="76" t="n">
        <f aca="false">IF(ISERROR(VLOOKUP($P421,Member_Tab,4,FALSE())),0,(VLOOKUP($P421,Member_Tab,4,FALSE()) * 0.2 * AV$7) * (IF(AND(AV$5 &gt;= VLOOKUP($P421,Member_Tab,6,FALSE()), AV$5 &lt;= VLOOKUP($P421,Member_Tab,7,FALSE())),1,0))  )</f>
        <v>0</v>
      </c>
      <c r="AW421" s="76" t="n">
        <f aca="false">IF(ISERROR(VLOOKUP($P421,Member_Tab,4,FALSE())),0,(VLOOKUP($P421,Member_Tab,4,FALSE()) * 0.2 * AW$7) * (IF(AND(AW$5 &gt;= VLOOKUP($P421,Member_Tab,6,FALSE()), AW$5 &lt;= VLOOKUP($P421,Member_Tab,7,FALSE())),1,0))  )</f>
        <v>0</v>
      </c>
      <c r="AX421" s="76" t="n">
        <f aca="false">IF(ISERROR(VLOOKUP($P421,Member_Tab,4,FALSE())),0,(VLOOKUP($P421,Member_Tab,4,FALSE()) * 0.2 * AX$7) * (IF(AND(AX$5 &gt;= VLOOKUP($P421,Member_Tab,6,FALSE()), AX$5 &lt;= VLOOKUP($P421,Member_Tab,7,FALSE())),1,0))  )</f>
        <v>0</v>
      </c>
      <c r="AY421" s="76" t="n">
        <f aca="false">IF(ISERROR(VLOOKUP($P421,Member_Tab,4,FALSE())),0,(VLOOKUP($P421,Member_Tab,4,FALSE()) * 0.2 * AY$7) * (IF(AND(AY$5 &gt;= VLOOKUP($P421,Member_Tab,6,FALSE()), AY$5 &lt;= VLOOKUP($P421,Member_Tab,7,FALSE())),1,0))  )</f>
        <v>0</v>
      </c>
      <c r="AZ421" s="76" t="n">
        <f aca="false">IF(ISERROR(VLOOKUP($P421,Member_Tab,4,FALSE())),0,(VLOOKUP($P421,Member_Tab,4,FALSE()) * 0.2 * AZ$7) * (IF(AND(AZ$5 &gt;= VLOOKUP($P421,Member_Tab,6,FALSE()), AZ$5 &lt;= VLOOKUP($P421,Member_Tab,7,FALSE())),1,0))  )</f>
        <v>0</v>
      </c>
      <c r="BA421" s="76" t="n">
        <f aca="false">IF(ISERROR(VLOOKUP($P421,Member_Tab,4,FALSE())),0,(VLOOKUP($P421,Member_Tab,4,FALSE()) * 0.2 * BA$7) * (IF(AND(BA$5 &gt;= VLOOKUP($P421,Member_Tab,6,FALSE()), BA$5 &lt;= VLOOKUP($P421,Member_Tab,7,FALSE())),1,0))  )</f>
        <v>0</v>
      </c>
      <c r="BB421" s="76" t="n">
        <f aca="false">IF(ISERROR(VLOOKUP($P421,Member_Tab,4,FALSE())),0,(VLOOKUP($P421,Member_Tab,4,FALSE()) * 0.2 * BB$7) * (IF(AND(BB$5 &gt;= VLOOKUP($P421,Member_Tab,6,FALSE()), BB$5 &lt;= VLOOKUP($P421,Member_Tab,7,FALSE())),1,0))  )</f>
        <v>0</v>
      </c>
    </row>
    <row r="422" s="173" customFormat="true" ht="15" hidden="true" customHeight="false" outlineLevel="1" collapsed="false">
      <c r="E422" s="40"/>
      <c r="K422" s="40"/>
      <c r="L422" s="40"/>
      <c r="M422" s="40"/>
      <c r="N422" s="40"/>
      <c r="P422" s="177" t="n">
        <f aca="false">P285</f>
        <v>0</v>
      </c>
      <c r="Q422" s="40"/>
      <c r="R422" s="178"/>
      <c r="S422" s="76" t="n">
        <f aca="false">IF(ISERROR(VLOOKUP($P422,Member_Tab,4,FALSE())),0,(VLOOKUP($P422,Member_Tab,4,FALSE()) * 0.2 * S$7) * (IF(AND(S$5 &gt;= VLOOKUP($P422,Member_Tab,6,FALSE()), S$5 &lt;= VLOOKUP($P422,Member_Tab,7,FALSE())),1,0))  )</f>
        <v>0</v>
      </c>
      <c r="T422" s="76" t="n">
        <f aca="false">IF(ISERROR(VLOOKUP($P422,Member_Tab,4,FALSE())),0,(VLOOKUP($P422,Member_Tab,4,FALSE()) * 0.2 * T$7) * (IF(AND(T$5 &gt;= VLOOKUP($P422,Member_Tab,6,FALSE()), T$5 &lt;= VLOOKUP($P422,Member_Tab,7,FALSE())),1,0))  )</f>
        <v>0</v>
      </c>
      <c r="U422" s="76" t="n">
        <f aca="false">IF(ISERROR(VLOOKUP($P422,Member_Tab,4,FALSE())),0,(VLOOKUP($P422,Member_Tab,4,FALSE()) * 0.2 * U$7) * (IF(AND(U$5 &gt;= VLOOKUP($P422,Member_Tab,6,FALSE()), U$5 &lt;= VLOOKUP($P422,Member_Tab,7,FALSE())),1,0))  )</f>
        <v>0</v>
      </c>
      <c r="V422" s="76" t="n">
        <f aca="false">IF(ISERROR(VLOOKUP($P422,Member_Tab,4,FALSE())),0,(VLOOKUP($P422,Member_Tab,4,FALSE()) * 0.2 * V$7) * (IF(AND(V$5 &gt;= VLOOKUP($P422,Member_Tab,6,FALSE()), V$5 &lt;= VLOOKUP($P422,Member_Tab,7,FALSE())),1,0))  )</f>
        <v>0</v>
      </c>
      <c r="W422" s="76" t="n">
        <f aca="false">IF(ISERROR(VLOOKUP($P422,Member_Tab,4,FALSE())),0,(VLOOKUP($P422,Member_Tab,4,FALSE()) * 0.2 * W$7) * (IF(AND(W$5 &gt;= VLOOKUP($P422,Member_Tab,6,FALSE()), W$5 &lt;= VLOOKUP($P422,Member_Tab,7,FALSE())),1,0))  )</f>
        <v>0</v>
      </c>
      <c r="X422" s="76" t="n">
        <f aca="false">IF(ISERROR(VLOOKUP($P422,Member_Tab,4,FALSE())),0,(VLOOKUP($P422,Member_Tab,4,FALSE()) * 0.2 * X$7) * (IF(AND(X$5 &gt;= VLOOKUP($P422,Member_Tab,6,FALSE()), X$5 &lt;= VLOOKUP($P422,Member_Tab,7,FALSE())),1,0))  )</f>
        <v>0</v>
      </c>
      <c r="Y422" s="76" t="n">
        <f aca="false">IF(ISERROR(VLOOKUP($P422,Member_Tab,4,FALSE())),0,(VLOOKUP($P422,Member_Tab,4,FALSE()) * 0.2 * Y$7) * (IF(AND(Y$5 &gt;= VLOOKUP($P422,Member_Tab,6,FALSE()), Y$5 &lt;= VLOOKUP($P422,Member_Tab,7,FALSE())),1,0))  )</f>
        <v>0</v>
      </c>
      <c r="Z422" s="76" t="n">
        <f aca="false">IF(ISERROR(VLOOKUP($P422,Member_Tab,4,FALSE())),0,(VLOOKUP($P422,Member_Tab,4,FALSE()) * 0.2 * Z$7) * (IF(AND(Z$5 &gt;= VLOOKUP($P422,Member_Tab,6,FALSE()), Z$5 &lt;= VLOOKUP($P422,Member_Tab,7,FALSE())),1,0))  )</f>
        <v>0</v>
      </c>
      <c r="AA422" s="76" t="n">
        <f aca="false">IF(ISERROR(VLOOKUP($P422,Member_Tab,4,FALSE())),0,(VLOOKUP($P422,Member_Tab,4,FALSE()) * 0.2 * AA$7) * (IF(AND(AA$5 &gt;= VLOOKUP($P422,Member_Tab,6,FALSE()), AA$5 &lt;= VLOOKUP($P422,Member_Tab,7,FALSE())),1,0))  )</f>
        <v>0</v>
      </c>
      <c r="AB422" s="76" t="n">
        <f aca="false">IF(ISERROR(VLOOKUP($P422,Member_Tab,4,FALSE())),0,(VLOOKUP($P422,Member_Tab,4,FALSE()) * 0.2 * AB$7) * (IF(AND(AB$5 &gt;= VLOOKUP($P422,Member_Tab,6,FALSE()), AB$5 &lt;= VLOOKUP($P422,Member_Tab,7,FALSE())),1,0))  )</f>
        <v>0</v>
      </c>
      <c r="AC422" s="76" t="n">
        <f aca="false">IF(ISERROR(VLOOKUP($P422,Member_Tab,4,FALSE())),0,(VLOOKUP($P422,Member_Tab,4,FALSE()) * 0.2 * AC$7) * (IF(AND(AC$5 &gt;= VLOOKUP($P422,Member_Tab,6,FALSE()), AC$5 &lt;= VLOOKUP($P422,Member_Tab,7,FALSE())),1,0))  )</f>
        <v>0</v>
      </c>
      <c r="AD422" s="76" t="n">
        <f aca="false">IF(ISERROR(VLOOKUP($P422,Member_Tab,4,FALSE())),0,(VLOOKUP($P422,Member_Tab,4,FALSE()) * 0.2 * AD$7) * (IF(AND(AD$5 &gt;= VLOOKUP($P422,Member_Tab,6,FALSE()), AD$5 &lt;= VLOOKUP($P422,Member_Tab,7,FALSE())),1,0))  )</f>
        <v>0</v>
      </c>
      <c r="AE422" s="76" t="n">
        <f aca="false">IF(ISERROR(VLOOKUP($P422,Member_Tab,4,FALSE())),0,(VLOOKUP($P422,Member_Tab,4,FALSE()) * 0.2 * AE$7) * (IF(AND(AE$5 &gt;= VLOOKUP($P422,Member_Tab,6,FALSE()), AE$5 &lt;= VLOOKUP($P422,Member_Tab,7,FALSE())),1,0))  )</f>
        <v>0</v>
      </c>
      <c r="AF422" s="76" t="n">
        <f aca="false">IF(ISERROR(VLOOKUP($P422,Member_Tab,4,FALSE())),0,(VLOOKUP($P422,Member_Tab,4,FALSE()) * 0.2 * AF$7) * (IF(AND(AF$5 &gt;= VLOOKUP($P422,Member_Tab,6,FALSE()), AF$5 &lt;= VLOOKUP($P422,Member_Tab,7,FALSE())),1,0))  )</f>
        <v>0</v>
      </c>
      <c r="AG422" s="76" t="n">
        <f aca="false">IF(ISERROR(VLOOKUP($P422,Member_Tab,4,FALSE())),0,(VLOOKUP($P422,Member_Tab,4,FALSE()) * 0.2 * AG$7) * (IF(AND(AG$5 &gt;= VLOOKUP($P422,Member_Tab,6,FALSE()), AG$5 &lt;= VLOOKUP($P422,Member_Tab,7,FALSE())),1,0))  )</f>
        <v>0</v>
      </c>
      <c r="AH422" s="76" t="n">
        <f aca="false">IF(ISERROR(VLOOKUP($P422,Member_Tab,4,FALSE())),0,(VLOOKUP($P422,Member_Tab,4,FALSE()) * 0.2 * AH$7) * (IF(AND(AH$5 &gt;= VLOOKUP($P422,Member_Tab,6,FALSE()), AH$5 &lt;= VLOOKUP($P422,Member_Tab,7,FALSE())),1,0))  )</f>
        <v>0</v>
      </c>
      <c r="AI422" s="76" t="n">
        <f aca="false">IF(ISERROR(VLOOKUP($P422,Member_Tab,4,FALSE())),0,(VLOOKUP($P422,Member_Tab,4,FALSE()) * 0.2 * AI$7) * (IF(AND(AI$5 &gt;= VLOOKUP($P422,Member_Tab,6,FALSE()), AI$5 &lt;= VLOOKUP($P422,Member_Tab,7,FALSE())),1,0))  )</f>
        <v>0</v>
      </c>
      <c r="AJ422" s="76" t="n">
        <f aca="false">IF(ISERROR(VLOOKUP($P422,Member_Tab,4,FALSE())),0,(VLOOKUP($P422,Member_Tab,4,FALSE()) * 0.2 * AJ$7) * (IF(AND(AJ$5 &gt;= VLOOKUP($P422,Member_Tab,6,FALSE()), AJ$5 &lt;= VLOOKUP($P422,Member_Tab,7,FALSE())),1,0))  )</f>
        <v>0</v>
      </c>
      <c r="AK422" s="76" t="n">
        <f aca="false">IF(ISERROR(VLOOKUP($P422,Member_Tab,4,FALSE())),0,(VLOOKUP($P422,Member_Tab,4,FALSE()) * 0.2 * AK$7) * (IF(AND(AK$5 &gt;= VLOOKUP($P422,Member_Tab,6,FALSE()), AK$5 &lt;= VLOOKUP($P422,Member_Tab,7,FALSE())),1,0))  )</f>
        <v>0</v>
      </c>
      <c r="AL422" s="76" t="n">
        <f aca="false">IF(ISERROR(VLOOKUP($P422,Member_Tab,4,FALSE())),0,(VLOOKUP($P422,Member_Tab,4,FALSE()) * 0.2 * AL$7) * (IF(AND(AL$5 &gt;= VLOOKUP($P422,Member_Tab,6,FALSE()), AL$5 &lt;= VLOOKUP($P422,Member_Tab,7,FALSE())),1,0))  )</f>
        <v>0</v>
      </c>
      <c r="AM422" s="76" t="n">
        <f aca="false">IF(ISERROR(VLOOKUP($P422,Member_Tab,4,FALSE())),0,(VLOOKUP($P422,Member_Tab,4,FALSE()) * 0.2 * AM$7) * (IF(AND(AM$5 &gt;= VLOOKUP($P422,Member_Tab,6,FALSE()), AM$5 &lt;= VLOOKUP($P422,Member_Tab,7,FALSE())),1,0))  )</f>
        <v>0</v>
      </c>
      <c r="AN422" s="76" t="n">
        <f aca="false">IF(ISERROR(VLOOKUP($P422,Member_Tab,4,FALSE())),0,(VLOOKUP($P422,Member_Tab,4,FALSE()) * 0.2 * AN$7) * (IF(AND(AN$5 &gt;= VLOOKUP($P422,Member_Tab,6,FALSE()), AN$5 &lt;= VLOOKUP($P422,Member_Tab,7,FALSE())),1,0))  )</f>
        <v>0</v>
      </c>
      <c r="AO422" s="76" t="n">
        <f aca="false">IF(ISERROR(VLOOKUP($P422,Member_Tab,4,FALSE())),0,(VLOOKUP($P422,Member_Tab,4,FALSE()) * 0.2 * AO$7) * (IF(AND(AO$5 &gt;= VLOOKUP($P422,Member_Tab,6,FALSE()), AO$5 &lt;= VLOOKUP($P422,Member_Tab,7,FALSE())),1,0))  )</f>
        <v>0</v>
      </c>
      <c r="AP422" s="76" t="n">
        <f aca="false">IF(ISERROR(VLOOKUP($P422,Member_Tab,4,FALSE())),0,(VLOOKUP($P422,Member_Tab,4,FALSE()) * 0.2 * AP$7) * (IF(AND(AP$5 &gt;= VLOOKUP($P422,Member_Tab,6,FALSE()), AP$5 &lt;= VLOOKUP($P422,Member_Tab,7,FALSE())),1,0))  )</f>
        <v>0</v>
      </c>
      <c r="AQ422" s="76" t="n">
        <f aca="false">IF(ISERROR(VLOOKUP($P422,Member_Tab,4,FALSE())),0,(VLOOKUP($P422,Member_Tab,4,FALSE()) * 0.2 * AQ$7) * (IF(AND(AQ$5 &gt;= VLOOKUP($P422,Member_Tab,6,FALSE()), AQ$5 &lt;= VLOOKUP($P422,Member_Tab,7,FALSE())),1,0))  )</f>
        <v>0</v>
      </c>
      <c r="AR422" s="76" t="n">
        <f aca="false">IF(ISERROR(VLOOKUP($P422,Member_Tab,4,FALSE())),0,(VLOOKUP($P422,Member_Tab,4,FALSE()) * 0.2 * AR$7) * (IF(AND(AR$5 &gt;= VLOOKUP($P422,Member_Tab,6,FALSE()), AR$5 &lt;= VLOOKUP($P422,Member_Tab,7,FALSE())),1,0))  )</f>
        <v>0</v>
      </c>
      <c r="AS422" s="76" t="n">
        <f aca="false">IF(ISERROR(VLOOKUP($P422,Member_Tab,4,FALSE())),0,(VLOOKUP($P422,Member_Tab,4,FALSE()) * 0.2 * AS$7) * (IF(AND(AS$5 &gt;= VLOOKUP($P422,Member_Tab,6,FALSE()), AS$5 &lt;= VLOOKUP($P422,Member_Tab,7,FALSE())),1,0))  )</f>
        <v>0</v>
      </c>
      <c r="AT422" s="76" t="n">
        <f aca="false">IF(ISERROR(VLOOKUP($P422,Member_Tab,4,FALSE())),0,(VLOOKUP($P422,Member_Tab,4,FALSE()) * 0.2 * AT$7) * (IF(AND(AT$5 &gt;= VLOOKUP($P422,Member_Tab,6,FALSE()), AT$5 &lt;= VLOOKUP($P422,Member_Tab,7,FALSE())),1,0))  )</f>
        <v>0</v>
      </c>
      <c r="AU422" s="76" t="n">
        <f aca="false">IF(ISERROR(VLOOKUP($P422,Member_Tab,4,FALSE())),0,(VLOOKUP($P422,Member_Tab,4,FALSE()) * 0.2 * AU$7) * (IF(AND(AU$5 &gt;= VLOOKUP($P422,Member_Tab,6,FALSE()), AU$5 &lt;= VLOOKUP($P422,Member_Tab,7,FALSE())),1,0))  )</f>
        <v>0</v>
      </c>
      <c r="AV422" s="76" t="n">
        <f aca="false">IF(ISERROR(VLOOKUP($P422,Member_Tab,4,FALSE())),0,(VLOOKUP($P422,Member_Tab,4,FALSE()) * 0.2 * AV$7) * (IF(AND(AV$5 &gt;= VLOOKUP($P422,Member_Tab,6,FALSE()), AV$5 &lt;= VLOOKUP($P422,Member_Tab,7,FALSE())),1,0))  )</f>
        <v>0</v>
      </c>
      <c r="AW422" s="76" t="n">
        <f aca="false">IF(ISERROR(VLOOKUP($P422,Member_Tab,4,FALSE())),0,(VLOOKUP($P422,Member_Tab,4,FALSE()) * 0.2 * AW$7) * (IF(AND(AW$5 &gt;= VLOOKUP($P422,Member_Tab,6,FALSE()), AW$5 &lt;= VLOOKUP($P422,Member_Tab,7,FALSE())),1,0))  )</f>
        <v>0</v>
      </c>
      <c r="AX422" s="76" t="n">
        <f aca="false">IF(ISERROR(VLOOKUP($P422,Member_Tab,4,FALSE())),0,(VLOOKUP($P422,Member_Tab,4,FALSE()) * 0.2 * AX$7) * (IF(AND(AX$5 &gt;= VLOOKUP($P422,Member_Tab,6,FALSE()), AX$5 &lt;= VLOOKUP($P422,Member_Tab,7,FALSE())),1,0))  )</f>
        <v>0</v>
      </c>
      <c r="AY422" s="76" t="n">
        <f aca="false">IF(ISERROR(VLOOKUP($P422,Member_Tab,4,FALSE())),0,(VLOOKUP($P422,Member_Tab,4,FALSE()) * 0.2 * AY$7) * (IF(AND(AY$5 &gt;= VLOOKUP($P422,Member_Tab,6,FALSE()), AY$5 &lt;= VLOOKUP($P422,Member_Tab,7,FALSE())),1,0))  )</f>
        <v>0</v>
      </c>
      <c r="AZ422" s="76" t="n">
        <f aca="false">IF(ISERROR(VLOOKUP($P422,Member_Tab,4,FALSE())),0,(VLOOKUP($P422,Member_Tab,4,FALSE()) * 0.2 * AZ$7) * (IF(AND(AZ$5 &gt;= VLOOKUP($P422,Member_Tab,6,FALSE()), AZ$5 &lt;= VLOOKUP($P422,Member_Tab,7,FALSE())),1,0))  )</f>
        <v>0</v>
      </c>
      <c r="BA422" s="76" t="n">
        <f aca="false">IF(ISERROR(VLOOKUP($P422,Member_Tab,4,FALSE())),0,(VLOOKUP($P422,Member_Tab,4,FALSE()) * 0.2 * BA$7) * (IF(AND(BA$5 &gt;= VLOOKUP($P422,Member_Tab,6,FALSE()), BA$5 &lt;= VLOOKUP($P422,Member_Tab,7,FALSE())),1,0))  )</f>
        <v>0</v>
      </c>
      <c r="BB422" s="76" t="n">
        <f aca="false">IF(ISERROR(VLOOKUP($P422,Member_Tab,4,FALSE())),0,(VLOOKUP($P422,Member_Tab,4,FALSE()) * 0.2 * BB$7) * (IF(AND(BB$5 &gt;= VLOOKUP($P422,Member_Tab,6,FALSE()), BB$5 &lt;= VLOOKUP($P422,Member_Tab,7,FALSE())),1,0))  )</f>
        <v>0</v>
      </c>
    </row>
    <row r="423" s="173" customFormat="true" ht="15" hidden="true" customHeight="false" outlineLevel="1" collapsed="false">
      <c r="E423" s="40"/>
      <c r="K423" s="40"/>
      <c r="L423" s="40"/>
      <c r="M423" s="40"/>
      <c r="N423" s="40"/>
      <c r="P423" s="177" t="n">
        <f aca="false">P286</f>
        <v>0</v>
      </c>
      <c r="Q423" s="40"/>
      <c r="R423" s="178"/>
      <c r="S423" s="76" t="n">
        <f aca="false">IF(ISERROR(VLOOKUP($P423,Member_Tab,4,FALSE())),0,(VLOOKUP($P423,Member_Tab,4,FALSE()) * 0.2 * S$7) * (IF(AND(S$5 &gt;= VLOOKUP($P423,Member_Tab,6,FALSE()), S$5 &lt;= VLOOKUP($P423,Member_Tab,7,FALSE())),1,0))  )</f>
        <v>0</v>
      </c>
      <c r="T423" s="76" t="n">
        <f aca="false">IF(ISERROR(VLOOKUP($P423,Member_Tab,4,FALSE())),0,(VLOOKUP($P423,Member_Tab,4,FALSE()) * 0.2 * T$7) * (IF(AND(T$5 &gt;= VLOOKUP($P423,Member_Tab,6,FALSE()), T$5 &lt;= VLOOKUP($P423,Member_Tab,7,FALSE())),1,0))  )</f>
        <v>0</v>
      </c>
      <c r="U423" s="76" t="n">
        <f aca="false">IF(ISERROR(VLOOKUP($P423,Member_Tab,4,FALSE())),0,(VLOOKUP($P423,Member_Tab,4,FALSE()) * 0.2 * U$7) * (IF(AND(U$5 &gt;= VLOOKUP($P423,Member_Tab,6,FALSE()), U$5 &lt;= VLOOKUP($P423,Member_Tab,7,FALSE())),1,0))  )</f>
        <v>0</v>
      </c>
      <c r="V423" s="76" t="n">
        <f aca="false">IF(ISERROR(VLOOKUP($P423,Member_Tab,4,FALSE())),0,(VLOOKUP($P423,Member_Tab,4,FALSE()) * 0.2 * V$7) * (IF(AND(V$5 &gt;= VLOOKUP($P423,Member_Tab,6,FALSE()), V$5 &lt;= VLOOKUP($P423,Member_Tab,7,FALSE())),1,0))  )</f>
        <v>0</v>
      </c>
      <c r="W423" s="76" t="n">
        <f aca="false">IF(ISERROR(VLOOKUP($P423,Member_Tab,4,FALSE())),0,(VLOOKUP($P423,Member_Tab,4,FALSE()) * 0.2 * W$7) * (IF(AND(W$5 &gt;= VLOOKUP($P423,Member_Tab,6,FALSE()), W$5 &lt;= VLOOKUP($P423,Member_Tab,7,FALSE())),1,0))  )</f>
        <v>0</v>
      </c>
      <c r="X423" s="76" t="n">
        <f aca="false">IF(ISERROR(VLOOKUP($P423,Member_Tab,4,FALSE())),0,(VLOOKUP($P423,Member_Tab,4,FALSE()) * 0.2 * X$7) * (IF(AND(X$5 &gt;= VLOOKUP($P423,Member_Tab,6,FALSE()), X$5 &lt;= VLOOKUP($P423,Member_Tab,7,FALSE())),1,0))  )</f>
        <v>0</v>
      </c>
      <c r="Y423" s="76" t="n">
        <f aca="false">IF(ISERROR(VLOOKUP($P423,Member_Tab,4,FALSE())),0,(VLOOKUP($P423,Member_Tab,4,FALSE()) * 0.2 * Y$7) * (IF(AND(Y$5 &gt;= VLOOKUP($P423,Member_Tab,6,FALSE()), Y$5 &lt;= VLOOKUP($P423,Member_Tab,7,FALSE())),1,0))  )</f>
        <v>0</v>
      </c>
      <c r="Z423" s="76" t="n">
        <f aca="false">IF(ISERROR(VLOOKUP($P423,Member_Tab,4,FALSE())),0,(VLOOKUP($P423,Member_Tab,4,FALSE()) * 0.2 * Z$7) * (IF(AND(Z$5 &gt;= VLOOKUP($P423,Member_Tab,6,FALSE()), Z$5 &lt;= VLOOKUP($P423,Member_Tab,7,FALSE())),1,0))  )</f>
        <v>0</v>
      </c>
      <c r="AA423" s="76" t="n">
        <f aca="false">IF(ISERROR(VLOOKUP($P423,Member_Tab,4,FALSE())),0,(VLOOKUP($P423,Member_Tab,4,FALSE()) * 0.2 * AA$7) * (IF(AND(AA$5 &gt;= VLOOKUP($P423,Member_Tab,6,FALSE()), AA$5 &lt;= VLOOKUP($P423,Member_Tab,7,FALSE())),1,0))  )</f>
        <v>0</v>
      </c>
      <c r="AB423" s="76" t="n">
        <f aca="false">IF(ISERROR(VLOOKUP($P423,Member_Tab,4,FALSE())),0,(VLOOKUP($P423,Member_Tab,4,FALSE()) * 0.2 * AB$7) * (IF(AND(AB$5 &gt;= VLOOKUP($P423,Member_Tab,6,FALSE()), AB$5 &lt;= VLOOKUP($P423,Member_Tab,7,FALSE())),1,0))  )</f>
        <v>0</v>
      </c>
      <c r="AC423" s="76" t="n">
        <f aca="false">IF(ISERROR(VLOOKUP($P423,Member_Tab,4,FALSE())),0,(VLOOKUP($P423,Member_Tab,4,FALSE()) * 0.2 * AC$7) * (IF(AND(AC$5 &gt;= VLOOKUP($P423,Member_Tab,6,FALSE()), AC$5 &lt;= VLOOKUP($P423,Member_Tab,7,FALSE())),1,0))  )</f>
        <v>0</v>
      </c>
      <c r="AD423" s="76" t="n">
        <f aca="false">IF(ISERROR(VLOOKUP($P423,Member_Tab,4,FALSE())),0,(VLOOKUP($P423,Member_Tab,4,FALSE()) * 0.2 * AD$7) * (IF(AND(AD$5 &gt;= VLOOKUP($P423,Member_Tab,6,FALSE()), AD$5 &lt;= VLOOKUP($P423,Member_Tab,7,FALSE())),1,0))  )</f>
        <v>0</v>
      </c>
      <c r="AE423" s="76" t="n">
        <f aca="false">IF(ISERROR(VLOOKUP($P423,Member_Tab,4,FALSE())),0,(VLOOKUP($P423,Member_Tab,4,FALSE()) * 0.2 * AE$7) * (IF(AND(AE$5 &gt;= VLOOKUP($P423,Member_Tab,6,FALSE()), AE$5 &lt;= VLOOKUP($P423,Member_Tab,7,FALSE())),1,0))  )</f>
        <v>0</v>
      </c>
      <c r="AF423" s="76" t="n">
        <f aca="false">IF(ISERROR(VLOOKUP($P423,Member_Tab,4,FALSE())),0,(VLOOKUP($P423,Member_Tab,4,FALSE()) * 0.2 * AF$7) * (IF(AND(AF$5 &gt;= VLOOKUP($P423,Member_Tab,6,FALSE()), AF$5 &lt;= VLOOKUP($P423,Member_Tab,7,FALSE())),1,0))  )</f>
        <v>0</v>
      </c>
      <c r="AG423" s="76" t="n">
        <f aca="false">IF(ISERROR(VLOOKUP($P423,Member_Tab,4,FALSE())),0,(VLOOKUP($P423,Member_Tab,4,FALSE()) * 0.2 * AG$7) * (IF(AND(AG$5 &gt;= VLOOKUP($P423,Member_Tab,6,FALSE()), AG$5 &lt;= VLOOKUP($P423,Member_Tab,7,FALSE())),1,0))  )</f>
        <v>0</v>
      </c>
      <c r="AH423" s="76" t="n">
        <f aca="false">IF(ISERROR(VLOOKUP($P423,Member_Tab,4,FALSE())),0,(VLOOKUP($P423,Member_Tab,4,FALSE()) * 0.2 * AH$7) * (IF(AND(AH$5 &gt;= VLOOKUP($P423,Member_Tab,6,FALSE()), AH$5 &lt;= VLOOKUP($P423,Member_Tab,7,FALSE())),1,0))  )</f>
        <v>0</v>
      </c>
      <c r="AI423" s="76" t="n">
        <f aca="false">IF(ISERROR(VLOOKUP($P423,Member_Tab,4,FALSE())),0,(VLOOKUP($P423,Member_Tab,4,FALSE()) * 0.2 * AI$7) * (IF(AND(AI$5 &gt;= VLOOKUP($P423,Member_Tab,6,FALSE()), AI$5 &lt;= VLOOKUP($P423,Member_Tab,7,FALSE())),1,0))  )</f>
        <v>0</v>
      </c>
      <c r="AJ423" s="76" t="n">
        <f aca="false">IF(ISERROR(VLOOKUP($P423,Member_Tab,4,FALSE())),0,(VLOOKUP($P423,Member_Tab,4,FALSE()) * 0.2 * AJ$7) * (IF(AND(AJ$5 &gt;= VLOOKUP($P423,Member_Tab,6,FALSE()), AJ$5 &lt;= VLOOKUP($P423,Member_Tab,7,FALSE())),1,0))  )</f>
        <v>0</v>
      </c>
      <c r="AK423" s="76" t="n">
        <f aca="false">IF(ISERROR(VLOOKUP($P423,Member_Tab,4,FALSE())),0,(VLOOKUP($P423,Member_Tab,4,FALSE()) * 0.2 * AK$7) * (IF(AND(AK$5 &gt;= VLOOKUP($P423,Member_Tab,6,FALSE()), AK$5 &lt;= VLOOKUP($P423,Member_Tab,7,FALSE())),1,0))  )</f>
        <v>0</v>
      </c>
      <c r="AL423" s="76" t="n">
        <f aca="false">IF(ISERROR(VLOOKUP($P423,Member_Tab,4,FALSE())),0,(VLOOKUP($P423,Member_Tab,4,FALSE()) * 0.2 * AL$7) * (IF(AND(AL$5 &gt;= VLOOKUP($P423,Member_Tab,6,FALSE()), AL$5 &lt;= VLOOKUP($P423,Member_Tab,7,FALSE())),1,0))  )</f>
        <v>0</v>
      </c>
      <c r="AM423" s="76" t="n">
        <f aca="false">IF(ISERROR(VLOOKUP($P423,Member_Tab,4,FALSE())),0,(VLOOKUP($P423,Member_Tab,4,FALSE()) * 0.2 * AM$7) * (IF(AND(AM$5 &gt;= VLOOKUP($P423,Member_Tab,6,FALSE()), AM$5 &lt;= VLOOKUP($P423,Member_Tab,7,FALSE())),1,0))  )</f>
        <v>0</v>
      </c>
      <c r="AN423" s="76" t="n">
        <f aca="false">IF(ISERROR(VLOOKUP($P423,Member_Tab,4,FALSE())),0,(VLOOKUP($P423,Member_Tab,4,FALSE()) * 0.2 * AN$7) * (IF(AND(AN$5 &gt;= VLOOKUP($P423,Member_Tab,6,FALSE()), AN$5 &lt;= VLOOKUP($P423,Member_Tab,7,FALSE())),1,0))  )</f>
        <v>0</v>
      </c>
      <c r="AO423" s="76" t="n">
        <f aca="false">IF(ISERROR(VLOOKUP($P423,Member_Tab,4,FALSE())),0,(VLOOKUP($P423,Member_Tab,4,FALSE()) * 0.2 * AO$7) * (IF(AND(AO$5 &gt;= VLOOKUP($P423,Member_Tab,6,FALSE()), AO$5 &lt;= VLOOKUP($P423,Member_Tab,7,FALSE())),1,0))  )</f>
        <v>0</v>
      </c>
      <c r="AP423" s="76" t="n">
        <f aca="false">IF(ISERROR(VLOOKUP($P423,Member_Tab,4,FALSE())),0,(VLOOKUP($P423,Member_Tab,4,FALSE()) * 0.2 * AP$7) * (IF(AND(AP$5 &gt;= VLOOKUP($P423,Member_Tab,6,FALSE()), AP$5 &lt;= VLOOKUP($P423,Member_Tab,7,FALSE())),1,0))  )</f>
        <v>0</v>
      </c>
      <c r="AQ423" s="76" t="n">
        <f aca="false">IF(ISERROR(VLOOKUP($P423,Member_Tab,4,FALSE())),0,(VLOOKUP($P423,Member_Tab,4,FALSE()) * 0.2 * AQ$7) * (IF(AND(AQ$5 &gt;= VLOOKUP($P423,Member_Tab,6,FALSE()), AQ$5 &lt;= VLOOKUP($P423,Member_Tab,7,FALSE())),1,0))  )</f>
        <v>0</v>
      </c>
      <c r="AR423" s="76" t="n">
        <f aca="false">IF(ISERROR(VLOOKUP($P423,Member_Tab,4,FALSE())),0,(VLOOKUP($P423,Member_Tab,4,FALSE()) * 0.2 * AR$7) * (IF(AND(AR$5 &gt;= VLOOKUP($P423,Member_Tab,6,FALSE()), AR$5 &lt;= VLOOKUP($P423,Member_Tab,7,FALSE())),1,0))  )</f>
        <v>0</v>
      </c>
      <c r="AS423" s="76" t="n">
        <f aca="false">IF(ISERROR(VLOOKUP($P423,Member_Tab,4,FALSE())),0,(VLOOKUP($P423,Member_Tab,4,FALSE()) * 0.2 * AS$7) * (IF(AND(AS$5 &gt;= VLOOKUP($P423,Member_Tab,6,FALSE()), AS$5 &lt;= VLOOKUP($P423,Member_Tab,7,FALSE())),1,0))  )</f>
        <v>0</v>
      </c>
      <c r="AT423" s="76" t="n">
        <f aca="false">IF(ISERROR(VLOOKUP($P423,Member_Tab,4,FALSE())),0,(VLOOKUP($P423,Member_Tab,4,FALSE()) * 0.2 * AT$7) * (IF(AND(AT$5 &gt;= VLOOKUP($P423,Member_Tab,6,FALSE()), AT$5 &lt;= VLOOKUP($P423,Member_Tab,7,FALSE())),1,0))  )</f>
        <v>0</v>
      </c>
      <c r="AU423" s="76" t="n">
        <f aca="false">IF(ISERROR(VLOOKUP($P423,Member_Tab,4,FALSE())),0,(VLOOKUP($P423,Member_Tab,4,FALSE()) * 0.2 * AU$7) * (IF(AND(AU$5 &gt;= VLOOKUP($P423,Member_Tab,6,FALSE()), AU$5 &lt;= VLOOKUP($P423,Member_Tab,7,FALSE())),1,0))  )</f>
        <v>0</v>
      </c>
      <c r="AV423" s="76" t="n">
        <f aca="false">IF(ISERROR(VLOOKUP($P423,Member_Tab,4,FALSE())),0,(VLOOKUP($P423,Member_Tab,4,FALSE()) * 0.2 * AV$7) * (IF(AND(AV$5 &gt;= VLOOKUP($P423,Member_Tab,6,FALSE()), AV$5 &lt;= VLOOKUP($P423,Member_Tab,7,FALSE())),1,0))  )</f>
        <v>0</v>
      </c>
      <c r="AW423" s="76" t="n">
        <f aca="false">IF(ISERROR(VLOOKUP($P423,Member_Tab,4,FALSE())),0,(VLOOKUP($P423,Member_Tab,4,FALSE()) * 0.2 * AW$7) * (IF(AND(AW$5 &gt;= VLOOKUP($P423,Member_Tab,6,FALSE()), AW$5 &lt;= VLOOKUP($P423,Member_Tab,7,FALSE())),1,0))  )</f>
        <v>0</v>
      </c>
      <c r="AX423" s="76" t="n">
        <f aca="false">IF(ISERROR(VLOOKUP($P423,Member_Tab,4,FALSE())),0,(VLOOKUP($P423,Member_Tab,4,FALSE()) * 0.2 * AX$7) * (IF(AND(AX$5 &gt;= VLOOKUP($P423,Member_Tab,6,FALSE()), AX$5 &lt;= VLOOKUP($P423,Member_Tab,7,FALSE())),1,0))  )</f>
        <v>0</v>
      </c>
      <c r="AY423" s="76" t="n">
        <f aca="false">IF(ISERROR(VLOOKUP($P423,Member_Tab,4,FALSE())),0,(VLOOKUP($P423,Member_Tab,4,FALSE()) * 0.2 * AY$7) * (IF(AND(AY$5 &gt;= VLOOKUP($P423,Member_Tab,6,FALSE()), AY$5 &lt;= VLOOKUP($P423,Member_Tab,7,FALSE())),1,0))  )</f>
        <v>0</v>
      </c>
      <c r="AZ423" s="76" t="n">
        <f aca="false">IF(ISERROR(VLOOKUP($P423,Member_Tab,4,FALSE())),0,(VLOOKUP($P423,Member_Tab,4,FALSE()) * 0.2 * AZ$7) * (IF(AND(AZ$5 &gt;= VLOOKUP($P423,Member_Tab,6,FALSE()), AZ$5 &lt;= VLOOKUP($P423,Member_Tab,7,FALSE())),1,0))  )</f>
        <v>0</v>
      </c>
      <c r="BA423" s="76" t="n">
        <f aca="false">IF(ISERROR(VLOOKUP($P423,Member_Tab,4,FALSE())),0,(VLOOKUP($P423,Member_Tab,4,FALSE()) * 0.2 * BA$7) * (IF(AND(BA$5 &gt;= VLOOKUP($P423,Member_Tab,6,FALSE()), BA$5 &lt;= VLOOKUP($P423,Member_Tab,7,FALSE())),1,0))  )</f>
        <v>0</v>
      </c>
      <c r="BB423" s="76" t="n">
        <f aca="false">IF(ISERROR(VLOOKUP($P423,Member_Tab,4,FALSE())),0,(VLOOKUP($P423,Member_Tab,4,FALSE()) * 0.2 * BB$7) * (IF(AND(BB$5 &gt;= VLOOKUP($P423,Member_Tab,6,FALSE()), BB$5 &lt;= VLOOKUP($P423,Member_Tab,7,FALSE())),1,0))  )</f>
        <v>0</v>
      </c>
    </row>
    <row r="424" s="173" customFormat="true" ht="15" hidden="true" customHeight="false" outlineLevel="1" collapsed="false">
      <c r="E424" s="40"/>
      <c r="K424" s="40"/>
      <c r="L424" s="40"/>
      <c r="M424" s="40"/>
      <c r="N424" s="40"/>
      <c r="P424" s="177" t="n">
        <f aca="false">P287</f>
        <v>0</v>
      </c>
      <c r="Q424" s="40"/>
      <c r="R424" s="178"/>
      <c r="S424" s="76" t="n">
        <f aca="false">IF(ISERROR(VLOOKUP($P424,Member_Tab,4,FALSE())),0,(VLOOKUP($P424,Member_Tab,4,FALSE()) * 0.2 * S$7) * (IF(AND(S$5 &gt;= VLOOKUP($P424,Member_Tab,6,FALSE()), S$5 &lt;= VLOOKUP($P424,Member_Tab,7,FALSE())),1,0))  )</f>
        <v>0</v>
      </c>
      <c r="T424" s="76" t="n">
        <f aca="false">IF(ISERROR(VLOOKUP($P424,Member_Tab,4,FALSE())),0,(VLOOKUP($P424,Member_Tab,4,FALSE()) * 0.2 * T$7) * (IF(AND(T$5 &gt;= VLOOKUP($P424,Member_Tab,6,FALSE()), T$5 &lt;= VLOOKUP($P424,Member_Tab,7,FALSE())),1,0))  )</f>
        <v>0</v>
      </c>
      <c r="U424" s="76" t="n">
        <f aca="false">IF(ISERROR(VLOOKUP($P424,Member_Tab,4,FALSE())),0,(VLOOKUP($P424,Member_Tab,4,FALSE()) * 0.2 * U$7) * (IF(AND(U$5 &gt;= VLOOKUP($P424,Member_Tab,6,FALSE()), U$5 &lt;= VLOOKUP($P424,Member_Tab,7,FALSE())),1,0))  )</f>
        <v>0</v>
      </c>
      <c r="V424" s="76" t="n">
        <f aca="false">IF(ISERROR(VLOOKUP($P424,Member_Tab,4,FALSE())),0,(VLOOKUP($P424,Member_Tab,4,FALSE()) * 0.2 * V$7) * (IF(AND(V$5 &gt;= VLOOKUP($P424,Member_Tab,6,FALSE()), V$5 &lt;= VLOOKUP($P424,Member_Tab,7,FALSE())),1,0))  )</f>
        <v>0</v>
      </c>
      <c r="W424" s="76" t="n">
        <f aca="false">IF(ISERROR(VLOOKUP($P424,Member_Tab,4,FALSE())),0,(VLOOKUP($P424,Member_Tab,4,FALSE()) * 0.2 * W$7) * (IF(AND(W$5 &gt;= VLOOKUP($P424,Member_Tab,6,FALSE()), W$5 &lt;= VLOOKUP($P424,Member_Tab,7,FALSE())),1,0))  )</f>
        <v>0</v>
      </c>
      <c r="X424" s="76" t="n">
        <f aca="false">IF(ISERROR(VLOOKUP($P424,Member_Tab,4,FALSE())),0,(VLOOKUP($P424,Member_Tab,4,FALSE()) * 0.2 * X$7) * (IF(AND(X$5 &gt;= VLOOKUP($P424,Member_Tab,6,FALSE()), X$5 &lt;= VLOOKUP($P424,Member_Tab,7,FALSE())),1,0))  )</f>
        <v>0</v>
      </c>
      <c r="Y424" s="76" t="n">
        <f aca="false">IF(ISERROR(VLOOKUP($P424,Member_Tab,4,FALSE())),0,(VLOOKUP($P424,Member_Tab,4,FALSE()) * 0.2 * Y$7) * (IF(AND(Y$5 &gt;= VLOOKUP($P424,Member_Tab,6,FALSE()), Y$5 &lt;= VLOOKUP($P424,Member_Tab,7,FALSE())),1,0))  )</f>
        <v>0</v>
      </c>
      <c r="Z424" s="76" t="n">
        <f aca="false">IF(ISERROR(VLOOKUP($P424,Member_Tab,4,FALSE())),0,(VLOOKUP($P424,Member_Tab,4,FALSE()) * 0.2 * Z$7) * (IF(AND(Z$5 &gt;= VLOOKUP($P424,Member_Tab,6,FALSE()), Z$5 &lt;= VLOOKUP($P424,Member_Tab,7,FALSE())),1,0))  )</f>
        <v>0</v>
      </c>
      <c r="AA424" s="76" t="n">
        <f aca="false">IF(ISERROR(VLOOKUP($P424,Member_Tab,4,FALSE())),0,(VLOOKUP($P424,Member_Tab,4,FALSE()) * 0.2 * AA$7) * (IF(AND(AA$5 &gt;= VLOOKUP($P424,Member_Tab,6,FALSE()), AA$5 &lt;= VLOOKUP($P424,Member_Tab,7,FALSE())),1,0))  )</f>
        <v>0</v>
      </c>
      <c r="AB424" s="76" t="n">
        <f aca="false">IF(ISERROR(VLOOKUP($P424,Member_Tab,4,FALSE())),0,(VLOOKUP($P424,Member_Tab,4,FALSE()) * 0.2 * AB$7) * (IF(AND(AB$5 &gt;= VLOOKUP($P424,Member_Tab,6,FALSE()), AB$5 &lt;= VLOOKUP($P424,Member_Tab,7,FALSE())),1,0))  )</f>
        <v>0</v>
      </c>
      <c r="AC424" s="76" t="n">
        <f aca="false">IF(ISERROR(VLOOKUP($P424,Member_Tab,4,FALSE())),0,(VLOOKUP($P424,Member_Tab,4,FALSE()) * 0.2 * AC$7) * (IF(AND(AC$5 &gt;= VLOOKUP($P424,Member_Tab,6,FALSE()), AC$5 &lt;= VLOOKUP($P424,Member_Tab,7,FALSE())),1,0))  )</f>
        <v>0</v>
      </c>
      <c r="AD424" s="76" t="n">
        <f aca="false">IF(ISERROR(VLOOKUP($P424,Member_Tab,4,FALSE())),0,(VLOOKUP($P424,Member_Tab,4,FALSE()) * 0.2 * AD$7) * (IF(AND(AD$5 &gt;= VLOOKUP($P424,Member_Tab,6,FALSE()), AD$5 &lt;= VLOOKUP($P424,Member_Tab,7,FALSE())),1,0))  )</f>
        <v>0</v>
      </c>
      <c r="AE424" s="76" t="n">
        <f aca="false">IF(ISERROR(VLOOKUP($P424,Member_Tab,4,FALSE())),0,(VLOOKUP($P424,Member_Tab,4,FALSE()) * 0.2 * AE$7) * (IF(AND(AE$5 &gt;= VLOOKUP($P424,Member_Tab,6,FALSE()), AE$5 &lt;= VLOOKUP($P424,Member_Tab,7,FALSE())),1,0))  )</f>
        <v>0</v>
      </c>
      <c r="AF424" s="76" t="n">
        <f aca="false">IF(ISERROR(VLOOKUP($P424,Member_Tab,4,FALSE())),0,(VLOOKUP($P424,Member_Tab,4,FALSE()) * 0.2 * AF$7) * (IF(AND(AF$5 &gt;= VLOOKUP($P424,Member_Tab,6,FALSE()), AF$5 &lt;= VLOOKUP($P424,Member_Tab,7,FALSE())),1,0))  )</f>
        <v>0</v>
      </c>
      <c r="AG424" s="76" t="n">
        <f aca="false">IF(ISERROR(VLOOKUP($P424,Member_Tab,4,FALSE())),0,(VLOOKUP($P424,Member_Tab,4,FALSE()) * 0.2 * AG$7) * (IF(AND(AG$5 &gt;= VLOOKUP($P424,Member_Tab,6,FALSE()), AG$5 &lt;= VLOOKUP($P424,Member_Tab,7,FALSE())),1,0))  )</f>
        <v>0</v>
      </c>
      <c r="AH424" s="76" t="n">
        <f aca="false">IF(ISERROR(VLOOKUP($P424,Member_Tab,4,FALSE())),0,(VLOOKUP($P424,Member_Tab,4,FALSE()) * 0.2 * AH$7) * (IF(AND(AH$5 &gt;= VLOOKUP($P424,Member_Tab,6,FALSE()), AH$5 &lt;= VLOOKUP($P424,Member_Tab,7,FALSE())),1,0))  )</f>
        <v>0</v>
      </c>
      <c r="AI424" s="76" t="n">
        <f aca="false">IF(ISERROR(VLOOKUP($P424,Member_Tab,4,FALSE())),0,(VLOOKUP($P424,Member_Tab,4,FALSE()) * 0.2 * AI$7) * (IF(AND(AI$5 &gt;= VLOOKUP($P424,Member_Tab,6,FALSE()), AI$5 &lt;= VLOOKUP($P424,Member_Tab,7,FALSE())),1,0))  )</f>
        <v>0</v>
      </c>
      <c r="AJ424" s="76" t="n">
        <f aca="false">IF(ISERROR(VLOOKUP($P424,Member_Tab,4,FALSE())),0,(VLOOKUP($P424,Member_Tab,4,FALSE()) * 0.2 * AJ$7) * (IF(AND(AJ$5 &gt;= VLOOKUP($P424,Member_Tab,6,FALSE()), AJ$5 &lt;= VLOOKUP($P424,Member_Tab,7,FALSE())),1,0))  )</f>
        <v>0</v>
      </c>
      <c r="AK424" s="76" t="n">
        <f aca="false">IF(ISERROR(VLOOKUP($P424,Member_Tab,4,FALSE())),0,(VLOOKUP($P424,Member_Tab,4,FALSE()) * 0.2 * AK$7) * (IF(AND(AK$5 &gt;= VLOOKUP($P424,Member_Tab,6,FALSE()), AK$5 &lt;= VLOOKUP($P424,Member_Tab,7,FALSE())),1,0))  )</f>
        <v>0</v>
      </c>
      <c r="AL424" s="76" t="n">
        <f aca="false">IF(ISERROR(VLOOKUP($P424,Member_Tab,4,FALSE())),0,(VLOOKUP($P424,Member_Tab,4,FALSE()) * 0.2 * AL$7) * (IF(AND(AL$5 &gt;= VLOOKUP($P424,Member_Tab,6,FALSE()), AL$5 &lt;= VLOOKUP($P424,Member_Tab,7,FALSE())),1,0))  )</f>
        <v>0</v>
      </c>
      <c r="AM424" s="76" t="n">
        <f aca="false">IF(ISERROR(VLOOKUP($P424,Member_Tab,4,FALSE())),0,(VLOOKUP($P424,Member_Tab,4,FALSE()) * 0.2 * AM$7) * (IF(AND(AM$5 &gt;= VLOOKUP($P424,Member_Tab,6,FALSE()), AM$5 &lt;= VLOOKUP($P424,Member_Tab,7,FALSE())),1,0))  )</f>
        <v>0</v>
      </c>
      <c r="AN424" s="76" t="n">
        <f aca="false">IF(ISERROR(VLOOKUP($P424,Member_Tab,4,FALSE())),0,(VLOOKUP($P424,Member_Tab,4,FALSE()) * 0.2 * AN$7) * (IF(AND(AN$5 &gt;= VLOOKUP($P424,Member_Tab,6,FALSE()), AN$5 &lt;= VLOOKUP($P424,Member_Tab,7,FALSE())),1,0))  )</f>
        <v>0</v>
      </c>
      <c r="AO424" s="76" t="n">
        <f aca="false">IF(ISERROR(VLOOKUP($P424,Member_Tab,4,FALSE())),0,(VLOOKUP($P424,Member_Tab,4,FALSE()) * 0.2 * AO$7) * (IF(AND(AO$5 &gt;= VLOOKUP($P424,Member_Tab,6,FALSE()), AO$5 &lt;= VLOOKUP($P424,Member_Tab,7,FALSE())),1,0))  )</f>
        <v>0</v>
      </c>
      <c r="AP424" s="76" t="n">
        <f aca="false">IF(ISERROR(VLOOKUP($P424,Member_Tab,4,FALSE())),0,(VLOOKUP($P424,Member_Tab,4,FALSE()) * 0.2 * AP$7) * (IF(AND(AP$5 &gt;= VLOOKUP($P424,Member_Tab,6,FALSE()), AP$5 &lt;= VLOOKUP($P424,Member_Tab,7,FALSE())),1,0))  )</f>
        <v>0</v>
      </c>
      <c r="AQ424" s="76" t="n">
        <f aca="false">IF(ISERROR(VLOOKUP($P424,Member_Tab,4,FALSE())),0,(VLOOKUP($P424,Member_Tab,4,FALSE()) * 0.2 * AQ$7) * (IF(AND(AQ$5 &gt;= VLOOKUP($P424,Member_Tab,6,FALSE()), AQ$5 &lt;= VLOOKUP($P424,Member_Tab,7,FALSE())),1,0))  )</f>
        <v>0</v>
      </c>
      <c r="AR424" s="76" t="n">
        <f aca="false">IF(ISERROR(VLOOKUP($P424,Member_Tab,4,FALSE())),0,(VLOOKUP($P424,Member_Tab,4,FALSE()) * 0.2 * AR$7) * (IF(AND(AR$5 &gt;= VLOOKUP($P424,Member_Tab,6,FALSE()), AR$5 &lt;= VLOOKUP($P424,Member_Tab,7,FALSE())),1,0))  )</f>
        <v>0</v>
      </c>
      <c r="AS424" s="76" t="n">
        <f aca="false">IF(ISERROR(VLOOKUP($P424,Member_Tab,4,FALSE())),0,(VLOOKUP($P424,Member_Tab,4,FALSE()) * 0.2 * AS$7) * (IF(AND(AS$5 &gt;= VLOOKUP($P424,Member_Tab,6,FALSE()), AS$5 &lt;= VLOOKUP($P424,Member_Tab,7,FALSE())),1,0))  )</f>
        <v>0</v>
      </c>
      <c r="AT424" s="76" t="n">
        <f aca="false">IF(ISERROR(VLOOKUP($P424,Member_Tab,4,FALSE())),0,(VLOOKUP($P424,Member_Tab,4,FALSE()) * 0.2 * AT$7) * (IF(AND(AT$5 &gt;= VLOOKUP($P424,Member_Tab,6,FALSE()), AT$5 &lt;= VLOOKUP($P424,Member_Tab,7,FALSE())),1,0))  )</f>
        <v>0</v>
      </c>
      <c r="AU424" s="76" t="n">
        <f aca="false">IF(ISERROR(VLOOKUP($P424,Member_Tab,4,FALSE())),0,(VLOOKUP($P424,Member_Tab,4,FALSE()) * 0.2 * AU$7) * (IF(AND(AU$5 &gt;= VLOOKUP($P424,Member_Tab,6,FALSE()), AU$5 &lt;= VLOOKUP($P424,Member_Tab,7,FALSE())),1,0))  )</f>
        <v>0</v>
      </c>
      <c r="AV424" s="76" t="n">
        <f aca="false">IF(ISERROR(VLOOKUP($P424,Member_Tab,4,FALSE())),0,(VLOOKUP($P424,Member_Tab,4,FALSE()) * 0.2 * AV$7) * (IF(AND(AV$5 &gt;= VLOOKUP($P424,Member_Tab,6,FALSE()), AV$5 &lt;= VLOOKUP($P424,Member_Tab,7,FALSE())),1,0))  )</f>
        <v>0</v>
      </c>
      <c r="AW424" s="76" t="n">
        <f aca="false">IF(ISERROR(VLOOKUP($P424,Member_Tab,4,FALSE())),0,(VLOOKUP($P424,Member_Tab,4,FALSE()) * 0.2 * AW$7) * (IF(AND(AW$5 &gt;= VLOOKUP($P424,Member_Tab,6,FALSE()), AW$5 &lt;= VLOOKUP($P424,Member_Tab,7,FALSE())),1,0))  )</f>
        <v>0</v>
      </c>
      <c r="AX424" s="76" t="n">
        <f aca="false">IF(ISERROR(VLOOKUP($P424,Member_Tab,4,FALSE())),0,(VLOOKUP($P424,Member_Tab,4,FALSE()) * 0.2 * AX$7) * (IF(AND(AX$5 &gt;= VLOOKUP($P424,Member_Tab,6,FALSE()), AX$5 &lt;= VLOOKUP($P424,Member_Tab,7,FALSE())),1,0))  )</f>
        <v>0</v>
      </c>
      <c r="AY424" s="76" t="n">
        <f aca="false">IF(ISERROR(VLOOKUP($P424,Member_Tab,4,FALSE())),0,(VLOOKUP($P424,Member_Tab,4,FALSE()) * 0.2 * AY$7) * (IF(AND(AY$5 &gt;= VLOOKUP($P424,Member_Tab,6,FALSE()), AY$5 &lt;= VLOOKUP($P424,Member_Tab,7,FALSE())),1,0))  )</f>
        <v>0</v>
      </c>
      <c r="AZ424" s="76" t="n">
        <f aca="false">IF(ISERROR(VLOOKUP($P424,Member_Tab,4,FALSE())),0,(VLOOKUP($P424,Member_Tab,4,FALSE()) * 0.2 * AZ$7) * (IF(AND(AZ$5 &gt;= VLOOKUP($P424,Member_Tab,6,FALSE()), AZ$5 &lt;= VLOOKUP($P424,Member_Tab,7,FALSE())),1,0))  )</f>
        <v>0</v>
      </c>
      <c r="BA424" s="76" t="n">
        <f aca="false">IF(ISERROR(VLOOKUP($P424,Member_Tab,4,FALSE())),0,(VLOOKUP($P424,Member_Tab,4,FALSE()) * 0.2 * BA$7) * (IF(AND(BA$5 &gt;= VLOOKUP($P424,Member_Tab,6,FALSE()), BA$5 &lt;= VLOOKUP($P424,Member_Tab,7,FALSE())),1,0))  )</f>
        <v>0</v>
      </c>
      <c r="BB424" s="76" t="n">
        <f aca="false">IF(ISERROR(VLOOKUP($P424,Member_Tab,4,FALSE())),0,(VLOOKUP($P424,Member_Tab,4,FALSE()) * 0.2 * BB$7) * (IF(AND(BB$5 &gt;= VLOOKUP($P424,Member_Tab,6,FALSE()), BB$5 &lt;= VLOOKUP($P424,Member_Tab,7,FALSE())),1,0))  )</f>
        <v>0</v>
      </c>
    </row>
    <row r="425" s="173" customFormat="true" ht="15" hidden="true" customHeight="false" outlineLevel="1" collapsed="false">
      <c r="E425" s="40"/>
      <c r="K425" s="40"/>
      <c r="L425" s="40"/>
      <c r="M425" s="40"/>
      <c r="N425" s="40"/>
      <c r="P425" s="177" t="n">
        <f aca="false">P288</f>
        <v>0</v>
      </c>
      <c r="Q425" s="40"/>
      <c r="R425" s="178"/>
      <c r="S425" s="76" t="n">
        <f aca="false">IF(ISERROR(VLOOKUP($P425,Member_Tab,4,FALSE())),0,(VLOOKUP($P425,Member_Tab,4,FALSE()) * 0.2 * S$7) * (IF(AND(S$5 &gt;= VLOOKUP($P425,Member_Tab,6,FALSE()), S$5 &lt;= VLOOKUP($P425,Member_Tab,7,FALSE())),1,0))  )</f>
        <v>0</v>
      </c>
      <c r="T425" s="76" t="n">
        <f aca="false">IF(ISERROR(VLOOKUP($P425,Member_Tab,4,FALSE())),0,(VLOOKUP($P425,Member_Tab,4,FALSE()) * 0.2 * T$7) * (IF(AND(T$5 &gt;= VLOOKUP($P425,Member_Tab,6,FALSE()), T$5 &lt;= VLOOKUP($P425,Member_Tab,7,FALSE())),1,0))  )</f>
        <v>0</v>
      </c>
      <c r="U425" s="76" t="n">
        <f aca="false">IF(ISERROR(VLOOKUP($P425,Member_Tab,4,FALSE())),0,(VLOOKUP($P425,Member_Tab,4,FALSE()) * 0.2 * U$7) * (IF(AND(U$5 &gt;= VLOOKUP($P425,Member_Tab,6,FALSE()), U$5 &lt;= VLOOKUP($P425,Member_Tab,7,FALSE())),1,0))  )</f>
        <v>0</v>
      </c>
      <c r="V425" s="76" t="n">
        <f aca="false">IF(ISERROR(VLOOKUP($P425,Member_Tab,4,FALSE())),0,(VLOOKUP($P425,Member_Tab,4,FALSE()) * 0.2 * V$7) * (IF(AND(V$5 &gt;= VLOOKUP($P425,Member_Tab,6,FALSE()), V$5 &lt;= VLOOKUP($P425,Member_Tab,7,FALSE())),1,0))  )</f>
        <v>0</v>
      </c>
      <c r="W425" s="76" t="n">
        <f aca="false">IF(ISERROR(VLOOKUP($P425,Member_Tab,4,FALSE())),0,(VLOOKUP($P425,Member_Tab,4,FALSE()) * 0.2 * W$7) * (IF(AND(W$5 &gt;= VLOOKUP($P425,Member_Tab,6,FALSE()), W$5 &lt;= VLOOKUP($P425,Member_Tab,7,FALSE())),1,0))  )</f>
        <v>0</v>
      </c>
      <c r="X425" s="76" t="n">
        <f aca="false">IF(ISERROR(VLOOKUP($P425,Member_Tab,4,FALSE())),0,(VLOOKUP($P425,Member_Tab,4,FALSE()) * 0.2 * X$7) * (IF(AND(X$5 &gt;= VLOOKUP($P425,Member_Tab,6,FALSE()), X$5 &lt;= VLOOKUP($P425,Member_Tab,7,FALSE())),1,0))  )</f>
        <v>0</v>
      </c>
      <c r="Y425" s="76" t="n">
        <f aca="false">IF(ISERROR(VLOOKUP($P425,Member_Tab,4,FALSE())),0,(VLOOKUP($P425,Member_Tab,4,FALSE()) * 0.2 * Y$7) * (IF(AND(Y$5 &gt;= VLOOKUP($P425,Member_Tab,6,FALSE()), Y$5 &lt;= VLOOKUP($P425,Member_Tab,7,FALSE())),1,0))  )</f>
        <v>0</v>
      </c>
      <c r="Z425" s="76" t="n">
        <f aca="false">IF(ISERROR(VLOOKUP($P425,Member_Tab,4,FALSE())),0,(VLOOKUP($P425,Member_Tab,4,FALSE()) * 0.2 * Z$7) * (IF(AND(Z$5 &gt;= VLOOKUP($P425,Member_Tab,6,FALSE()), Z$5 &lt;= VLOOKUP($P425,Member_Tab,7,FALSE())),1,0))  )</f>
        <v>0</v>
      </c>
      <c r="AA425" s="76" t="n">
        <f aca="false">IF(ISERROR(VLOOKUP($P425,Member_Tab,4,FALSE())),0,(VLOOKUP($P425,Member_Tab,4,FALSE()) * 0.2 * AA$7) * (IF(AND(AA$5 &gt;= VLOOKUP($P425,Member_Tab,6,FALSE()), AA$5 &lt;= VLOOKUP($P425,Member_Tab,7,FALSE())),1,0))  )</f>
        <v>0</v>
      </c>
      <c r="AB425" s="76" t="n">
        <f aca="false">IF(ISERROR(VLOOKUP($P425,Member_Tab,4,FALSE())),0,(VLOOKUP($P425,Member_Tab,4,FALSE()) * 0.2 * AB$7) * (IF(AND(AB$5 &gt;= VLOOKUP($P425,Member_Tab,6,FALSE()), AB$5 &lt;= VLOOKUP($P425,Member_Tab,7,FALSE())),1,0))  )</f>
        <v>0</v>
      </c>
      <c r="AC425" s="76" t="n">
        <f aca="false">IF(ISERROR(VLOOKUP($P425,Member_Tab,4,FALSE())),0,(VLOOKUP($P425,Member_Tab,4,FALSE()) * 0.2 * AC$7) * (IF(AND(AC$5 &gt;= VLOOKUP($P425,Member_Tab,6,FALSE()), AC$5 &lt;= VLOOKUP($P425,Member_Tab,7,FALSE())),1,0))  )</f>
        <v>0</v>
      </c>
      <c r="AD425" s="76" t="n">
        <f aca="false">IF(ISERROR(VLOOKUP($P425,Member_Tab,4,FALSE())),0,(VLOOKUP($P425,Member_Tab,4,FALSE()) * 0.2 * AD$7) * (IF(AND(AD$5 &gt;= VLOOKUP($P425,Member_Tab,6,FALSE()), AD$5 &lt;= VLOOKUP($P425,Member_Tab,7,FALSE())),1,0))  )</f>
        <v>0</v>
      </c>
      <c r="AE425" s="76" t="n">
        <f aca="false">IF(ISERROR(VLOOKUP($P425,Member_Tab,4,FALSE())),0,(VLOOKUP($P425,Member_Tab,4,FALSE()) * 0.2 * AE$7) * (IF(AND(AE$5 &gt;= VLOOKUP($P425,Member_Tab,6,FALSE()), AE$5 &lt;= VLOOKUP($P425,Member_Tab,7,FALSE())),1,0))  )</f>
        <v>0</v>
      </c>
      <c r="AF425" s="76" t="n">
        <f aca="false">IF(ISERROR(VLOOKUP($P425,Member_Tab,4,FALSE())),0,(VLOOKUP($P425,Member_Tab,4,FALSE()) * 0.2 * AF$7) * (IF(AND(AF$5 &gt;= VLOOKUP($P425,Member_Tab,6,FALSE()), AF$5 &lt;= VLOOKUP($P425,Member_Tab,7,FALSE())),1,0))  )</f>
        <v>0</v>
      </c>
      <c r="AG425" s="76" t="n">
        <f aca="false">IF(ISERROR(VLOOKUP($P425,Member_Tab,4,FALSE())),0,(VLOOKUP($P425,Member_Tab,4,FALSE()) * 0.2 * AG$7) * (IF(AND(AG$5 &gt;= VLOOKUP($P425,Member_Tab,6,FALSE()), AG$5 &lt;= VLOOKUP($P425,Member_Tab,7,FALSE())),1,0))  )</f>
        <v>0</v>
      </c>
      <c r="AH425" s="76" t="n">
        <f aca="false">IF(ISERROR(VLOOKUP($P425,Member_Tab,4,FALSE())),0,(VLOOKUP($P425,Member_Tab,4,FALSE()) * 0.2 * AH$7) * (IF(AND(AH$5 &gt;= VLOOKUP($P425,Member_Tab,6,FALSE()), AH$5 &lt;= VLOOKUP($P425,Member_Tab,7,FALSE())),1,0))  )</f>
        <v>0</v>
      </c>
      <c r="AI425" s="76" t="n">
        <f aca="false">IF(ISERROR(VLOOKUP($P425,Member_Tab,4,FALSE())),0,(VLOOKUP($P425,Member_Tab,4,FALSE()) * 0.2 * AI$7) * (IF(AND(AI$5 &gt;= VLOOKUP($P425,Member_Tab,6,FALSE()), AI$5 &lt;= VLOOKUP($P425,Member_Tab,7,FALSE())),1,0))  )</f>
        <v>0</v>
      </c>
      <c r="AJ425" s="76" t="n">
        <f aca="false">IF(ISERROR(VLOOKUP($P425,Member_Tab,4,FALSE())),0,(VLOOKUP($P425,Member_Tab,4,FALSE()) * 0.2 * AJ$7) * (IF(AND(AJ$5 &gt;= VLOOKUP($P425,Member_Tab,6,FALSE()), AJ$5 &lt;= VLOOKUP($P425,Member_Tab,7,FALSE())),1,0))  )</f>
        <v>0</v>
      </c>
      <c r="AK425" s="76" t="n">
        <f aca="false">IF(ISERROR(VLOOKUP($P425,Member_Tab,4,FALSE())),0,(VLOOKUP($P425,Member_Tab,4,FALSE()) * 0.2 * AK$7) * (IF(AND(AK$5 &gt;= VLOOKUP($P425,Member_Tab,6,FALSE()), AK$5 &lt;= VLOOKUP($P425,Member_Tab,7,FALSE())),1,0))  )</f>
        <v>0</v>
      </c>
      <c r="AL425" s="76" t="n">
        <f aca="false">IF(ISERROR(VLOOKUP($P425,Member_Tab,4,FALSE())),0,(VLOOKUP($P425,Member_Tab,4,FALSE()) * 0.2 * AL$7) * (IF(AND(AL$5 &gt;= VLOOKUP($P425,Member_Tab,6,FALSE()), AL$5 &lt;= VLOOKUP($P425,Member_Tab,7,FALSE())),1,0))  )</f>
        <v>0</v>
      </c>
      <c r="AM425" s="76" t="n">
        <f aca="false">IF(ISERROR(VLOOKUP($P425,Member_Tab,4,FALSE())),0,(VLOOKUP($P425,Member_Tab,4,FALSE()) * 0.2 * AM$7) * (IF(AND(AM$5 &gt;= VLOOKUP($P425,Member_Tab,6,FALSE()), AM$5 &lt;= VLOOKUP($P425,Member_Tab,7,FALSE())),1,0))  )</f>
        <v>0</v>
      </c>
      <c r="AN425" s="76" t="n">
        <f aca="false">IF(ISERROR(VLOOKUP($P425,Member_Tab,4,FALSE())),0,(VLOOKUP($P425,Member_Tab,4,FALSE()) * 0.2 * AN$7) * (IF(AND(AN$5 &gt;= VLOOKUP($P425,Member_Tab,6,FALSE()), AN$5 &lt;= VLOOKUP($P425,Member_Tab,7,FALSE())),1,0))  )</f>
        <v>0</v>
      </c>
      <c r="AO425" s="76" t="n">
        <f aca="false">IF(ISERROR(VLOOKUP($P425,Member_Tab,4,FALSE())),0,(VLOOKUP($P425,Member_Tab,4,FALSE()) * 0.2 * AO$7) * (IF(AND(AO$5 &gt;= VLOOKUP($P425,Member_Tab,6,FALSE()), AO$5 &lt;= VLOOKUP($P425,Member_Tab,7,FALSE())),1,0))  )</f>
        <v>0</v>
      </c>
      <c r="AP425" s="76" t="n">
        <f aca="false">IF(ISERROR(VLOOKUP($P425,Member_Tab,4,FALSE())),0,(VLOOKUP($P425,Member_Tab,4,FALSE()) * 0.2 * AP$7) * (IF(AND(AP$5 &gt;= VLOOKUP($P425,Member_Tab,6,FALSE()), AP$5 &lt;= VLOOKUP($P425,Member_Tab,7,FALSE())),1,0))  )</f>
        <v>0</v>
      </c>
      <c r="AQ425" s="76" t="n">
        <f aca="false">IF(ISERROR(VLOOKUP($P425,Member_Tab,4,FALSE())),0,(VLOOKUP($P425,Member_Tab,4,FALSE()) * 0.2 * AQ$7) * (IF(AND(AQ$5 &gt;= VLOOKUP($P425,Member_Tab,6,FALSE()), AQ$5 &lt;= VLOOKUP($P425,Member_Tab,7,FALSE())),1,0))  )</f>
        <v>0</v>
      </c>
      <c r="AR425" s="76" t="n">
        <f aca="false">IF(ISERROR(VLOOKUP($P425,Member_Tab,4,FALSE())),0,(VLOOKUP($P425,Member_Tab,4,FALSE()) * 0.2 * AR$7) * (IF(AND(AR$5 &gt;= VLOOKUP($P425,Member_Tab,6,FALSE()), AR$5 &lt;= VLOOKUP($P425,Member_Tab,7,FALSE())),1,0))  )</f>
        <v>0</v>
      </c>
      <c r="AS425" s="76" t="n">
        <f aca="false">IF(ISERROR(VLOOKUP($P425,Member_Tab,4,FALSE())),0,(VLOOKUP($P425,Member_Tab,4,FALSE()) * 0.2 * AS$7) * (IF(AND(AS$5 &gt;= VLOOKUP($P425,Member_Tab,6,FALSE()), AS$5 &lt;= VLOOKUP($P425,Member_Tab,7,FALSE())),1,0))  )</f>
        <v>0</v>
      </c>
      <c r="AT425" s="76" t="n">
        <f aca="false">IF(ISERROR(VLOOKUP($P425,Member_Tab,4,FALSE())),0,(VLOOKUP($P425,Member_Tab,4,FALSE()) * 0.2 * AT$7) * (IF(AND(AT$5 &gt;= VLOOKUP($P425,Member_Tab,6,FALSE()), AT$5 &lt;= VLOOKUP($P425,Member_Tab,7,FALSE())),1,0))  )</f>
        <v>0</v>
      </c>
      <c r="AU425" s="76" t="n">
        <f aca="false">IF(ISERROR(VLOOKUP($P425,Member_Tab,4,FALSE())),0,(VLOOKUP($P425,Member_Tab,4,FALSE()) * 0.2 * AU$7) * (IF(AND(AU$5 &gt;= VLOOKUP($P425,Member_Tab,6,FALSE()), AU$5 &lt;= VLOOKUP($P425,Member_Tab,7,FALSE())),1,0))  )</f>
        <v>0</v>
      </c>
      <c r="AV425" s="76" t="n">
        <f aca="false">IF(ISERROR(VLOOKUP($P425,Member_Tab,4,FALSE())),0,(VLOOKUP($P425,Member_Tab,4,FALSE()) * 0.2 * AV$7) * (IF(AND(AV$5 &gt;= VLOOKUP($P425,Member_Tab,6,FALSE()), AV$5 &lt;= VLOOKUP($P425,Member_Tab,7,FALSE())),1,0))  )</f>
        <v>0</v>
      </c>
      <c r="AW425" s="76" t="n">
        <f aca="false">IF(ISERROR(VLOOKUP($P425,Member_Tab,4,FALSE())),0,(VLOOKUP($P425,Member_Tab,4,FALSE()) * 0.2 * AW$7) * (IF(AND(AW$5 &gt;= VLOOKUP($P425,Member_Tab,6,FALSE()), AW$5 &lt;= VLOOKUP($P425,Member_Tab,7,FALSE())),1,0))  )</f>
        <v>0</v>
      </c>
      <c r="AX425" s="76" t="n">
        <f aca="false">IF(ISERROR(VLOOKUP($P425,Member_Tab,4,FALSE())),0,(VLOOKUP($P425,Member_Tab,4,FALSE()) * 0.2 * AX$7) * (IF(AND(AX$5 &gt;= VLOOKUP($P425,Member_Tab,6,FALSE()), AX$5 &lt;= VLOOKUP($P425,Member_Tab,7,FALSE())),1,0))  )</f>
        <v>0</v>
      </c>
      <c r="AY425" s="76" t="n">
        <f aca="false">IF(ISERROR(VLOOKUP($P425,Member_Tab,4,FALSE())),0,(VLOOKUP($P425,Member_Tab,4,FALSE()) * 0.2 * AY$7) * (IF(AND(AY$5 &gt;= VLOOKUP($P425,Member_Tab,6,FALSE()), AY$5 &lt;= VLOOKUP($P425,Member_Tab,7,FALSE())),1,0))  )</f>
        <v>0</v>
      </c>
      <c r="AZ425" s="76" t="n">
        <f aca="false">IF(ISERROR(VLOOKUP($P425,Member_Tab,4,FALSE())),0,(VLOOKUP($P425,Member_Tab,4,FALSE()) * 0.2 * AZ$7) * (IF(AND(AZ$5 &gt;= VLOOKUP($P425,Member_Tab,6,FALSE()), AZ$5 &lt;= VLOOKUP($P425,Member_Tab,7,FALSE())),1,0))  )</f>
        <v>0</v>
      </c>
      <c r="BA425" s="76" t="n">
        <f aca="false">IF(ISERROR(VLOOKUP($P425,Member_Tab,4,FALSE())),0,(VLOOKUP($P425,Member_Tab,4,FALSE()) * 0.2 * BA$7) * (IF(AND(BA$5 &gt;= VLOOKUP($P425,Member_Tab,6,FALSE()), BA$5 &lt;= VLOOKUP($P425,Member_Tab,7,FALSE())),1,0))  )</f>
        <v>0</v>
      </c>
      <c r="BB425" s="76" t="n">
        <f aca="false">IF(ISERROR(VLOOKUP($P425,Member_Tab,4,FALSE())),0,(VLOOKUP($P425,Member_Tab,4,FALSE()) * 0.2 * BB$7) * (IF(AND(BB$5 &gt;= VLOOKUP($P425,Member_Tab,6,FALSE()), BB$5 &lt;= VLOOKUP($P425,Member_Tab,7,FALSE())),1,0))  )</f>
        <v>0</v>
      </c>
    </row>
    <row r="426" s="173" customFormat="true" ht="15" hidden="true" customHeight="false" outlineLevel="1" collapsed="false">
      <c r="E426" s="40"/>
      <c r="K426" s="40"/>
      <c r="L426" s="40"/>
      <c r="M426" s="40"/>
      <c r="N426" s="40"/>
      <c r="P426" s="177" t="n">
        <f aca="false">P289</f>
        <v>0</v>
      </c>
      <c r="Q426" s="40"/>
      <c r="R426" s="178"/>
      <c r="S426" s="76" t="n">
        <f aca="false">IF(ISERROR(VLOOKUP($P426,Member_Tab,4,FALSE())),0,(VLOOKUP($P426,Member_Tab,4,FALSE()) * 0.2 * S$7) * (IF(AND(S$5 &gt;= VLOOKUP($P426,Member_Tab,6,FALSE()), S$5 &lt;= VLOOKUP($P426,Member_Tab,7,FALSE())),1,0))  )</f>
        <v>0</v>
      </c>
      <c r="T426" s="76" t="n">
        <f aca="false">IF(ISERROR(VLOOKUP($P426,Member_Tab,4,FALSE())),0,(VLOOKUP($P426,Member_Tab,4,FALSE()) * 0.2 * T$7) * (IF(AND(T$5 &gt;= VLOOKUP($P426,Member_Tab,6,FALSE()), T$5 &lt;= VLOOKUP($P426,Member_Tab,7,FALSE())),1,0))  )</f>
        <v>0</v>
      </c>
      <c r="U426" s="76" t="n">
        <f aca="false">IF(ISERROR(VLOOKUP($P426,Member_Tab,4,FALSE())),0,(VLOOKUP($P426,Member_Tab,4,FALSE()) * 0.2 * U$7) * (IF(AND(U$5 &gt;= VLOOKUP($P426,Member_Tab,6,FALSE()), U$5 &lt;= VLOOKUP($P426,Member_Tab,7,FALSE())),1,0))  )</f>
        <v>0</v>
      </c>
      <c r="V426" s="76" t="n">
        <f aca="false">IF(ISERROR(VLOOKUP($P426,Member_Tab,4,FALSE())),0,(VLOOKUP($P426,Member_Tab,4,FALSE()) * 0.2 * V$7) * (IF(AND(V$5 &gt;= VLOOKUP($P426,Member_Tab,6,FALSE()), V$5 &lt;= VLOOKUP($P426,Member_Tab,7,FALSE())),1,0))  )</f>
        <v>0</v>
      </c>
      <c r="W426" s="76" t="n">
        <f aca="false">IF(ISERROR(VLOOKUP($P426,Member_Tab,4,FALSE())),0,(VLOOKUP($P426,Member_Tab,4,FALSE()) * 0.2 * W$7) * (IF(AND(W$5 &gt;= VLOOKUP($P426,Member_Tab,6,FALSE()), W$5 &lt;= VLOOKUP($P426,Member_Tab,7,FALSE())),1,0))  )</f>
        <v>0</v>
      </c>
      <c r="X426" s="76" t="n">
        <f aca="false">IF(ISERROR(VLOOKUP($P426,Member_Tab,4,FALSE())),0,(VLOOKUP($P426,Member_Tab,4,FALSE()) * 0.2 * X$7) * (IF(AND(X$5 &gt;= VLOOKUP($P426,Member_Tab,6,FALSE()), X$5 &lt;= VLOOKUP($P426,Member_Tab,7,FALSE())),1,0))  )</f>
        <v>0</v>
      </c>
      <c r="Y426" s="76" t="n">
        <f aca="false">IF(ISERROR(VLOOKUP($P426,Member_Tab,4,FALSE())),0,(VLOOKUP($P426,Member_Tab,4,FALSE()) * 0.2 * Y$7) * (IF(AND(Y$5 &gt;= VLOOKUP($P426,Member_Tab,6,FALSE()), Y$5 &lt;= VLOOKUP($P426,Member_Tab,7,FALSE())),1,0))  )</f>
        <v>0</v>
      </c>
      <c r="Z426" s="76" t="n">
        <f aca="false">IF(ISERROR(VLOOKUP($P426,Member_Tab,4,FALSE())),0,(VLOOKUP($P426,Member_Tab,4,FALSE()) * 0.2 * Z$7) * (IF(AND(Z$5 &gt;= VLOOKUP($P426,Member_Tab,6,FALSE()), Z$5 &lt;= VLOOKUP($P426,Member_Tab,7,FALSE())),1,0))  )</f>
        <v>0</v>
      </c>
      <c r="AA426" s="76" t="n">
        <f aca="false">IF(ISERROR(VLOOKUP($P426,Member_Tab,4,FALSE())),0,(VLOOKUP($P426,Member_Tab,4,FALSE()) * 0.2 * AA$7) * (IF(AND(AA$5 &gt;= VLOOKUP($P426,Member_Tab,6,FALSE()), AA$5 &lt;= VLOOKUP($P426,Member_Tab,7,FALSE())),1,0))  )</f>
        <v>0</v>
      </c>
      <c r="AB426" s="76" t="n">
        <f aca="false">IF(ISERROR(VLOOKUP($P426,Member_Tab,4,FALSE())),0,(VLOOKUP($P426,Member_Tab,4,FALSE()) * 0.2 * AB$7) * (IF(AND(AB$5 &gt;= VLOOKUP($P426,Member_Tab,6,FALSE()), AB$5 &lt;= VLOOKUP($P426,Member_Tab,7,FALSE())),1,0))  )</f>
        <v>0</v>
      </c>
      <c r="AC426" s="76" t="n">
        <f aca="false">IF(ISERROR(VLOOKUP($P426,Member_Tab,4,FALSE())),0,(VLOOKUP($P426,Member_Tab,4,FALSE()) * 0.2 * AC$7) * (IF(AND(AC$5 &gt;= VLOOKUP($P426,Member_Tab,6,FALSE()), AC$5 &lt;= VLOOKUP($P426,Member_Tab,7,FALSE())),1,0))  )</f>
        <v>0</v>
      </c>
      <c r="AD426" s="76" t="n">
        <f aca="false">IF(ISERROR(VLOOKUP($P426,Member_Tab,4,FALSE())),0,(VLOOKUP($P426,Member_Tab,4,FALSE()) * 0.2 * AD$7) * (IF(AND(AD$5 &gt;= VLOOKUP($P426,Member_Tab,6,FALSE()), AD$5 &lt;= VLOOKUP($P426,Member_Tab,7,FALSE())),1,0))  )</f>
        <v>0</v>
      </c>
      <c r="AE426" s="76" t="n">
        <f aca="false">IF(ISERROR(VLOOKUP($P426,Member_Tab,4,FALSE())),0,(VLOOKUP($P426,Member_Tab,4,FALSE()) * 0.2 * AE$7) * (IF(AND(AE$5 &gt;= VLOOKUP($P426,Member_Tab,6,FALSE()), AE$5 &lt;= VLOOKUP($P426,Member_Tab,7,FALSE())),1,0))  )</f>
        <v>0</v>
      </c>
      <c r="AF426" s="76" t="n">
        <f aca="false">IF(ISERROR(VLOOKUP($P426,Member_Tab,4,FALSE())),0,(VLOOKUP($P426,Member_Tab,4,FALSE()) * 0.2 * AF$7) * (IF(AND(AF$5 &gt;= VLOOKUP($P426,Member_Tab,6,FALSE()), AF$5 &lt;= VLOOKUP($P426,Member_Tab,7,FALSE())),1,0))  )</f>
        <v>0</v>
      </c>
      <c r="AG426" s="76" t="n">
        <f aca="false">IF(ISERROR(VLOOKUP($P426,Member_Tab,4,FALSE())),0,(VLOOKUP($P426,Member_Tab,4,FALSE()) * 0.2 * AG$7) * (IF(AND(AG$5 &gt;= VLOOKUP($P426,Member_Tab,6,FALSE()), AG$5 &lt;= VLOOKUP($P426,Member_Tab,7,FALSE())),1,0))  )</f>
        <v>0</v>
      </c>
      <c r="AH426" s="76" t="n">
        <f aca="false">IF(ISERROR(VLOOKUP($P426,Member_Tab,4,FALSE())),0,(VLOOKUP($P426,Member_Tab,4,FALSE()) * 0.2 * AH$7) * (IF(AND(AH$5 &gt;= VLOOKUP($P426,Member_Tab,6,FALSE()), AH$5 &lt;= VLOOKUP($P426,Member_Tab,7,FALSE())),1,0))  )</f>
        <v>0</v>
      </c>
      <c r="AI426" s="76" t="n">
        <f aca="false">IF(ISERROR(VLOOKUP($P426,Member_Tab,4,FALSE())),0,(VLOOKUP($P426,Member_Tab,4,FALSE()) * 0.2 * AI$7) * (IF(AND(AI$5 &gt;= VLOOKUP($P426,Member_Tab,6,FALSE()), AI$5 &lt;= VLOOKUP($P426,Member_Tab,7,FALSE())),1,0))  )</f>
        <v>0</v>
      </c>
      <c r="AJ426" s="76" t="n">
        <f aca="false">IF(ISERROR(VLOOKUP($P426,Member_Tab,4,FALSE())),0,(VLOOKUP($P426,Member_Tab,4,FALSE()) * 0.2 * AJ$7) * (IF(AND(AJ$5 &gt;= VLOOKUP($P426,Member_Tab,6,FALSE()), AJ$5 &lt;= VLOOKUP($P426,Member_Tab,7,FALSE())),1,0))  )</f>
        <v>0</v>
      </c>
      <c r="AK426" s="76" t="n">
        <f aca="false">IF(ISERROR(VLOOKUP($P426,Member_Tab,4,FALSE())),0,(VLOOKUP($P426,Member_Tab,4,FALSE()) * 0.2 * AK$7) * (IF(AND(AK$5 &gt;= VLOOKUP($P426,Member_Tab,6,FALSE()), AK$5 &lt;= VLOOKUP($P426,Member_Tab,7,FALSE())),1,0))  )</f>
        <v>0</v>
      </c>
      <c r="AL426" s="76" t="n">
        <f aca="false">IF(ISERROR(VLOOKUP($P426,Member_Tab,4,FALSE())),0,(VLOOKUP($P426,Member_Tab,4,FALSE()) * 0.2 * AL$7) * (IF(AND(AL$5 &gt;= VLOOKUP($P426,Member_Tab,6,FALSE()), AL$5 &lt;= VLOOKUP($P426,Member_Tab,7,FALSE())),1,0))  )</f>
        <v>0</v>
      </c>
      <c r="AM426" s="76" t="n">
        <f aca="false">IF(ISERROR(VLOOKUP($P426,Member_Tab,4,FALSE())),0,(VLOOKUP($P426,Member_Tab,4,FALSE()) * 0.2 * AM$7) * (IF(AND(AM$5 &gt;= VLOOKUP($P426,Member_Tab,6,FALSE()), AM$5 &lt;= VLOOKUP($P426,Member_Tab,7,FALSE())),1,0))  )</f>
        <v>0</v>
      </c>
      <c r="AN426" s="76" t="n">
        <f aca="false">IF(ISERROR(VLOOKUP($P426,Member_Tab,4,FALSE())),0,(VLOOKUP($P426,Member_Tab,4,FALSE()) * 0.2 * AN$7) * (IF(AND(AN$5 &gt;= VLOOKUP($P426,Member_Tab,6,FALSE()), AN$5 &lt;= VLOOKUP($P426,Member_Tab,7,FALSE())),1,0))  )</f>
        <v>0</v>
      </c>
      <c r="AO426" s="76" t="n">
        <f aca="false">IF(ISERROR(VLOOKUP($P426,Member_Tab,4,FALSE())),0,(VLOOKUP($P426,Member_Tab,4,FALSE()) * 0.2 * AO$7) * (IF(AND(AO$5 &gt;= VLOOKUP($P426,Member_Tab,6,FALSE()), AO$5 &lt;= VLOOKUP($P426,Member_Tab,7,FALSE())),1,0))  )</f>
        <v>0</v>
      </c>
      <c r="AP426" s="76" t="n">
        <f aca="false">IF(ISERROR(VLOOKUP($P426,Member_Tab,4,FALSE())),0,(VLOOKUP($P426,Member_Tab,4,FALSE()) * 0.2 * AP$7) * (IF(AND(AP$5 &gt;= VLOOKUP($P426,Member_Tab,6,FALSE()), AP$5 &lt;= VLOOKUP($P426,Member_Tab,7,FALSE())),1,0))  )</f>
        <v>0</v>
      </c>
      <c r="AQ426" s="76" t="n">
        <f aca="false">IF(ISERROR(VLOOKUP($P426,Member_Tab,4,FALSE())),0,(VLOOKUP($P426,Member_Tab,4,FALSE()) * 0.2 * AQ$7) * (IF(AND(AQ$5 &gt;= VLOOKUP($P426,Member_Tab,6,FALSE()), AQ$5 &lt;= VLOOKUP($P426,Member_Tab,7,FALSE())),1,0))  )</f>
        <v>0</v>
      </c>
      <c r="AR426" s="76" t="n">
        <f aca="false">IF(ISERROR(VLOOKUP($P426,Member_Tab,4,FALSE())),0,(VLOOKUP($P426,Member_Tab,4,FALSE()) * 0.2 * AR$7) * (IF(AND(AR$5 &gt;= VLOOKUP($P426,Member_Tab,6,FALSE()), AR$5 &lt;= VLOOKUP($P426,Member_Tab,7,FALSE())),1,0))  )</f>
        <v>0</v>
      </c>
      <c r="AS426" s="76" t="n">
        <f aca="false">IF(ISERROR(VLOOKUP($P426,Member_Tab,4,FALSE())),0,(VLOOKUP($P426,Member_Tab,4,FALSE()) * 0.2 * AS$7) * (IF(AND(AS$5 &gt;= VLOOKUP($P426,Member_Tab,6,FALSE()), AS$5 &lt;= VLOOKUP($P426,Member_Tab,7,FALSE())),1,0))  )</f>
        <v>0</v>
      </c>
      <c r="AT426" s="76" t="n">
        <f aca="false">IF(ISERROR(VLOOKUP($P426,Member_Tab,4,FALSE())),0,(VLOOKUP($P426,Member_Tab,4,FALSE()) * 0.2 * AT$7) * (IF(AND(AT$5 &gt;= VLOOKUP($P426,Member_Tab,6,FALSE()), AT$5 &lt;= VLOOKUP($P426,Member_Tab,7,FALSE())),1,0))  )</f>
        <v>0</v>
      </c>
      <c r="AU426" s="76" t="n">
        <f aca="false">IF(ISERROR(VLOOKUP($P426,Member_Tab,4,FALSE())),0,(VLOOKUP($P426,Member_Tab,4,FALSE()) * 0.2 * AU$7) * (IF(AND(AU$5 &gt;= VLOOKUP($P426,Member_Tab,6,FALSE()), AU$5 &lt;= VLOOKUP($P426,Member_Tab,7,FALSE())),1,0))  )</f>
        <v>0</v>
      </c>
      <c r="AV426" s="76" t="n">
        <f aca="false">IF(ISERROR(VLOOKUP($P426,Member_Tab,4,FALSE())),0,(VLOOKUP($P426,Member_Tab,4,FALSE()) * 0.2 * AV$7) * (IF(AND(AV$5 &gt;= VLOOKUP($P426,Member_Tab,6,FALSE()), AV$5 &lt;= VLOOKUP($P426,Member_Tab,7,FALSE())),1,0))  )</f>
        <v>0</v>
      </c>
      <c r="AW426" s="76" t="n">
        <f aca="false">IF(ISERROR(VLOOKUP($P426,Member_Tab,4,FALSE())),0,(VLOOKUP($P426,Member_Tab,4,FALSE()) * 0.2 * AW$7) * (IF(AND(AW$5 &gt;= VLOOKUP($P426,Member_Tab,6,FALSE()), AW$5 &lt;= VLOOKUP($P426,Member_Tab,7,FALSE())),1,0))  )</f>
        <v>0</v>
      </c>
      <c r="AX426" s="76" t="n">
        <f aca="false">IF(ISERROR(VLOOKUP($P426,Member_Tab,4,FALSE())),0,(VLOOKUP($P426,Member_Tab,4,FALSE()) * 0.2 * AX$7) * (IF(AND(AX$5 &gt;= VLOOKUP($P426,Member_Tab,6,FALSE()), AX$5 &lt;= VLOOKUP($P426,Member_Tab,7,FALSE())),1,0))  )</f>
        <v>0</v>
      </c>
      <c r="AY426" s="76" t="n">
        <f aca="false">IF(ISERROR(VLOOKUP($P426,Member_Tab,4,FALSE())),0,(VLOOKUP($P426,Member_Tab,4,FALSE()) * 0.2 * AY$7) * (IF(AND(AY$5 &gt;= VLOOKUP($P426,Member_Tab,6,FALSE()), AY$5 &lt;= VLOOKUP($P426,Member_Tab,7,FALSE())),1,0))  )</f>
        <v>0</v>
      </c>
      <c r="AZ426" s="76" t="n">
        <f aca="false">IF(ISERROR(VLOOKUP($P426,Member_Tab,4,FALSE())),0,(VLOOKUP($P426,Member_Tab,4,FALSE()) * 0.2 * AZ$7) * (IF(AND(AZ$5 &gt;= VLOOKUP($P426,Member_Tab,6,FALSE()), AZ$5 &lt;= VLOOKUP($P426,Member_Tab,7,FALSE())),1,0))  )</f>
        <v>0</v>
      </c>
      <c r="BA426" s="76" t="n">
        <f aca="false">IF(ISERROR(VLOOKUP($P426,Member_Tab,4,FALSE())),0,(VLOOKUP($P426,Member_Tab,4,FALSE()) * 0.2 * BA$7) * (IF(AND(BA$5 &gt;= VLOOKUP($P426,Member_Tab,6,FALSE()), BA$5 &lt;= VLOOKUP($P426,Member_Tab,7,FALSE())),1,0))  )</f>
        <v>0</v>
      </c>
      <c r="BB426" s="76" t="n">
        <f aca="false">IF(ISERROR(VLOOKUP($P426,Member_Tab,4,FALSE())),0,(VLOOKUP($P426,Member_Tab,4,FALSE()) * 0.2 * BB$7) * (IF(AND(BB$5 &gt;= VLOOKUP($P426,Member_Tab,6,FALSE()), BB$5 &lt;= VLOOKUP($P426,Member_Tab,7,FALSE())),1,0))  )</f>
        <v>0</v>
      </c>
    </row>
    <row r="427" s="173" customFormat="true" ht="15" hidden="true" customHeight="false" outlineLevel="1" collapsed="false">
      <c r="E427" s="40"/>
      <c r="K427" s="40"/>
      <c r="L427" s="40"/>
      <c r="M427" s="40"/>
      <c r="N427" s="40"/>
      <c r="P427" s="177" t="n">
        <f aca="false">P290</f>
        <v>0</v>
      </c>
      <c r="Q427" s="40"/>
      <c r="R427" s="178"/>
      <c r="S427" s="76" t="n">
        <f aca="false">IF(ISERROR(VLOOKUP($P427,Member_Tab,4,FALSE())),0,(VLOOKUP($P427,Member_Tab,4,FALSE()) * 0.2 * S$7) * (IF(AND(S$5 &gt;= VLOOKUP($P427,Member_Tab,6,FALSE()), S$5 &lt;= VLOOKUP($P427,Member_Tab,7,FALSE())),1,0))  )</f>
        <v>0</v>
      </c>
      <c r="T427" s="76" t="n">
        <f aca="false">IF(ISERROR(VLOOKUP($P427,Member_Tab,4,FALSE())),0,(VLOOKUP($P427,Member_Tab,4,FALSE()) * 0.2 * T$7) * (IF(AND(T$5 &gt;= VLOOKUP($P427,Member_Tab,6,FALSE()), T$5 &lt;= VLOOKUP($P427,Member_Tab,7,FALSE())),1,0))  )</f>
        <v>0</v>
      </c>
      <c r="U427" s="76" t="n">
        <f aca="false">IF(ISERROR(VLOOKUP($P427,Member_Tab,4,FALSE())),0,(VLOOKUP($P427,Member_Tab,4,FALSE()) * 0.2 * U$7) * (IF(AND(U$5 &gt;= VLOOKUP($P427,Member_Tab,6,FALSE()), U$5 &lt;= VLOOKUP($P427,Member_Tab,7,FALSE())),1,0))  )</f>
        <v>0</v>
      </c>
      <c r="V427" s="76" t="n">
        <f aca="false">IF(ISERROR(VLOOKUP($P427,Member_Tab,4,FALSE())),0,(VLOOKUP($P427,Member_Tab,4,FALSE()) * 0.2 * V$7) * (IF(AND(V$5 &gt;= VLOOKUP($P427,Member_Tab,6,FALSE()), V$5 &lt;= VLOOKUP($P427,Member_Tab,7,FALSE())),1,0))  )</f>
        <v>0</v>
      </c>
      <c r="W427" s="76" t="n">
        <f aca="false">IF(ISERROR(VLOOKUP($P427,Member_Tab,4,FALSE())),0,(VLOOKUP($P427,Member_Tab,4,FALSE()) * 0.2 * W$7) * (IF(AND(W$5 &gt;= VLOOKUP($P427,Member_Tab,6,FALSE()), W$5 &lt;= VLOOKUP($P427,Member_Tab,7,FALSE())),1,0))  )</f>
        <v>0</v>
      </c>
      <c r="X427" s="76" t="n">
        <f aca="false">IF(ISERROR(VLOOKUP($P427,Member_Tab,4,FALSE())),0,(VLOOKUP($P427,Member_Tab,4,FALSE()) * 0.2 * X$7) * (IF(AND(X$5 &gt;= VLOOKUP($P427,Member_Tab,6,FALSE()), X$5 &lt;= VLOOKUP($P427,Member_Tab,7,FALSE())),1,0))  )</f>
        <v>0</v>
      </c>
      <c r="Y427" s="76" t="n">
        <f aca="false">IF(ISERROR(VLOOKUP($P427,Member_Tab,4,FALSE())),0,(VLOOKUP($P427,Member_Tab,4,FALSE()) * 0.2 * Y$7) * (IF(AND(Y$5 &gt;= VLOOKUP($P427,Member_Tab,6,FALSE()), Y$5 &lt;= VLOOKUP($P427,Member_Tab,7,FALSE())),1,0))  )</f>
        <v>0</v>
      </c>
      <c r="Z427" s="76" t="n">
        <f aca="false">IF(ISERROR(VLOOKUP($P427,Member_Tab,4,FALSE())),0,(VLOOKUP($P427,Member_Tab,4,FALSE()) * 0.2 * Z$7) * (IF(AND(Z$5 &gt;= VLOOKUP($P427,Member_Tab,6,FALSE()), Z$5 &lt;= VLOOKUP($P427,Member_Tab,7,FALSE())),1,0))  )</f>
        <v>0</v>
      </c>
      <c r="AA427" s="76" t="n">
        <f aca="false">IF(ISERROR(VLOOKUP($P427,Member_Tab,4,FALSE())),0,(VLOOKUP($P427,Member_Tab,4,FALSE()) * 0.2 * AA$7) * (IF(AND(AA$5 &gt;= VLOOKUP($P427,Member_Tab,6,FALSE()), AA$5 &lt;= VLOOKUP($P427,Member_Tab,7,FALSE())),1,0))  )</f>
        <v>0</v>
      </c>
      <c r="AB427" s="76" t="n">
        <f aca="false">IF(ISERROR(VLOOKUP($P427,Member_Tab,4,FALSE())),0,(VLOOKUP($P427,Member_Tab,4,FALSE()) * 0.2 * AB$7) * (IF(AND(AB$5 &gt;= VLOOKUP($P427,Member_Tab,6,FALSE()), AB$5 &lt;= VLOOKUP($P427,Member_Tab,7,FALSE())),1,0))  )</f>
        <v>0</v>
      </c>
      <c r="AC427" s="76" t="n">
        <f aca="false">IF(ISERROR(VLOOKUP($P427,Member_Tab,4,FALSE())),0,(VLOOKUP($P427,Member_Tab,4,FALSE()) * 0.2 * AC$7) * (IF(AND(AC$5 &gt;= VLOOKUP($P427,Member_Tab,6,FALSE()), AC$5 &lt;= VLOOKUP($P427,Member_Tab,7,FALSE())),1,0))  )</f>
        <v>0</v>
      </c>
      <c r="AD427" s="76" t="n">
        <f aca="false">IF(ISERROR(VLOOKUP($P427,Member_Tab,4,FALSE())),0,(VLOOKUP($P427,Member_Tab,4,FALSE()) * 0.2 * AD$7) * (IF(AND(AD$5 &gt;= VLOOKUP($P427,Member_Tab,6,FALSE()), AD$5 &lt;= VLOOKUP($P427,Member_Tab,7,FALSE())),1,0))  )</f>
        <v>0</v>
      </c>
      <c r="AE427" s="76" t="n">
        <f aca="false">IF(ISERROR(VLOOKUP($P427,Member_Tab,4,FALSE())),0,(VLOOKUP($P427,Member_Tab,4,FALSE()) * 0.2 * AE$7) * (IF(AND(AE$5 &gt;= VLOOKUP($P427,Member_Tab,6,FALSE()), AE$5 &lt;= VLOOKUP($P427,Member_Tab,7,FALSE())),1,0))  )</f>
        <v>0</v>
      </c>
      <c r="AF427" s="76" t="n">
        <f aca="false">IF(ISERROR(VLOOKUP($P427,Member_Tab,4,FALSE())),0,(VLOOKUP($P427,Member_Tab,4,FALSE()) * 0.2 * AF$7) * (IF(AND(AF$5 &gt;= VLOOKUP($P427,Member_Tab,6,FALSE()), AF$5 &lt;= VLOOKUP($P427,Member_Tab,7,FALSE())),1,0))  )</f>
        <v>0</v>
      </c>
      <c r="AG427" s="76" t="n">
        <f aca="false">IF(ISERROR(VLOOKUP($P427,Member_Tab,4,FALSE())),0,(VLOOKUP($P427,Member_Tab,4,FALSE()) * 0.2 * AG$7) * (IF(AND(AG$5 &gt;= VLOOKUP($P427,Member_Tab,6,FALSE()), AG$5 &lt;= VLOOKUP($P427,Member_Tab,7,FALSE())),1,0))  )</f>
        <v>0</v>
      </c>
      <c r="AH427" s="76" t="n">
        <f aca="false">IF(ISERROR(VLOOKUP($P427,Member_Tab,4,FALSE())),0,(VLOOKUP($P427,Member_Tab,4,FALSE()) * 0.2 * AH$7) * (IF(AND(AH$5 &gt;= VLOOKUP($P427,Member_Tab,6,FALSE()), AH$5 &lt;= VLOOKUP($P427,Member_Tab,7,FALSE())),1,0))  )</f>
        <v>0</v>
      </c>
      <c r="AI427" s="76" t="n">
        <f aca="false">IF(ISERROR(VLOOKUP($P427,Member_Tab,4,FALSE())),0,(VLOOKUP($P427,Member_Tab,4,FALSE()) * 0.2 * AI$7) * (IF(AND(AI$5 &gt;= VLOOKUP($P427,Member_Tab,6,FALSE()), AI$5 &lt;= VLOOKUP($P427,Member_Tab,7,FALSE())),1,0))  )</f>
        <v>0</v>
      </c>
      <c r="AJ427" s="76" t="n">
        <f aca="false">IF(ISERROR(VLOOKUP($P427,Member_Tab,4,FALSE())),0,(VLOOKUP($P427,Member_Tab,4,FALSE()) * 0.2 * AJ$7) * (IF(AND(AJ$5 &gt;= VLOOKUP($P427,Member_Tab,6,FALSE()), AJ$5 &lt;= VLOOKUP($P427,Member_Tab,7,FALSE())),1,0))  )</f>
        <v>0</v>
      </c>
      <c r="AK427" s="76" t="n">
        <f aca="false">IF(ISERROR(VLOOKUP($P427,Member_Tab,4,FALSE())),0,(VLOOKUP($P427,Member_Tab,4,FALSE()) * 0.2 * AK$7) * (IF(AND(AK$5 &gt;= VLOOKUP($P427,Member_Tab,6,FALSE()), AK$5 &lt;= VLOOKUP($P427,Member_Tab,7,FALSE())),1,0))  )</f>
        <v>0</v>
      </c>
      <c r="AL427" s="76" t="n">
        <f aca="false">IF(ISERROR(VLOOKUP($P427,Member_Tab,4,FALSE())),0,(VLOOKUP($P427,Member_Tab,4,FALSE()) * 0.2 * AL$7) * (IF(AND(AL$5 &gt;= VLOOKUP($P427,Member_Tab,6,FALSE()), AL$5 &lt;= VLOOKUP($P427,Member_Tab,7,FALSE())),1,0))  )</f>
        <v>0</v>
      </c>
      <c r="AM427" s="76" t="n">
        <f aca="false">IF(ISERROR(VLOOKUP($P427,Member_Tab,4,FALSE())),0,(VLOOKUP($P427,Member_Tab,4,FALSE()) * 0.2 * AM$7) * (IF(AND(AM$5 &gt;= VLOOKUP($P427,Member_Tab,6,FALSE()), AM$5 &lt;= VLOOKUP($P427,Member_Tab,7,FALSE())),1,0))  )</f>
        <v>0</v>
      </c>
      <c r="AN427" s="76" t="n">
        <f aca="false">IF(ISERROR(VLOOKUP($P427,Member_Tab,4,FALSE())),0,(VLOOKUP($P427,Member_Tab,4,FALSE()) * 0.2 * AN$7) * (IF(AND(AN$5 &gt;= VLOOKUP($P427,Member_Tab,6,FALSE()), AN$5 &lt;= VLOOKUP($P427,Member_Tab,7,FALSE())),1,0))  )</f>
        <v>0</v>
      </c>
      <c r="AO427" s="76" t="n">
        <f aca="false">IF(ISERROR(VLOOKUP($P427,Member_Tab,4,FALSE())),0,(VLOOKUP($P427,Member_Tab,4,FALSE()) * 0.2 * AO$7) * (IF(AND(AO$5 &gt;= VLOOKUP($P427,Member_Tab,6,FALSE()), AO$5 &lt;= VLOOKUP($P427,Member_Tab,7,FALSE())),1,0))  )</f>
        <v>0</v>
      </c>
      <c r="AP427" s="76" t="n">
        <f aca="false">IF(ISERROR(VLOOKUP($P427,Member_Tab,4,FALSE())),0,(VLOOKUP($P427,Member_Tab,4,FALSE()) * 0.2 * AP$7) * (IF(AND(AP$5 &gt;= VLOOKUP($P427,Member_Tab,6,FALSE()), AP$5 &lt;= VLOOKUP($P427,Member_Tab,7,FALSE())),1,0))  )</f>
        <v>0</v>
      </c>
      <c r="AQ427" s="76" t="n">
        <f aca="false">IF(ISERROR(VLOOKUP($P427,Member_Tab,4,FALSE())),0,(VLOOKUP($P427,Member_Tab,4,FALSE()) * 0.2 * AQ$7) * (IF(AND(AQ$5 &gt;= VLOOKUP($P427,Member_Tab,6,FALSE()), AQ$5 &lt;= VLOOKUP($P427,Member_Tab,7,FALSE())),1,0))  )</f>
        <v>0</v>
      </c>
      <c r="AR427" s="76" t="n">
        <f aca="false">IF(ISERROR(VLOOKUP($P427,Member_Tab,4,FALSE())),0,(VLOOKUP($P427,Member_Tab,4,FALSE()) * 0.2 * AR$7) * (IF(AND(AR$5 &gt;= VLOOKUP($P427,Member_Tab,6,FALSE()), AR$5 &lt;= VLOOKUP($P427,Member_Tab,7,FALSE())),1,0))  )</f>
        <v>0</v>
      </c>
      <c r="AS427" s="76" t="n">
        <f aca="false">IF(ISERROR(VLOOKUP($P427,Member_Tab,4,FALSE())),0,(VLOOKUP($P427,Member_Tab,4,FALSE()) * 0.2 * AS$7) * (IF(AND(AS$5 &gt;= VLOOKUP($P427,Member_Tab,6,FALSE()), AS$5 &lt;= VLOOKUP($P427,Member_Tab,7,FALSE())),1,0))  )</f>
        <v>0</v>
      </c>
      <c r="AT427" s="76" t="n">
        <f aca="false">IF(ISERROR(VLOOKUP($P427,Member_Tab,4,FALSE())),0,(VLOOKUP($P427,Member_Tab,4,FALSE()) * 0.2 * AT$7) * (IF(AND(AT$5 &gt;= VLOOKUP($P427,Member_Tab,6,FALSE()), AT$5 &lt;= VLOOKUP($P427,Member_Tab,7,FALSE())),1,0))  )</f>
        <v>0</v>
      </c>
      <c r="AU427" s="76" t="n">
        <f aca="false">IF(ISERROR(VLOOKUP($P427,Member_Tab,4,FALSE())),0,(VLOOKUP($P427,Member_Tab,4,FALSE()) * 0.2 * AU$7) * (IF(AND(AU$5 &gt;= VLOOKUP($P427,Member_Tab,6,FALSE()), AU$5 &lt;= VLOOKUP($P427,Member_Tab,7,FALSE())),1,0))  )</f>
        <v>0</v>
      </c>
      <c r="AV427" s="76" t="n">
        <f aca="false">IF(ISERROR(VLOOKUP($P427,Member_Tab,4,FALSE())),0,(VLOOKUP($P427,Member_Tab,4,FALSE()) * 0.2 * AV$7) * (IF(AND(AV$5 &gt;= VLOOKUP($P427,Member_Tab,6,FALSE()), AV$5 &lt;= VLOOKUP($P427,Member_Tab,7,FALSE())),1,0))  )</f>
        <v>0</v>
      </c>
      <c r="AW427" s="76" t="n">
        <f aca="false">IF(ISERROR(VLOOKUP($P427,Member_Tab,4,FALSE())),0,(VLOOKUP($P427,Member_Tab,4,FALSE()) * 0.2 * AW$7) * (IF(AND(AW$5 &gt;= VLOOKUP($P427,Member_Tab,6,FALSE()), AW$5 &lt;= VLOOKUP($P427,Member_Tab,7,FALSE())),1,0))  )</f>
        <v>0</v>
      </c>
      <c r="AX427" s="76" t="n">
        <f aca="false">IF(ISERROR(VLOOKUP($P427,Member_Tab,4,FALSE())),0,(VLOOKUP($P427,Member_Tab,4,FALSE()) * 0.2 * AX$7) * (IF(AND(AX$5 &gt;= VLOOKUP($P427,Member_Tab,6,FALSE()), AX$5 &lt;= VLOOKUP($P427,Member_Tab,7,FALSE())),1,0))  )</f>
        <v>0</v>
      </c>
      <c r="AY427" s="76" t="n">
        <f aca="false">IF(ISERROR(VLOOKUP($P427,Member_Tab,4,FALSE())),0,(VLOOKUP($P427,Member_Tab,4,FALSE()) * 0.2 * AY$7) * (IF(AND(AY$5 &gt;= VLOOKUP($P427,Member_Tab,6,FALSE()), AY$5 &lt;= VLOOKUP($P427,Member_Tab,7,FALSE())),1,0))  )</f>
        <v>0</v>
      </c>
      <c r="AZ427" s="76" t="n">
        <f aca="false">IF(ISERROR(VLOOKUP($P427,Member_Tab,4,FALSE())),0,(VLOOKUP($P427,Member_Tab,4,FALSE()) * 0.2 * AZ$7) * (IF(AND(AZ$5 &gt;= VLOOKUP($P427,Member_Tab,6,FALSE()), AZ$5 &lt;= VLOOKUP($P427,Member_Tab,7,FALSE())),1,0))  )</f>
        <v>0</v>
      </c>
      <c r="BA427" s="76" t="n">
        <f aca="false">IF(ISERROR(VLOOKUP($P427,Member_Tab,4,FALSE())),0,(VLOOKUP($P427,Member_Tab,4,FALSE()) * 0.2 * BA$7) * (IF(AND(BA$5 &gt;= VLOOKUP($P427,Member_Tab,6,FALSE()), BA$5 &lt;= VLOOKUP($P427,Member_Tab,7,FALSE())),1,0))  )</f>
        <v>0</v>
      </c>
      <c r="BB427" s="76" t="n">
        <f aca="false">IF(ISERROR(VLOOKUP($P427,Member_Tab,4,FALSE())),0,(VLOOKUP($P427,Member_Tab,4,FALSE()) * 0.2 * BB$7) * (IF(AND(BB$5 &gt;= VLOOKUP($P427,Member_Tab,6,FALSE()), BB$5 &lt;= VLOOKUP($P427,Member_Tab,7,FALSE())),1,0))  )</f>
        <v>0</v>
      </c>
    </row>
    <row r="428" s="173" customFormat="true" ht="15" hidden="true" customHeight="false" outlineLevel="1" collapsed="false">
      <c r="E428" s="40"/>
      <c r="K428" s="40"/>
      <c r="L428" s="40"/>
      <c r="M428" s="40"/>
      <c r="N428" s="40"/>
      <c r="P428" s="177" t="n">
        <f aca="false">P291</f>
        <v>0</v>
      </c>
      <c r="Q428" s="40"/>
      <c r="R428" s="178"/>
      <c r="S428" s="76" t="n">
        <f aca="false">IF(ISERROR(VLOOKUP($P428,Member_Tab,4,FALSE())),0,(VLOOKUP($P428,Member_Tab,4,FALSE()) * 0.2 * S$7) * (IF(AND(S$5 &gt;= VLOOKUP($P428,Member_Tab,6,FALSE()), S$5 &lt;= VLOOKUP($P428,Member_Tab,7,FALSE())),1,0))  )</f>
        <v>0</v>
      </c>
      <c r="T428" s="76" t="n">
        <f aca="false">IF(ISERROR(VLOOKUP($P428,Member_Tab,4,FALSE())),0,(VLOOKUP($P428,Member_Tab,4,FALSE()) * 0.2 * T$7) * (IF(AND(T$5 &gt;= VLOOKUP($P428,Member_Tab,6,FALSE()), T$5 &lt;= VLOOKUP($P428,Member_Tab,7,FALSE())),1,0))  )</f>
        <v>0</v>
      </c>
      <c r="U428" s="76" t="n">
        <f aca="false">IF(ISERROR(VLOOKUP($P428,Member_Tab,4,FALSE())),0,(VLOOKUP($P428,Member_Tab,4,FALSE()) * 0.2 * U$7) * (IF(AND(U$5 &gt;= VLOOKUP($P428,Member_Tab,6,FALSE()), U$5 &lt;= VLOOKUP($P428,Member_Tab,7,FALSE())),1,0))  )</f>
        <v>0</v>
      </c>
      <c r="V428" s="76" t="n">
        <f aca="false">IF(ISERROR(VLOOKUP($P428,Member_Tab,4,FALSE())),0,(VLOOKUP($P428,Member_Tab,4,FALSE()) * 0.2 * V$7) * (IF(AND(V$5 &gt;= VLOOKUP($P428,Member_Tab,6,FALSE()), V$5 &lt;= VLOOKUP($P428,Member_Tab,7,FALSE())),1,0))  )</f>
        <v>0</v>
      </c>
      <c r="W428" s="76" t="n">
        <f aca="false">IF(ISERROR(VLOOKUP($P428,Member_Tab,4,FALSE())),0,(VLOOKUP($P428,Member_Tab,4,FALSE()) * 0.2 * W$7) * (IF(AND(W$5 &gt;= VLOOKUP($P428,Member_Tab,6,FALSE()), W$5 &lt;= VLOOKUP($P428,Member_Tab,7,FALSE())),1,0))  )</f>
        <v>0</v>
      </c>
      <c r="X428" s="76" t="n">
        <f aca="false">IF(ISERROR(VLOOKUP($P428,Member_Tab,4,FALSE())),0,(VLOOKUP($P428,Member_Tab,4,FALSE()) * 0.2 * X$7) * (IF(AND(X$5 &gt;= VLOOKUP($P428,Member_Tab,6,FALSE()), X$5 &lt;= VLOOKUP($P428,Member_Tab,7,FALSE())),1,0))  )</f>
        <v>0</v>
      </c>
      <c r="Y428" s="76" t="n">
        <f aca="false">IF(ISERROR(VLOOKUP($P428,Member_Tab,4,FALSE())),0,(VLOOKUP($P428,Member_Tab,4,FALSE()) * 0.2 * Y$7) * (IF(AND(Y$5 &gt;= VLOOKUP($P428,Member_Tab,6,FALSE()), Y$5 &lt;= VLOOKUP($P428,Member_Tab,7,FALSE())),1,0))  )</f>
        <v>0</v>
      </c>
      <c r="Z428" s="76" t="n">
        <f aca="false">IF(ISERROR(VLOOKUP($P428,Member_Tab,4,FALSE())),0,(VLOOKUP($P428,Member_Tab,4,FALSE()) * 0.2 * Z$7) * (IF(AND(Z$5 &gt;= VLOOKUP($P428,Member_Tab,6,FALSE()), Z$5 &lt;= VLOOKUP($P428,Member_Tab,7,FALSE())),1,0))  )</f>
        <v>0</v>
      </c>
      <c r="AA428" s="76" t="n">
        <f aca="false">IF(ISERROR(VLOOKUP($P428,Member_Tab,4,FALSE())),0,(VLOOKUP($P428,Member_Tab,4,FALSE()) * 0.2 * AA$7) * (IF(AND(AA$5 &gt;= VLOOKUP($P428,Member_Tab,6,FALSE()), AA$5 &lt;= VLOOKUP($P428,Member_Tab,7,FALSE())),1,0))  )</f>
        <v>0</v>
      </c>
      <c r="AB428" s="76" t="n">
        <f aca="false">IF(ISERROR(VLOOKUP($P428,Member_Tab,4,FALSE())),0,(VLOOKUP($P428,Member_Tab,4,FALSE()) * 0.2 * AB$7) * (IF(AND(AB$5 &gt;= VLOOKUP($P428,Member_Tab,6,FALSE()), AB$5 &lt;= VLOOKUP($P428,Member_Tab,7,FALSE())),1,0))  )</f>
        <v>0</v>
      </c>
      <c r="AC428" s="76" t="n">
        <f aca="false">IF(ISERROR(VLOOKUP($P428,Member_Tab,4,FALSE())),0,(VLOOKUP($P428,Member_Tab,4,FALSE()) * 0.2 * AC$7) * (IF(AND(AC$5 &gt;= VLOOKUP($P428,Member_Tab,6,FALSE()), AC$5 &lt;= VLOOKUP($P428,Member_Tab,7,FALSE())),1,0))  )</f>
        <v>0</v>
      </c>
      <c r="AD428" s="76" t="n">
        <f aca="false">IF(ISERROR(VLOOKUP($P428,Member_Tab,4,FALSE())),0,(VLOOKUP($P428,Member_Tab,4,FALSE()) * 0.2 * AD$7) * (IF(AND(AD$5 &gt;= VLOOKUP($P428,Member_Tab,6,FALSE()), AD$5 &lt;= VLOOKUP($P428,Member_Tab,7,FALSE())),1,0))  )</f>
        <v>0</v>
      </c>
      <c r="AE428" s="76" t="n">
        <f aca="false">IF(ISERROR(VLOOKUP($P428,Member_Tab,4,FALSE())),0,(VLOOKUP($P428,Member_Tab,4,FALSE()) * 0.2 * AE$7) * (IF(AND(AE$5 &gt;= VLOOKUP($P428,Member_Tab,6,FALSE()), AE$5 &lt;= VLOOKUP($P428,Member_Tab,7,FALSE())),1,0))  )</f>
        <v>0</v>
      </c>
      <c r="AF428" s="76" t="n">
        <f aca="false">IF(ISERROR(VLOOKUP($P428,Member_Tab,4,FALSE())),0,(VLOOKUP($P428,Member_Tab,4,FALSE()) * 0.2 * AF$7) * (IF(AND(AF$5 &gt;= VLOOKUP($P428,Member_Tab,6,FALSE()), AF$5 &lt;= VLOOKUP($P428,Member_Tab,7,FALSE())),1,0))  )</f>
        <v>0</v>
      </c>
      <c r="AG428" s="76" t="n">
        <f aca="false">IF(ISERROR(VLOOKUP($P428,Member_Tab,4,FALSE())),0,(VLOOKUP($P428,Member_Tab,4,FALSE()) * 0.2 * AG$7) * (IF(AND(AG$5 &gt;= VLOOKUP($P428,Member_Tab,6,FALSE()), AG$5 &lt;= VLOOKUP($P428,Member_Tab,7,FALSE())),1,0))  )</f>
        <v>0</v>
      </c>
      <c r="AH428" s="76" t="n">
        <f aca="false">IF(ISERROR(VLOOKUP($P428,Member_Tab,4,FALSE())),0,(VLOOKUP($P428,Member_Tab,4,FALSE()) * 0.2 * AH$7) * (IF(AND(AH$5 &gt;= VLOOKUP($P428,Member_Tab,6,FALSE()), AH$5 &lt;= VLOOKUP($P428,Member_Tab,7,FALSE())),1,0))  )</f>
        <v>0</v>
      </c>
      <c r="AI428" s="76" t="n">
        <f aca="false">IF(ISERROR(VLOOKUP($P428,Member_Tab,4,FALSE())),0,(VLOOKUP($P428,Member_Tab,4,FALSE()) * 0.2 * AI$7) * (IF(AND(AI$5 &gt;= VLOOKUP($P428,Member_Tab,6,FALSE()), AI$5 &lt;= VLOOKUP($P428,Member_Tab,7,FALSE())),1,0))  )</f>
        <v>0</v>
      </c>
      <c r="AJ428" s="76" t="n">
        <f aca="false">IF(ISERROR(VLOOKUP($P428,Member_Tab,4,FALSE())),0,(VLOOKUP($P428,Member_Tab,4,FALSE()) * 0.2 * AJ$7) * (IF(AND(AJ$5 &gt;= VLOOKUP($P428,Member_Tab,6,FALSE()), AJ$5 &lt;= VLOOKUP($P428,Member_Tab,7,FALSE())),1,0))  )</f>
        <v>0</v>
      </c>
      <c r="AK428" s="76" t="n">
        <f aca="false">IF(ISERROR(VLOOKUP($P428,Member_Tab,4,FALSE())),0,(VLOOKUP($P428,Member_Tab,4,FALSE()) * 0.2 * AK$7) * (IF(AND(AK$5 &gt;= VLOOKUP($P428,Member_Tab,6,FALSE()), AK$5 &lt;= VLOOKUP($P428,Member_Tab,7,FALSE())),1,0))  )</f>
        <v>0</v>
      </c>
      <c r="AL428" s="76" t="n">
        <f aca="false">IF(ISERROR(VLOOKUP($P428,Member_Tab,4,FALSE())),0,(VLOOKUP($P428,Member_Tab,4,FALSE()) * 0.2 * AL$7) * (IF(AND(AL$5 &gt;= VLOOKUP($P428,Member_Tab,6,FALSE()), AL$5 &lt;= VLOOKUP($P428,Member_Tab,7,FALSE())),1,0))  )</f>
        <v>0</v>
      </c>
      <c r="AM428" s="76" t="n">
        <f aca="false">IF(ISERROR(VLOOKUP($P428,Member_Tab,4,FALSE())),0,(VLOOKUP($P428,Member_Tab,4,FALSE()) * 0.2 * AM$7) * (IF(AND(AM$5 &gt;= VLOOKUP($P428,Member_Tab,6,FALSE()), AM$5 &lt;= VLOOKUP($P428,Member_Tab,7,FALSE())),1,0))  )</f>
        <v>0</v>
      </c>
      <c r="AN428" s="76" t="n">
        <f aca="false">IF(ISERROR(VLOOKUP($P428,Member_Tab,4,FALSE())),0,(VLOOKUP($P428,Member_Tab,4,FALSE()) * 0.2 * AN$7) * (IF(AND(AN$5 &gt;= VLOOKUP($P428,Member_Tab,6,FALSE()), AN$5 &lt;= VLOOKUP($P428,Member_Tab,7,FALSE())),1,0))  )</f>
        <v>0</v>
      </c>
      <c r="AO428" s="76" t="n">
        <f aca="false">IF(ISERROR(VLOOKUP($P428,Member_Tab,4,FALSE())),0,(VLOOKUP($P428,Member_Tab,4,FALSE()) * 0.2 * AO$7) * (IF(AND(AO$5 &gt;= VLOOKUP($P428,Member_Tab,6,FALSE()), AO$5 &lt;= VLOOKUP($P428,Member_Tab,7,FALSE())),1,0))  )</f>
        <v>0</v>
      </c>
      <c r="AP428" s="76" t="n">
        <f aca="false">IF(ISERROR(VLOOKUP($P428,Member_Tab,4,FALSE())),0,(VLOOKUP($P428,Member_Tab,4,FALSE()) * 0.2 * AP$7) * (IF(AND(AP$5 &gt;= VLOOKUP($P428,Member_Tab,6,FALSE()), AP$5 &lt;= VLOOKUP($P428,Member_Tab,7,FALSE())),1,0))  )</f>
        <v>0</v>
      </c>
      <c r="AQ428" s="76" t="n">
        <f aca="false">IF(ISERROR(VLOOKUP($P428,Member_Tab,4,FALSE())),0,(VLOOKUP($P428,Member_Tab,4,FALSE()) * 0.2 * AQ$7) * (IF(AND(AQ$5 &gt;= VLOOKUP($P428,Member_Tab,6,FALSE()), AQ$5 &lt;= VLOOKUP($P428,Member_Tab,7,FALSE())),1,0))  )</f>
        <v>0</v>
      </c>
      <c r="AR428" s="76" t="n">
        <f aca="false">IF(ISERROR(VLOOKUP($P428,Member_Tab,4,FALSE())),0,(VLOOKUP($P428,Member_Tab,4,FALSE()) * 0.2 * AR$7) * (IF(AND(AR$5 &gt;= VLOOKUP($P428,Member_Tab,6,FALSE()), AR$5 &lt;= VLOOKUP($P428,Member_Tab,7,FALSE())),1,0))  )</f>
        <v>0</v>
      </c>
      <c r="AS428" s="76" t="n">
        <f aca="false">IF(ISERROR(VLOOKUP($P428,Member_Tab,4,FALSE())),0,(VLOOKUP($P428,Member_Tab,4,FALSE()) * 0.2 * AS$7) * (IF(AND(AS$5 &gt;= VLOOKUP($P428,Member_Tab,6,FALSE()), AS$5 &lt;= VLOOKUP($P428,Member_Tab,7,FALSE())),1,0))  )</f>
        <v>0</v>
      </c>
      <c r="AT428" s="76" t="n">
        <f aca="false">IF(ISERROR(VLOOKUP($P428,Member_Tab,4,FALSE())),0,(VLOOKUP($P428,Member_Tab,4,FALSE()) * 0.2 * AT$7) * (IF(AND(AT$5 &gt;= VLOOKUP($P428,Member_Tab,6,FALSE()), AT$5 &lt;= VLOOKUP($P428,Member_Tab,7,FALSE())),1,0))  )</f>
        <v>0</v>
      </c>
      <c r="AU428" s="76" t="n">
        <f aca="false">IF(ISERROR(VLOOKUP($P428,Member_Tab,4,FALSE())),0,(VLOOKUP($P428,Member_Tab,4,FALSE()) * 0.2 * AU$7) * (IF(AND(AU$5 &gt;= VLOOKUP($P428,Member_Tab,6,FALSE()), AU$5 &lt;= VLOOKUP($P428,Member_Tab,7,FALSE())),1,0))  )</f>
        <v>0</v>
      </c>
      <c r="AV428" s="76" t="n">
        <f aca="false">IF(ISERROR(VLOOKUP($P428,Member_Tab,4,FALSE())),0,(VLOOKUP($P428,Member_Tab,4,FALSE()) * 0.2 * AV$7) * (IF(AND(AV$5 &gt;= VLOOKUP($P428,Member_Tab,6,FALSE()), AV$5 &lt;= VLOOKUP($P428,Member_Tab,7,FALSE())),1,0))  )</f>
        <v>0</v>
      </c>
      <c r="AW428" s="76" t="n">
        <f aca="false">IF(ISERROR(VLOOKUP($P428,Member_Tab,4,FALSE())),0,(VLOOKUP($P428,Member_Tab,4,FALSE()) * 0.2 * AW$7) * (IF(AND(AW$5 &gt;= VLOOKUP($P428,Member_Tab,6,FALSE()), AW$5 &lt;= VLOOKUP($P428,Member_Tab,7,FALSE())),1,0))  )</f>
        <v>0</v>
      </c>
      <c r="AX428" s="76" t="n">
        <f aca="false">IF(ISERROR(VLOOKUP($P428,Member_Tab,4,FALSE())),0,(VLOOKUP($P428,Member_Tab,4,FALSE()) * 0.2 * AX$7) * (IF(AND(AX$5 &gt;= VLOOKUP($P428,Member_Tab,6,FALSE()), AX$5 &lt;= VLOOKUP($P428,Member_Tab,7,FALSE())),1,0))  )</f>
        <v>0</v>
      </c>
      <c r="AY428" s="76" t="n">
        <f aca="false">IF(ISERROR(VLOOKUP($P428,Member_Tab,4,FALSE())),0,(VLOOKUP($P428,Member_Tab,4,FALSE()) * 0.2 * AY$7) * (IF(AND(AY$5 &gt;= VLOOKUP($P428,Member_Tab,6,FALSE()), AY$5 &lt;= VLOOKUP($P428,Member_Tab,7,FALSE())),1,0))  )</f>
        <v>0</v>
      </c>
      <c r="AZ428" s="76" t="n">
        <f aca="false">IF(ISERROR(VLOOKUP($P428,Member_Tab,4,FALSE())),0,(VLOOKUP($P428,Member_Tab,4,FALSE()) * 0.2 * AZ$7) * (IF(AND(AZ$5 &gt;= VLOOKUP($P428,Member_Tab,6,FALSE()), AZ$5 &lt;= VLOOKUP($P428,Member_Tab,7,FALSE())),1,0))  )</f>
        <v>0</v>
      </c>
      <c r="BA428" s="76" t="n">
        <f aca="false">IF(ISERROR(VLOOKUP($P428,Member_Tab,4,FALSE())),0,(VLOOKUP($P428,Member_Tab,4,FALSE()) * 0.2 * BA$7) * (IF(AND(BA$5 &gt;= VLOOKUP($P428,Member_Tab,6,FALSE()), BA$5 &lt;= VLOOKUP($P428,Member_Tab,7,FALSE())),1,0))  )</f>
        <v>0</v>
      </c>
      <c r="BB428" s="76" t="n">
        <f aca="false">IF(ISERROR(VLOOKUP($P428,Member_Tab,4,FALSE())),0,(VLOOKUP($P428,Member_Tab,4,FALSE()) * 0.2 * BB$7) * (IF(AND(BB$5 &gt;= VLOOKUP($P428,Member_Tab,6,FALSE()), BB$5 &lt;= VLOOKUP($P428,Member_Tab,7,FALSE())),1,0))  )</f>
        <v>0</v>
      </c>
    </row>
    <row r="429" s="173" customFormat="true" ht="15" hidden="true" customHeight="false" outlineLevel="1" collapsed="false">
      <c r="E429" s="40"/>
      <c r="K429" s="40"/>
      <c r="L429" s="40"/>
      <c r="M429" s="40"/>
      <c r="N429" s="40"/>
      <c r="P429" s="177" t="n">
        <f aca="false">P292</f>
        <v>0</v>
      </c>
      <c r="Q429" s="40"/>
      <c r="R429" s="178"/>
      <c r="S429" s="76" t="n">
        <f aca="false">IF(ISERROR(VLOOKUP($P429,Member_Tab,4,FALSE())),0,(VLOOKUP($P429,Member_Tab,4,FALSE()) * 0.2 * S$7) * (IF(AND(S$5 &gt;= VLOOKUP($P429,Member_Tab,6,FALSE()), S$5 &lt;= VLOOKUP($P429,Member_Tab,7,FALSE())),1,0))  )</f>
        <v>0</v>
      </c>
      <c r="T429" s="76" t="n">
        <f aca="false">IF(ISERROR(VLOOKUP($P429,Member_Tab,4,FALSE())),0,(VLOOKUP($P429,Member_Tab,4,FALSE()) * 0.2 * T$7) * (IF(AND(T$5 &gt;= VLOOKUP($P429,Member_Tab,6,FALSE()), T$5 &lt;= VLOOKUP($P429,Member_Tab,7,FALSE())),1,0))  )</f>
        <v>0</v>
      </c>
      <c r="U429" s="76" t="n">
        <f aca="false">IF(ISERROR(VLOOKUP($P429,Member_Tab,4,FALSE())),0,(VLOOKUP($P429,Member_Tab,4,FALSE()) * 0.2 * U$7) * (IF(AND(U$5 &gt;= VLOOKUP($P429,Member_Tab,6,FALSE()), U$5 &lt;= VLOOKUP($P429,Member_Tab,7,FALSE())),1,0))  )</f>
        <v>0</v>
      </c>
      <c r="V429" s="76" t="n">
        <f aca="false">IF(ISERROR(VLOOKUP($P429,Member_Tab,4,FALSE())),0,(VLOOKUP($P429,Member_Tab,4,FALSE()) * 0.2 * V$7) * (IF(AND(V$5 &gt;= VLOOKUP($P429,Member_Tab,6,FALSE()), V$5 &lt;= VLOOKUP($P429,Member_Tab,7,FALSE())),1,0))  )</f>
        <v>0</v>
      </c>
      <c r="W429" s="76" t="n">
        <f aca="false">IF(ISERROR(VLOOKUP($P429,Member_Tab,4,FALSE())),0,(VLOOKUP($P429,Member_Tab,4,FALSE()) * 0.2 * W$7) * (IF(AND(W$5 &gt;= VLOOKUP($P429,Member_Tab,6,FALSE()), W$5 &lt;= VLOOKUP($P429,Member_Tab,7,FALSE())),1,0))  )</f>
        <v>0</v>
      </c>
      <c r="X429" s="76" t="n">
        <f aca="false">IF(ISERROR(VLOOKUP($P429,Member_Tab,4,FALSE())),0,(VLOOKUP($P429,Member_Tab,4,FALSE()) * 0.2 * X$7) * (IF(AND(X$5 &gt;= VLOOKUP($P429,Member_Tab,6,FALSE()), X$5 &lt;= VLOOKUP($P429,Member_Tab,7,FALSE())),1,0))  )</f>
        <v>0</v>
      </c>
      <c r="Y429" s="76" t="n">
        <f aca="false">IF(ISERROR(VLOOKUP($P429,Member_Tab,4,FALSE())),0,(VLOOKUP($P429,Member_Tab,4,FALSE()) * 0.2 * Y$7) * (IF(AND(Y$5 &gt;= VLOOKUP($P429,Member_Tab,6,FALSE()), Y$5 &lt;= VLOOKUP($P429,Member_Tab,7,FALSE())),1,0))  )</f>
        <v>0</v>
      </c>
      <c r="Z429" s="76" t="n">
        <f aca="false">IF(ISERROR(VLOOKUP($P429,Member_Tab,4,FALSE())),0,(VLOOKUP($P429,Member_Tab,4,FALSE()) * 0.2 * Z$7) * (IF(AND(Z$5 &gt;= VLOOKUP($P429,Member_Tab,6,FALSE()), Z$5 &lt;= VLOOKUP($P429,Member_Tab,7,FALSE())),1,0))  )</f>
        <v>0</v>
      </c>
      <c r="AA429" s="76" t="n">
        <f aca="false">IF(ISERROR(VLOOKUP($P429,Member_Tab,4,FALSE())),0,(VLOOKUP($P429,Member_Tab,4,FALSE()) * 0.2 * AA$7) * (IF(AND(AA$5 &gt;= VLOOKUP($P429,Member_Tab,6,FALSE()), AA$5 &lt;= VLOOKUP($P429,Member_Tab,7,FALSE())),1,0))  )</f>
        <v>0</v>
      </c>
      <c r="AB429" s="76" t="n">
        <f aca="false">IF(ISERROR(VLOOKUP($P429,Member_Tab,4,FALSE())),0,(VLOOKUP($P429,Member_Tab,4,FALSE()) * 0.2 * AB$7) * (IF(AND(AB$5 &gt;= VLOOKUP($P429,Member_Tab,6,FALSE()), AB$5 &lt;= VLOOKUP($P429,Member_Tab,7,FALSE())),1,0))  )</f>
        <v>0</v>
      </c>
      <c r="AC429" s="76" t="n">
        <f aca="false">IF(ISERROR(VLOOKUP($P429,Member_Tab,4,FALSE())),0,(VLOOKUP($P429,Member_Tab,4,FALSE()) * 0.2 * AC$7) * (IF(AND(AC$5 &gt;= VLOOKUP($P429,Member_Tab,6,FALSE()), AC$5 &lt;= VLOOKUP($P429,Member_Tab,7,FALSE())),1,0))  )</f>
        <v>0</v>
      </c>
      <c r="AD429" s="76" t="n">
        <f aca="false">IF(ISERROR(VLOOKUP($P429,Member_Tab,4,FALSE())),0,(VLOOKUP($P429,Member_Tab,4,FALSE()) * 0.2 * AD$7) * (IF(AND(AD$5 &gt;= VLOOKUP($P429,Member_Tab,6,FALSE()), AD$5 &lt;= VLOOKUP($P429,Member_Tab,7,FALSE())),1,0))  )</f>
        <v>0</v>
      </c>
      <c r="AE429" s="76" t="n">
        <f aca="false">IF(ISERROR(VLOOKUP($P429,Member_Tab,4,FALSE())),0,(VLOOKUP($P429,Member_Tab,4,FALSE()) * 0.2 * AE$7) * (IF(AND(AE$5 &gt;= VLOOKUP($P429,Member_Tab,6,FALSE()), AE$5 &lt;= VLOOKUP($P429,Member_Tab,7,FALSE())),1,0))  )</f>
        <v>0</v>
      </c>
      <c r="AF429" s="76" t="n">
        <f aca="false">IF(ISERROR(VLOOKUP($P429,Member_Tab,4,FALSE())),0,(VLOOKUP($P429,Member_Tab,4,FALSE()) * 0.2 * AF$7) * (IF(AND(AF$5 &gt;= VLOOKUP($P429,Member_Tab,6,FALSE()), AF$5 &lt;= VLOOKUP($P429,Member_Tab,7,FALSE())),1,0))  )</f>
        <v>0</v>
      </c>
      <c r="AG429" s="76" t="n">
        <f aca="false">IF(ISERROR(VLOOKUP($P429,Member_Tab,4,FALSE())),0,(VLOOKUP($P429,Member_Tab,4,FALSE()) * 0.2 * AG$7) * (IF(AND(AG$5 &gt;= VLOOKUP($P429,Member_Tab,6,FALSE()), AG$5 &lt;= VLOOKUP($P429,Member_Tab,7,FALSE())),1,0))  )</f>
        <v>0</v>
      </c>
      <c r="AH429" s="76" t="n">
        <f aca="false">IF(ISERROR(VLOOKUP($P429,Member_Tab,4,FALSE())),0,(VLOOKUP($P429,Member_Tab,4,FALSE()) * 0.2 * AH$7) * (IF(AND(AH$5 &gt;= VLOOKUP($P429,Member_Tab,6,FALSE()), AH$5 &lt;= VLOOKUP($P429,Member_Tab,7,FALSE())),1,0))  )</f>
        <v>0</v>
      </c>
      <c r="AI429" s="76" t="n">
        <f aca="false">IF(ISERROR(VLOOKUP($P429,Member_Tab,4,FALSE())),0,(VLOOKUP($P429,Member_Tab,4,FALSE()) * 0.2 * AI$7) * (IF(AND(AI$5 &gt;= VLOOKUP($P429,Member_Tab,6,FALSE()), AI$5 &lt;= VLOOKUP($P429,Member_Tab,7,FALSE())),1,0))  )</f>
        <v>0</v>
      </c>
      <c r="AJ429" s="76" t="n">
        <f aca="false">IF(ISERROR(VLOOKUP($P429,Member_Tab,4,FALSE())),0,(VLOOKUP($P429,Member_Tab,4,FALSE()) * 0.2 * AJ$7) * (IF(AND(AJ$5 &gt;= VLOOKUP($P429,Member_Tab,6,FALSE()), AJ$5 &lt;= VLOOKUP($P429,Member_Tab,7,FALSE())),1,0))  )</f>
        <v>0</v>
      </c>
      <c r="AK429" s="76" t="n">
        <f aca="false">IF(ISERROR(VLOOKUP($P429,Member_Tab,4,FALSE())),0,(VLOOKUP($P429,Member_Tab,4,FALSE()) * 0.2 * AK$7) * (IF(AND(AK$5 &gt;= VLOOKUP($P429,Member_Tab,6,FALSE()), AK$5 &lt;= VLOOKUP($P429,Member_Tab,7,FALSE())),1,0))  )</f>
        <v>0</v>
      </c>
      <c r="AL429" s="76" t="n">
        <f aca="false">IF(ISERROR(VLOOKUP($P429,Member_Tab,4,FALSE())),0,(VLOOKUP($P429,Member_Tab,4,FALSE()) * 0.2 * AL$7) * (IF(AND(AL$5 &gt;= VLOOKUP($P429,Member_Tab,6,FALSE()), AL$5 &lt;= VLOOKUP($P429,Member_Tab,7,FALSE())),1,0))  )</f>
        <v>0</v>
      </c>
      <c r="AM429" s="76" t="n">
        <f aca="false">IF(ISERROR(VLOOKUP($P429,Member_Tab,4,FALSE())),0,(VLOOKUP($P429,Member_Tab,4,FALSE()) * 0.2 * AM$7) * (IF(AND(AM$5 &gt;= VLOOKUP($P429,Member_Tab,6,FALSE()), AM$5 &lt;= VLOOKUP($P429,Member_Tab,7,FALSE())),1,0))  )</f>
        <v>0</v>
      </c>
      <c r="AN429" s="76" t="n">
        <f aca="false">IF(ISERROR(VLOOKUP($P429,Member_Tab,4,FALSE())),0,(VLOOKUP($P429,Member_Tab,4,FALSE()) * 0.2 * AN$7) * (IF(AND(AN$5 &gt;= VLOOKUP($P429,Member_Tab,6,FALSE()), AN$5 &lt;= VLOOKUP($P429,Member_Tab,7,FALSE())),1,0))  )</f>
        <v>0</v>
      </c>
      <c r="AO429" s="76" t="n">
        <f aca="false">IF(ISERROR(VLOOKUP($P429,Member_Tab,4,FALSE())),0,(VLOOKUP($P429,Member_Tab,4,FALSE()) * 0.2 * AO$7) * (IF(AND(AO$5 &gt;= VLOOKUP($P429,Member_Tab,6,FALSE()), AO$5 &lt;= VLOOKUP($P429,Member_Tab,7,FALSE())),1,0))  )</f>
        <v>0</v>
      </c>
      <c r="AP429" s="76" t="n">
        <f aca="false">IF(ISERROR(VLOOKUP($P429,Member_Tab,4,FALSE())),0,(VLOOKUP($P429,Member_Tab,4,FALSE()) * 0.2 * AP$7) * (IF(AND(AP$5 &gt;= VLOOKUP($P429,Member_Tab,6,FALSE()), AP$5 &lt;= VLOOKUP($P429,Member_Tab,7,FALSE())),1,0))  )</f>
        <v>0</v>
      </c>
      <c r="AQ429" s="76" t="n">
        <f aca="false">IF(ISERROR(VLOOKUP($P429,Member_Tab,4,FALSE())),0,(VLOOKUP($P429,Member_Tab,4,FALSE()) * 0.2 * AQ$7) * (IF(AND(AQ$5 &gt;= VLOOKUP($P429,Member_Tab,6,FALSE()), AQ$5 &lt;= VLOOKUP($P429,Member_Tab,7,FALSE())),1,0))  )</f>
        <v>0</v>
      </c>
      <c r="AR429" s="76" t="n">
        <f aca="false">IF(ISERROR(VLOOKUP($P429,Member_Tab,4,FALSE())),0,(VLOOKUP($P429,Member_Tab,4,FALSE()) * 0.2 * AR$7) * (IF(AND(AR$5 &gt;= VLOOKUP($P429,Member_Tab,6,FALSE()), AR$5 &lt;= VLOOKUP($P429,Member_Tab,7,FALSE())),1,0))  )</f>
        <v>0</v>
      </c>
      <c r="AS429" s="76" t="n">
        <f aca="false">IF(ISERROR(VLOOKUP($P429,Member_Tab,4,FALSE())),0,(VLOOKUP($P429,Member_Tab,4,FALSE()) * 0.2 * AS$7) * (IF(AND(AS$5 &gt;= VLOOKUP($P429,Member_Tab,6,FALSE()), AS$5 &lt;= VLOOKUP($P429,Member_Tab,7,FALSE())),1,0))  )</f>
        <v>0</v>
      </c>
      <c r="AT429" s="76" t="n">
        <f aca="false">IF(ISERROR(VLOOKUP($P429,Member_Tab,4,FALSE())),0,(VLOOKUP($P429,Member_Tab,4,FALSE()) * 0.2 * AT$7) * (IF(AND(AT$5 &gt;= VLOOKUP($P429,Member_Tab,6,FALSE()), AT$5 &lt;= VLOOKUP($P429,Member_Tab,7,FALSE())),1,0))  )</f>
        <v>0</v>
      </c>
      <c r="AU429" s="76" t="n">
        <f aca="false">IF(ISERROR(VLOOKUP($P429,Member_Tab,4,FALSE())),0,(VLOOKUP($P429,Member_Tab,4,FALSE()) * 0.2 * AU$7) * (IF(AND(AU$5 &gt;= VLOOKUP($P429,Member_Tab,6,FALSE()), AU$5 &lt;= VLOOKUP($P429,Member_Tab,7,FALSE())),1,0))  )</f>
        <v>0</v>
      </c>
      <c r="AV429" s="76" t="n">
        <f aca="false">IF(ISERROR(VLOOKUP($P429,Member_Tab,4,FALSE())),0,(VLOOKUP($P429,Member_Tab,4,FALSE()) * 0.2 * AV$7) * (IF(AND(AV$5 &gt;= VLOOKUP($P429,Member_Tab,6,FALSE()), AV$5 &lt;= VLOOKUP($P429,Member_Tab,7,FALSE())),1,0))  )</f>
        <v>0</v>
      </c>
      <c r="AW429" s="76" t="n">
        <f aca="false">IF(ISERROR(VLOOKUP($P429,Member_Tab,4,FALSE())),0,(VLOOKUP($P429,Member_Tab,4,FALSE()) * 0.2 * AW$7) * (IF(AND(AW$5 &gt;= VLOOKUP($P429,Member_Tab,6,FALSE()), AW$5 &lt;= VLOOKUP($P429,Member_Tab,7,FALSE())),1,0))  )</f>
        <v>0</v>
      </c>
      <c r="AX429" s="76" t="n">
        <f aca="false">IF(ISERROR(VLOOKUP($P429,Member_Tab,4,FALSE())),0,(VLOOKUP($P429,Member_Tab,4,FALSE()) * 0.2 * AX$7) * (IF(AND(AX$5 &gt;= VLOOKUP($P429,Member_Tab,6,FALSE()), AX$5 &lt;= VLOOKUP($P429,Member_Tab,7,FALSE())),1,0))  )</f>
        <v>0</v>
      </c>
      <c r="AY429" s="76" t="n">
        <f aca="false">IF(ISERROR(VLOOKUP($P429,Member_Tab,4,FALSE())),0,(VLOOKUP($P429,Member_Tab,4,FALSE()) * 0.2 * AY$7) * (IF(AND(AY$5 &gt;= VLOOKUP($P429,Member_Tab,6,FALSE()), AY$5 &lt;= VLOOKUP($P429,Member_Tab,7,FALSE())),1,0))  )</f>
        <v>0</v>
      </c>
      <c r="AZ429" s="76" t="n">
        <f aca="false">IF(ISERROR(VLOOKUP($P429,Member_Tab,4,FALSE())),0,(VLOOKUP($P429,Member_Tab,4,FALSE()) * 0.2 * AZ$7) * (IF(AND(AZ$5 &gt;= VLOOKUP($P429,Member_Tab,6,FALSE()), AZ$5 &lt;= VLOOKUP($P429,Member_Tab,7,FALSE())),1,0))  )</f>
        <v>0</v>
      </c>
      <c r="BA429" s="76" t="n">
        <f aca="false">IF(ISERROR(VLOOKUP($P429,Member_Tab,4,FALSE())),0,(VLOOKUP($P429,Member_Tab,4,FALSE()) * 0.2 * BA$7) * (IF(AND(BA$5 &gt;= VLOOKUP($P429,Member_Tab,6,FALSE()), BA$5 &lt;= VLOOKUP($P429,Member_Tab,7,FALSE())),1,0))  )</f>
        <v>0</v>
      </c>
      <c r="BB429" s="76" t="n">
        <f aca="false">IF(ISERROR(VLOOKUP($P429,Member_Tab,4,FALSE())),0,(VLOOKUP($P429,Member_Tab,4,FALSE()) * 0.2 * BB$7) * (IF(AND(BB$5 &gt;= VLOOKUP($P429,Member_Tab,6,FALSE()), BB$5 &lt;= VLOOKUP($P429,Member_Tab,7,FALSE())),1,0))  )</f>
        <v>0</v>
      </c>
    </row>
    <row r="430" s="173" customFormat="true" ht="15" hidden="true" customHeight="false" outlineLevel="1" collapsed="false">
      <c r="E430" s="40"/>
      <c r="K430" s="40"/>
      <c r="L430" s="40"/>
      <c r="M430" s="40"/>
      <c r="N430" s="40"/>
      <c r="P430" s="177" t="n">
        <f aca="false">P293</f>
        <v>0</v>
      </c>
      <c r="Q430" s="40"/>
      <c r="R430" s="178"/>
      <c r="S430" s="76" t="n">
        <f aca="false">IF(ISERROR(VLOOKUP($P430,Member_Tab,4,FALSE())),0,(VLOOKUP($P430,Member_Tab,4,FALSE()) * 0.2 * S$7) * (IF(AND(S$5 &gt;= VLOOKUP($P430,Member_Tab,6,FALSE()), S$5 &lt;= VLOOKUP($P430,Member_Tab,7,FALSE())),1,0))  )</f>
        <v>0</v>
      </c>
      <c r="T430" s="76" t="n">
        <f aca="false">IF(ISERROR(VLOOKUP($P430,Member_Tab,4,FALSE())),0,(VLOOKUP($P430,Member_Tab,4,FALSE()) * 0.2 * T$7) * (IF(AND(T$5 &gt;= VLOOKUP($P430,Member_Tab,6,FALSE()), T$5 &lt;= VLOOKUP($P430,Member_Tab,7,FALSE())),1,0))  )</f>
        <v>0</v>
      </c>
      <c r="U430" s="76" t="n">
        <f aca="false">IF(ISERROR(VLOOKUP($P430,Member_Tab,4,FALSE())),0,(VLOOKUP($P430,Member_Tab,4,FALSE()) * 0.2 * U$7) * (IF(AND(U$5 &gt;= VLOOKUP($P430,Member_Tab,6,FALSE()), U$5 &lt;= VLOOKUP($P430,Member_Tab,7,FALSE())),1,0))  )</f>
        <v>0</v>
      </c>
      <c r="V430" s="76" t="n">
        <f aca="false">IF(ISERROR(VLOOKUP($P430,Member_Tab,4,FALSE())),0,(VLOOKUP($P430,Member_Tab,4,FALSE()) * 0.2 * V$7) * (IF(AND(V$5 &gt;= VLOOKUP($P430,Member_Tab,6,FALSE()), V$5 &lt;= VLOOKUP($P430,Member_Tab,7,FALSE())),1,0))  )</f>
        <v>0</v>
      </c>
      <c r="W430" s="76" t="n">
        <f aca="false">IF(ISERROR(VLOOKUP($P430,Member_Tab,4,FALSE())),0,(VLOOKUP($P430,Member_Tab,4,FALSE()) * 0.2 * W$7) * (IF(AND(W$5 &gt;= VLOOKUP($P430,Member_Tab,6,FALSE()), W$5 &lt;= VLOOKUP($P430,Member_Tab,7,FALSE())),1,0))  )</f>
        <v>0</v>
      </c>
      <c r="X430" s="76" t="n">
        <f aca="false">IF(ISERROR(VLOOKUP($P430,Member_Tab,4,FALSE())),0,(VLOOKUP($P430,Member_Tab,4,FALSE()) * 0.2 * X$7) * (IF(AND(X$5 &gt;= VLOOKUP($P430,Member_Tab,6,FALSE()), X$5 &lt;= VLOOKUP($P430,Member_Tab,7,FALSE())),1,0))  )</f>
        <v>0</v>
      </c>
      <c r="Y430" s="76" t="n">
        <f aca="false">IF(ISERROR(VLOOKUP($P430,Member_Tab,4,FALSE())),0,(VLOOKUP($P430,Member_Tab,4,FALSE()) * 0.2 * Y$7) * (IF(AND(Y$5 &gt;= VLOOKUP($P430,Member_Tab,6,FALSE()), Y$5 &lt;= VLOOKUP($P430,Member_Tab,7,FALSE())),1,0))  )</f>
        <v>0</v>
      </c>
      <c r="Z430" s="76" t="n">
        <f aca="false">IF(ISERROR(VLOOKUP($P430,Member_Tab,4,FALSE())),0,(VLOOKUP($P430,Member_Tab,4,FALSE()) * 0.2 * Z$7) * (IF(AND(Z$5 &gt;= VLOOKUP($P430,Member_Tab,6,FALSE()), Z$5 &lt;= VLOOKUP($P430,Member_Tab,7,FALSE())),1,0))  )</f>
        <v>0</v>
      </c>
      <c r="AA430" s="76" t="n">
        <f aca="false">IF(ISERROR(VLOOKUP($P430,Member_Tab,4,FALSE())),0,(VLOOKUP($P430,Member_Tab,4,FALSE()) * 0.2 * AA$7) * (IF(AND(AA$5 &gt;= VLOOKUP($P430,Member_Tab,6,FALSE()), AA$5 &lt;= VLOOKUP($P430,Member_Tab,7,FALSE())),1,0))  )</f>
        <v>0</v>
      </c>
      <c r="AB430" s="76" t="n">
        <f aca="false">IF(ISERROR(VLOOKUP($P430,Member_Tab,4,FALSE())),0,(VLOOKUP($P430,Member_Tab,4,FALSE()) * 0.2 * AB$7) * (IF(AND(AB$5 &gt;= VLOOKUP($P430,Member_Tab,6,FALSE()), AB$5 &lt;= VLOOKUP($P430,Member_Tab,7,FALSE())),1,0))  )</f>
        <v>0</v>
      </c>
      <c r="AC430" s="76" t="n">
        <f aca="false">IF(ISERROR(VLOOKUP($P430,Member_Tab,4,FALSE())),0,(VLOOKUP($P430,Member_Tab,4,FALSE()) * 0.2 * AC$7) * (IF(AND(AC$5 &gt;= VLOOKUP($P430,Member_Tab,6,FALSE()), AC$5 &lt;= VLOOKUP($P430,Member_Tab,7,FALSE())),1,0))  )</f>
        <v>0</v>
      </c>
      <c r="AD430" s="76" t="n">
        <f aca="false">IF(ISERROR(VLOOKUP($P430,Member_Tab,4,FALSE())),0,(VLOOKUP($P430,Member_Tab,4,FALSE()) * 0.2 * AD$7) * (IF(AND(AD$5 &gt;= VLOOKUP($P430,Member_Tab,6,FALSE()), AD$5 &lt;= VLOOKUP($P430,Member_Tab,7,FALSE())),1,0))  )</f>
        <v>0</v>
      </c>
      <c r="AE430" s="76" t="n">
        <f aca="false">IF(ISERROR(VLOOKUP($P430,Member_Tab,4,FALSE())),0,(VLOOKUP($P430,Member_Tab,4,FALSE()) * 0.2 * AE$7) * (IF(AND(AE$5 &gt;= VLOOKUP($P430,Member_Tab,6,FALSE()), AE$5 &lt;= VLOOKUP($P430,Member_Tab,7,FALSE())),1,0))  )</f>
        <v>0</v>
      </c>
      <c r="AF430" s="76" t="n">
        <f aca="false">IF(ISERROR(VLOOKUP($P430,Member_Tab,4,FALSE())),0,(VLOOKUP($P430,Member_Tab,4,FALSE()) * 0.2 * AF$7) * (IF(AND(AF$5 &gt;= VLOOKUP($P430,Member_Tab,6,FALSE()), AF$5 &lt;= VLOOKUP($P430,Member_Tab,7,FALSE())),1,0))  )</f>
        <v>0</v>
      </c>
      <c r="AG430" s="76" t="n">
        <f aca="false">IF(ISERROR(VLOOKUP($P430,Member_Tab,4,FALSE())),0,(VLOOKUP($P430,Member_Tab,4,FALSE()) * 0.2 * AG$7) * (IF(AND(AG$5 &gt;= VLOOKUP($P430,Member_Tab,6,FALSE()), AG$5 &lt;= VLOOKUP($P430,Member_Tab,7,FALSE())),1,0))  )</f>
        <v>0</v>
      </c>
      <c r="AH430" s="76" t="n">
        <f aca="false">IF(ISERROR(VLOOKUP($P430,Member_Tab,4,FALSE())),0,(VLOOKUP($P430,Member_Tab,4,FALSE()) * 0.2 * AH$7) * (IF(AND(AH$5 &gt;= VLOOKUP($P430,Member_Tab,6,FALSE()), AH$5 &lt;= VLOOKUP($P430,Member_Tab,7,FALSE())),1,0))  )</f>
        <v>0</v>
      </c>
      <c r="AI430" s="76" t="n">
        <f aca="false">IF(ISERROR(VLOOKUP($P430,Member_Tab,4,FALSE())),0,(VLOOKUP($P430,Member_Tab,4,FALSE()) * 0.2 * AI$7) * (IF(AND(AI$5 &gt;= VLOOKUP($P430,Member_Tab,6,FALSE()), AI$5 &lt;= VLOOKUP($P430,Member_Tab,7,FALSE())),1,0))  )</f>
        <v>0</v>
      </c>
      <c r="AJ430" s="76" t="n">
        <f aca="false">IF(ISERROR(VLOOKUP($P430,Member_Tab,4,FALSE())),0,(VLOOKUP($P430,Member_Tab,4,FALSE()) * 0.2 * AJ$7) * (IF(AND(AJ$5 &gt;= VLOOKUP($P430,Member_Tab,6,FALSE()), AJ$5 &lt;= VLOOKUP($P430,Member_Tab,7,FALSE())),1,0))  )</f>
        <v>0</v>
      </c>
      <c r="AK430" s="76" t="n">
        <f aca="false">IF(ISERROR(VLOOKUP($P430,Member_Tab,4,FALSE())),0,(VLOOKUP($P430,Member_Tab,4,FALSE()) * 0.2 * AK$7) * (IF(AND(AK$5 &gt;= VLOOKUP($P430,Member_Tab,6,FALSE()), AK$5 &lt;= VLOOKUP($P430,Member_Tab,7,FALSE())),1,0))  )</f>
        <v>0</v>
      </c>
      <c r="AL430" s="76" t="n">
        <f aca="false">IF(ISERROR(VLOOKUP($P430,Member_Tab,4,FALSE())),0,(VLOOKUP($P430,Member_Tab,4,FALSE()) * 0.2 * AL$7) * (IF(AND(AL$5 &gt;= VLOOKUP($P430,Member_Tab,6,FALSE()), AL$5 &lt;= VLOOKUP($P430,Member_Tab,7,FALSE())),1,0))  )</f>
        <v>0</v>
      </c>
      <c r="AM430" s="76" t="n">
        <f aca="false">IF(ISERROR(VLOOKUP($P430,Member_Tab,4,FALSE())),0,(VLOOKUP($P430,Member_Tab,4,FALSE()) * 0.2 * AM$7) * (IF(AND(AM$5 &gt;= VLOOKUP($P430,Member_Tab,6,FALSE()), AM$5 &lt;= VLOOKUP($P430,Member_Tab,7,FALSE())),1,0))  )</f>
        <v>0</v>
      </c>
      <c r="AN430" s="76" t="n">
        <f aca="false">IF(ISERROR(VLOOKUP($P430,Member_Tab,4,FALSE())),0,(VLOOKUP($P430,Member_Tab,4,FALSE()) * 0.2 * AN$7) * (IF(AND(AN$5 &gt;= VLOOKUP($P430,Member_Tab,6,FALSE()), AN$5 &lt;= VLOOKUP($P430,Member_Tab,7,FALSE())),1,0))  )</f>
        <v>0</v>
      </c>
      <c r="AO430" s="76" t="n">
        <f aca="false">IF(ISERROR(VLOOKUP($P430,Member_Tab,4,FALSE())),0,(VLOOKUP($P430,Member_Tab,4,FALSE()) * 0.2 * AO$7) * (IF(AND(AO$5 &gt;= VLOOKUP($P430,Member_Tab,6,FALSE()), AO$5 &lt;= VLOOKUP($P430,Member_Tab,7,FALSE())),1,0))  )</f>
        <v>0</v>
      </c>
      <c r="AP430" s="76" t="n">
        <f aca="false">IF(ISERROR(VLOOKUP($P430,Member_Tab,4,FALSE())),0,(VLOOKUP($P430,Member_Tab,4,FALSE()) * 0.2 * AP$7) * (IF(AND(AP$5 &gt;= VLOOKUP($P430,Member_Tab,6,FALSE()), AP$5 &lt;= VLOOKUP($P430,Member_Tab,7,FALSE())),1,0))  )</f>
        <v>0</v>
      </c>
      <c r="AQ430" s="76" t="n">
        <f aca="false">IF(ISERROR(VLOOKUP($P430,Member_Tab,4,FALSE())),0,(VLOOKUP($P430,Member_Tab,4,FALSE()) * 0.2 * AQ$7) * (IF(AND(AQ$5 &gt;= VLOOKUP($P430,Member_Tab,6,FALSE()), AQ$5 &lt;= VLOOKUP($P430,Member_Tab,7,FALSE())),1,0))  )</f>
        <v>0</v>
      </c>
      <c r="AR430" s="76" t="n">
        <f aca="false">IF(ISERROR(VLOOKUP($P430,Member_Tab,4,FALSE())),0,(VLOOKUP($P430,Member_Tab,4,FALSE()) * 0.2 * AR$7) * (IF(AND(AR$5 &gt;= VLOOKUP($P430,Member_Tab,6,FALSE()), AR$5 &lt;= VLOOKUP($P430,Member_Tab,7,FALSE())),1,0))  )</f>
        <v>0</v>
      </c>
      <c r="AS430" s="76" t="n">
        <f aca="false">IF(ISERROR(VLOOKUP($P430,Member_Tab,4,FALSE())),0,(VLOOKUP($P430,Member_Tab,4,FALSE()) * 0.2 * AS$7) * (IF(AND(AS$5 &gt;= VLOOKUP($P430,Member_Tab,6,FALSE()), AS$5 &lt;= VLOOKUP($P430,Member_Tab,7,FALSE())),1,0))  )</f>
        <v>0</v>
      </c>
      <c r="AT430" s="76" t="n">
        <f aca="false">IF(ISERROR(VLOOKUP($P430,Member_Tab,4,FALSE())),0,(VLOOKUP($P430,Member_Tab,4,FALSE()) * 0.2 * AT$7) * (IF(AND(AT$5 &gt;= VLOOKUP($P430,Member_Tab,6,FALSE()), AT$5 &lt;= VLOOKUP($P430,Member_Tab,7,FALSE())),1,0))  )</f>
        <v>0</v>
      </c>
      <c r="AU430" s="76" t="n">
        <f aca="false">IF(ISERROR(VLOOKUP($P430,Member_Tab,4,FALSE())),0,(VLOOKUP($P430,Member_Tab,4,FALSE()) * 0.2 * AU$7) * (IF(AND(AU$5 &gt;= VLOOKUP($P430,Member_Tab,6,FALSE()), AU$5 &lt;= VLOOKUP($P430,Member_Tab,7,FALSE())),1,0))  )</f>
        <v>0</v>
      </c>
      <c r="AV430" s="76" t="n">
        <f aca="false">IF(ISERROR(VLOOKUP($P430,Member_Tab,4,FALSE())),0,(VLOOKUP($P430,Member_Tab,4,FALSE()) * 0.2 * AV$7) * (IF(AND(AV$5 &gt;= VLOOKUP($P430,Member_Tab,6,FALSE()), AV$5 &lt;= VLOOKUP($P430,Member_Tab,7,FALSE())),1,0))  )</f>
        <v>0</v>
      </c>
      <c r="AW430" s="76" t="n">
        <f aca="false">IF(ISERROR(VLOOKUP($P430,Member_Tab,4,FALSE())),0,(VLOOKUP($P430,Member_Tab,4,FALSE()) * 0.2 * AW$7) * (IF(AND(AW$5 &gt;= VLOOKUP($P430,Member_Tab,6,FALSE()), AW$5 &lt;= VLOOKUP($P430,Member_Tab,7,FALSE())),1,0))  )</f>
        <v>0</v>
      </c>
      <c r="AX430" s="76" t="n">
        <f aca="false">IF(ISERROR(VLOOKUP($P430,Member_Tab,4,FALSE())),0,(VLOOKUP($P430,Member_Tab,4,FALSE()) * 0.2 * AX$7) * (IF(AND(AX$5 &gt;= VLOOKUP($P430,Member_Tab,6,FALSE()), AX$5 &lt;= VLOOKUP($P430,Member_Tab,7,FALSE())),1,0))  )</f>
        <v>0</v>
      </c>
      <c r="AY430" s="76" t="n">
        <f aca="false">IF(ISERROR(VLOOKUP($P430,Member_Tab,4,FALSE())),0,(VLOOKUP($P430,Member_Tab,4,FALSE()) * 0.2 * AY$7) * (IF(AND(AY$5 &gt;= VLOOKUP($P430,Member_Tab,6,FALSE()), AY$5 &lt;= VLOOKUP($P430,Member_Tab,7,FALSE())),1,0))  )</f>
        <v>0</v>
      </c>
      <c r="AZ430" s="76" t="n">
        <f aca="false">IF(ISERROR(VLOOKUP($P430,Member_Tab,4,FALSE())),0,(VLOOKUP($P430,Member_Tab,4,FALSE()) * 0.2 * AZ$7) * (IF(AND(AZ$5 &gt;= VLOOKUP($P430,Member_Tab,6,FALSE()), AZ$5 &lt;= VLOOKUP($P430,Member_Tab,7,FALSE())),1,0))  )</f>
        <v>0</v>
      </c>
      <c r="BA430" s="76" t="n">
        <f aca="false">IF(ISERROR(VLOOKUP($P430,Member_Tab,4,FALSE())),0,(VLOOKUP($P430,Member_Tab,4,FALSE()) * 0.2 * BA$7) * (IF(AND(BA$5 &gt;= VLOOKUP($P430,Member_Tab,6,FALSE()), BA$5 &lt;= VLOOKUP($P430,Member_Tab,7,FALSE())),1,0))  )</f>
        <v>0</v>
      </c>
      <c r="BB430" s="76" t="n">
        <f aca="false">IF(ISERROR(VLOOKUP($P430,Member_Tab,4,FALSE())),0,(VLOOKUP($P430,Member_Tab,4,FALSE()) * 0.2 * BB$7) * (IF(AND(BB$5 &gt;= VLOOKUP($P430,Member_Tab,6,FALSE()), BB$5 &lt;= VLOOKUP($P430,Member_Tab,7,FALSE())),1,0))  )</f>
        <v>0</v>
      </c>
    </row>
    <row r="431" s="173" customFormat="true" ht="15" hidden="true" customHeight="false" outlineLevel="1" collapsed="false">
      <c r="E431" s="40"/>
      <c r="K431" s="40"/>
      <c r="L431" s="40"/>
      <c r="M431" s="40"/>
      <c r="N431" s="40"/>
      <c r="P431" s="177" t="n">
        <f aca="false">P294</f>
        <v>0</v>
      </c>
      <c r="Q431" s="40"/>
      <c r="R431" s="178"/>
      <c r="S431" s="76" t="n">
        <f aca="false">IF(ISERROR(VLOOKUP($P431,Member_Tab,4,FALSE())),0,(VLOOKUP($P431,Member_Tab,4,FALSE()) * 0.2 * S$7) * (IF(AND(S$5 &gt;= VLOOKUP($P431,Member_Tab,6,FALSE()), S$5 &lt;= VLOOKUP($P431,Member_Tab,7,FALSE())),1,0))  )</f>
        <v>0</v>
      </c>
      <c r="T431" s="76" t="n">
        <f aca="false">IF(ISERROR(VLOOKUP($P431,Member_Tab,4,FALSE())),0,(VLOOKUP($P431,Member_Tab,4,FALSE()) * 0.2 * T$7) * (IF(AND(T$5 &gt;= VLOOKUP($P431,Member_Tab,6,FALSE()), T$5 &lt;= VLOOKUP($P431,Member_Tab,7,FALSE())),1,0))  )</f>
        <v>0</v>
      </c>
      <c r="U431" s="76" t="n">
        <f aca="false">IF(ISERROR(VLOOKUP($P431,Member_Tab,4,FALSE())),0,(VLOOKUP($P431,Member_Tab,4,FALSE()) * 0.2 * U$7) * (IF(AND(U$5 &gt;= VLOOKUP($P431,Member_Tab,6,FALSE()), U$5 &lt;= VLOOKUP($P431,Member_Tab,7,FALSE())),1,0))  )</f>
        <v>0</v>
      </c>
      <c r="V431" s="76" t="n">
        <f aca="false">IF(ISERROR(VLOOKUP($P431,Member_Tab,4,FALSE())),0,(VLOOKUP($P431,Member_Tab,4,FALSE()) * 0.2 * V$7) * (IF(AND(V$5 &gt;= VLOOKUP($P431,Member_Tab,6,FALSE()), V$5 &lt;= VLOOKUP($P431,Member_Tab,7,FALSE())),1,0))  )</f>
        <v>0</v>
      </c>
      <c r="W431" s="76" t="n">
        <f aca="false">IF(ISERROR(VLOOKUP($P431,Member_Tab,4,FALSE())),0,(VLOOKUP($P431,Member_Tab,4,FALSE()) * 0.2 * W$7) * (IF(AND(W$5 &gt;= VLOOKUP($P431,Member_Tab,6,FALSE()), W$5 &lt;= VLOOKUP($P431,Member_Tab,7,FALSE())),1,0))  )</f>
        <v>0</v>
      </c>
      <c r="X431" s="76" t="n">
        <f aca="false">IF(ISERROR(VLOOKUP($P431,Member_Tab,4,FALSE())),0,(VLOOKUP($P431,Member_Tab,4,FALSE()) * 0.2 * X$7) * (IF(AND(X$5 &gt;= VLOOKUP($P431,Member_Tab,6,FALSE()), X$5 &lt;= VLOOKUP($P431,Member_Tab,7,FALSE())),1,0))  )</f>
        <v>0</v>
      </c>
      <c r="Y431" s="76" t="n">
        <f aca="false">IF(ISERROR(VLOOKUP($P431,Member_Tab,4,FALSE())),0,(VLOOKUP($P431,Member_Tab,4,FALSE()) * 0.2 * Y$7) * (IF(AND(Y$5 &gt;= VLOOKUP($P431,Member_Tab,6,FALSE()), Y$5 &lt;= VLOOKUP($P431,Member_Tab,7,FALSE())),1,0))  )</f>
        <v>0</v>
      </c>
      <c r="Z431" s="76" t="n">
        <f aca="false">IF(ISERROR(VLOOKUP($P431,Member_Tab,4,FALSE())),0,(VLOOKUP($P431,Member_Tab,4,FALSE()) * 0.2 * Z$7) * (IF(AND(Z$5 &gt;= VLOOKUP($P431,Member_Tab,6,FALSE()), Z$5 &lt;= VLOOKUP($P431,Member_Tab,7,FALSE())),1,0))  )</f>
        <v>0</v>
      </c>
      <c r="AA431" s="76" t="n">
        <f aca="false">IF(ISERROR(VLOOKUP($P431,Member_Tab,4,FALSE())),0,(VLOOKUP($P431,Member_Tab,4,FALSE()) * 0.2 * AA$7) * (IF(AND(AA$5 &gt;= VLOOKUP($P431,Member_Tab,6,FALSE()), AA$5 &lt;= VLOOKUP($P431,Member_Tab,7,FALSE())),1,0))  )</f>
        <v>0</v>
      </c>
      <c r="AB431" s="76" t="n">
        <f aca="false">IF(ISERROR(VLOOKUP($P431,Member_Tab,4,FALSE())),0,(VLOOKUP($P431,Member_Tab,4,FALSE()) * 0.2 * AB$7) * (IF(AND(AB$5 &gt;= VLOOKUP($P431,Member_Tab,6,FALSE()), AB$5 &lt;= VLOOKUP($P431,Member_Tab,7,FALSE())),1,0))  )</f>
        <v>0</v>
      </c>
      <c r="AC431" s="76" t="n">
        <f aca="false">IF(ISERROR(VLOOKUP($P431,Member_Tab,4,FALSE())),0,(VLOOKUP($P431,Member_Tab,4,FALSE()) * 0.2 * AC$7) * (IF(AND(AC$5 &gt;= VLOOKUP($P431,Member_Tab,6,FALSE()), AC$5 &lt;= VLOOKUP($P431,Member_Tab,7,FALSE())),1,0))  )</f>
        <v>0</v>
      </c>
      <c r="AD431" s="76" t="n">
        <f aca="false">IF(ISERROR(VLOOKUP($P431,Member_Tab,4,FALSE())),0,(VLOOKUP($P431,Member_Tab,4,FALSE()) * 0.2 * AD$7) * (IF(AND(AD$5 &gt;= VLOOKUP($P431,Member_Tab,6,FALSE()), AD$5 &lt;= VLOOKUP($P431,Member_Tab,7,FALSE())),1,0))  )</f>
        <v>0</v>
      </c>
      <c r="AE431" s="76" t="n">
        <f aca="false">IF(ISERROR(VLOOKUP($P431,Member_Tab,4,FALSE())),0,(VLOOKUP($P431,Member_Tab,4,FALSE()) * 0.2 * AE$7) * (IF(AND(AE$5 &gt;= VLOOKUP($P431,Member_Tab,6,FALSE()), AE$5 &lt;= VLOOKUP($P431,Member_Tab,7,FALSE())),1,0))  )</f>
        <v>0</v>
      </c>
      <c r="AF431" s="76" t="n">
        <f aca="false">IF(ISERROR(VLOOKUP($P431,Member_Tab,4,FALSE())),0,(VLOOKUP($P431,Member_Tab,4,FALSE()) * 0.2 * AF$7) * (IF(AND(AF$5 &gt;= VLOOKUP($P431,Member_Tab,6,FALSE()), AF$5 &lt;= VLOOKUP($P431,Member_Tab,7,FALSE())),1,0))  )</f>
        <v>0</v>
      </c>
      <c r="AG431" s="76" t="n">
        <f aca="false">IF(ISERROR(VLOOKUP($P431,Member_Tab,4,FALSE())),0,(VLOOKUP($P431,Member_Tab,4,FALSE()) * 0.2 * AG$7) * (IF(AND(AG$5 &gt;= VLOOKUP($P431,Member_Tab,6,FALSE()), AG$5 &lt;= VLOOKUP($P431,Member_Tab,7,FALSE())),1,0))  )</f>
        <v>0</v>
      </c>
      <c r="AH431" s="76" t="n">
        <f aca="false">IF(ISERROR(VLOOKUP($P431,Member_Tab,4,FALSE())),0,(VLOOKUP($P431,Member_Tab,4,FALSE()) * 0.2 * AH$7) * (IF(AND(AH$5 &gt;= VLOOKUP($P431,Member_Tab,6,FALSE()), AH$5 &lt;= VLOOKUP($P431,Member_Tab,7,FALSE())),1,0))  )</f>
        <v>0</v>
      </c>
      <c r="AI431" s="76" t="n">
        <f aca="false">IF(ISERROR(VLOOKUP($P431,Member_Tab,4,FALSE())),0,(VLOOKUP($P431,Member_Tab,4,FALSE()) * 0.2 * AI$7) * (IF(AND(AI$5 &gt;= VLOOKUP($P431,Member_Tab,6,FALSE()), AI$5 &lt;= VLOOKUP($P431,Member_Tab,7,FALSE())),1,0))  )</f>
        <v>0</v>
      </c>
      <c r="AJ431" s="76" t="n">
        <f aca="false">IF(ISERROR(VLOOKUP($P431,Member_Tab,4,FALSE())),0,(VLOOKUP($P431,Member_Tab,4,FALSE()) * 0.2 * AJ$7) * (IF(AND(AJ$5 &gt;= VLOOKUP($P431,Member_Tab,6,FALSE()), AJ$5 &lt;= VLOOKUP($P431,Member_Tab,7,FALSE())),1,0))  )</f>
        <v>0</v>
      </c>
      <c r="AK431" s="76" t="n">
        <f aca="false">IF(ISERROR(VLOOKUP($P431,Member_Tab,4,FALSE())),0,(VLOOKUP($P431,Member_Tab,4,FALSE()) * 0.2 * AK$7) * (IF(AND(AK$5 &gt;= VLOOKUP($P431,Member_Tab,6,FALSE()), AK$5 &lt;= VLOOKUP($P431,Member_Tab,7,FALSE())),1,0))  )</f>
        <v>0</v>
      </c>
      <c r="AL431" s="76" t="n">
        <f aca="false">IF(ISERROR(VLOOKUP($P431,Member_Tab,4,FALSE())),0,(VLOOKUP($P431,Member_Tab,4,FALSE()) * 0.2 * AL$7) * (IF(AND(AL$5 &gt;= VLOOKUP($P431,Member_Tab,6,FALSE()), AL$5 &lt;= VLOOKUP($P431,Member_Tab,7,FALSE())),1,0))  )</f>
        <v>0</v>
      </c>
      <c r="AM431" s="76" t="n">
        <f aca="false">IF(ISERROR(VLOOKUP($P431,Member_Tab,4,FALSE())),0,(VLOOKUP($P431,Member_Tab,4,FALSE()) * 0.2 * AM$7) * (IF(AND(AM$5 &gt;= VLOOKUP($P431,Member_Tab,6,FALSE()), AM$5 &lt;= VLOOKUP($P431,Member_Tab,7,FALSE())),1,0))  )</f>
        <v>0</v>
      </c>
      <c r="AN431" s="76" t="n">
        <f aca="false">IF(ISERROR(VLOOKUP($P431,Member_Tab,4,FALSE())),0,(VLOOKUP($P431,Member_Tab,4,FALSE()) * 0.2 * AN$7) * (IF(AND(AN$5 &gt;= VLOOKUP($P431,Member_Tab,6,FALSE()), AN$5 &lt;= VLOOKUP($P431,Member_Tab,7,FALSE())),1,0))  )</f>
        <v>0</v>
      </c>
      <c r="AO431" s="76" t="n">
        <f aca="false">IF(ISERROR(VLOOKUP($P431,Member_Tab,4,FALSE())),0,(VLOOKUP($P431,Member_Tab,4,FALSE()) * 0.2 * AO$7) * (IF(AND(AO$5 &gt;= VLOOKUP($P431,Member_Tab,6,FALSE()), AO$5 &lt;= VLOOKUP($P431,Member_Tab,7,FALSE())),1,0))  )</f>
        <v>0</v>
      </c>
      <c r="AP431" s="76" t="n">
        <f aca="false">IF(ISERROR(VLOOKUP($P431,Member_Tab,4,FALSE())),0,(VLOOKUP($P431,Member_Tab,4,FALSE()) * 0.2 * AP$7) * (IF(AND(AP$5 &gt;= VLOOKUP($P431,Member_Tab,6,FALSE()), AP$5 &lt;= VLOOKUP($P431,Member_Tab,7,FALSE())),1,0))  )</f>
        <v>0</v>
      </c>
      <c r="AQ431" s="76" t="n">
        <f aca="false">IF(ISERROR(VLOOKUP($P431,Member_Tab,4,FALSE())),0,(VLOOKUP($P431,Member_Tab,4,FALSE()) * 0.2 * AQ$7) * (IF(AND(AQ$5 &gt;= VLOOKUP($P431,Member_Tab,6,FALSE()), AQ$5 &lt;= VLOOKUP($P431,Member_Tab,7,FALSE())),1,0))  )</f>
        <v>0</v>
      </c>
      <c r="AR431" s="76" t="n">
        <f aca="false">IF(ISERROR(VLOOKUP($P431,Member_Tab,4,FALSE())),0,(VLOOKUP($P431,Member_Tab,4,FALSE()) * 0.2 * AR$7) * (IF(AND(AR$5 &gt;= VLOOKUP($P431,Member_Tab,6,FALSE()), AR$5 &lt;= VLOOKUP($P431,Member_Tab,7,FALSE())),1,0))  )</f>
        <v>0</v>
      </c>
      <c r="AS431" s="76" t="n">
        <f aca="false">IF(ISERROR(VLOOKUP($P431,Member_Tab,4,FALSE())),0,(VLOOKUP($P431,Member_Tab,4,FALSE()) * 0.2 * AS$7) * (IF(AND(AS$5 &gt;= VLOOKUP($P431,Member_Tab,6,FALSE()), AS$5 &lt;= VLOOKUP($P431,Member_Tab,7,FALSE())),1,0))  )</f>
        <v>0</v>
      </c>
      <c r="AT431" s="76" t="n">
        <f aca="false">IF(ISERROR(VLOOKUP($P431,Member_Tab,4,FALSE())),0,(VLOOKUP($P431,Member_Tab,4,FALSE()) * 0.2 * AT$7) * (IF(AND(AT$5 &gt;= VLOOKUP($P431,Member_Tab,6,FALSE()), AT$5 &lt;= VLOOKUP($P431,Member_Tab,7,FALSE())),1,0))  )</f>
        <v>0</v>
      </c>
      <c r="AU431" s="76" t="n">
        <f aca="false">IF(ISERROR(VLOOKUP($P431,Member_Tab,4,FALSE())),0,(VLOOKUP($P431,Member_Tab,4,FALSE()) * 0.2 * AU$7) * (IF(AND(AU$5 &gt;= VLOOKUP($P431,Member_Tab,6,FALSE()), AU$5 &lt;= VLOOKUP($P431,Member_Tab,7,FALSE())),1,0))  )</f>
        <v>0</v>
      </c>
      <c r="AV431" s="76" t="n">
        <f aca="false">IF(ISERROR(VLOOKUP($P431,Member_Tab,4,FALSE())),0,(VLOOKUP($P431,Member_Tab,4,FALSE()) * 0.2 * AV$7) * (IF(AND(AV$5 &gt;= VLOOKUP($P431,Member_Tab,6,FALSE()), AV$5 &lt;= VLOOKUP($P431,Member_Tab,7,FALSE())),1,0))  )</f>
        <v>0</v>
      </c>
      <c r="AW431" s="76" t="n">
        <f aca="false">IF(ISERROR(VLOOKUP($P431,Member_Tab,4,FALSE())),0,(VLOOKUP($P431,Member_Tab,4,FALSE()) * 0.2 * AW$7) * (IF(AND(AW$5 &gt;= VLOOKUP($P431,Member_Tab,6,FALSE()), AW$5 &lt;= VLOOKUP($P431,Member_Tab,7,FALSE())),1,0))  )</f>
        <v>0</v>
      </c>
      <c r="AX431" s="76" t="n">
        <f aca="false">IF(ISERROR(VLOOKUP($P431,Member_Tab,4,FALSE())),0,(VLOOKUP($P431,Member_Tab,4,FALSE()) * 0.2 * AX$7) * (IF(AND(AX$5 &gt;= VLOOKUP($P431,Member_Tab,6,FALSE()), AX$5 &lt;= VLOOKUP($P431,Member_Tab,7,FALSE())),1,0))  )</f>
        <v>0</v>
      </c>
      <c r="AY431" s="76" t="n">
        <f aca="false">IF(ISERROR(VLOOKUP($P431,Member_Tab,4,FALSE())),0,(VLOOKUP($P431,Member_Tab,4,FALSE()) * 0.2 * AY$7) * (IF(AND(AY$5 &gt;= VLOOKUP($P431,Member_Tab,6,FALSE()), AY$5 &lt;= VLOOKUP($P431,Member_Tab,7,FALSE())),1,0))  )</f>
        <v>0</v>
      </c>
      <c r="AZ431" s="76" t="n">
        <f aca="false">IF(ISERROR(VLOOKUP($P431,Member_Tab,4,FALSE())),0,(VLOOKUP($P431,Member_Tab,4,FALSE()) * 0.2 * AZ$7) * (IF(AND(AZ$5 &gt;= VLOOKUP($P431,Member_Tab,6,FALSE()), AZ$5 &lt;= VLOOKUP($P431,Member_Tab,7,FALSE())),1,0))  )</f>
        <v>0</v>
      </c>
      <c r="BA431" s="76" t="n">
        <f aca="false">IF(ISERROR(VLOOKUP($P431,Member_Tab,4,FALSE())),0,(VLOOKUP($P431,Member_Tab,4,FALSE()) * 0.2 * BA$7) * (IF(AND(BA$5 &gt;= VLOOKUP($P431,Member_Tab,6,FALSE()), BA$5 &lt;= VLOOKUP($P431,Member_Tab,7,FALSE())),1,0))  )</f>
        <v>0</v>
      </c>
      <c r="BB431" s="76" t="n">
        <f aca="false">IF(ISERROR(VLOOKUP($P431,Member_Tab,4,FALSE())),0,(VLOOKUP($P431,Member_Tab,4,FALSE()) * 0.2 * BB$7) * (IF(AND(BB$5 &gt;= VLOOKUP($P431,Member_Tab,6,FALSE()), BB$5 &lt;= VLOOKUP($P431,Member_Tab,7,FALSE())),1,0))  )</f>
        <v>0</v>
      </c>
    </row>
    <row r="432" s="173" customFormat="true" ht="15" hidden="true" customHeight="false" outlineLevel="1" collapsed="false">
      <c r="E432" s="40"/>
      <c r="K432" s="40"/>
      <c r="L432" s="40"/>
      <c r="M432" s="40"/>
      <c r="N432" s="40"/>
      <c r="P432" s="177" t="n">
        <f aca="false">P295</f>
        <v>0</v>
      </c>
      <c r="Q432" s="40"/>
      <c r="R432" s="178"/>
      <c r="S432" s="76" t="n">
        <f aca="false">IF(ISERROR(VLOOKUP($P432,Member_Tab,4,FALSE())),0,(VLOOKUP($P432,Member_Tab,4,FALSE()) * 0.2 * S$7) * (IF(AND(S$5 &gt;= VLOOKUP($P432,Member_Tab,6,FALSE()), S$5 &lt;= VLOOKUP($P432,Member_Tab,7,FALSE())),1,0))  )</f>
        <v>0</v>
      </c>
      <c r="T432" s="76" t="n">
        <f aca="false">IF(ISERROR(VLOOKUP($P432,Member_Tab,4,FALSE())),0,(VLOOKUP($P432,Member_Tab,4,FALSE()) * 0.2 * T$7) * (IF(AND(T$5 &gt;= VLOOKUP($P432,Member_Tab,6,FALSE()), T$5 &lt;= VLOOKUP($P432,Member_Tab,7,FALSE())),1,0))  )</f>
        <v>0</v>
      </c>
      <c r="U432" s="76" t="n">
        <f aca="false">IF(ISERROR(VLOOKUP($P432,Member_Tab,4,FALSE())),0,(VLOOKUP($P432,Member_Tab,4,FALSE()) * 0.2 * U$7) * (IF(AND(U$5 &gt;= VLOOKUP($P432,Member_Tab,6,FALSE()), U$5 &lt;= VLOOKUP($P432,Member_Tab,7,FALSE())),1,0))  )</f>
        <v>0</v>
      </c>
      <c r="V432" s="76" t="n">
        <f aca="false">IF(ISERROR(VLOOKUP($P432,Member_Tab,4,FALSE())),0,(VLOOKUP($P432,Member_Tab,4,FALSE()) * 0.2 * V$7) * (IF(AND(V$5 &gt;= VLOOKUP($P432,Member_Tab,6,FALSE()), V$5 &lt;= VLOOKUP($P432,Member_Tab,7,FALSE())),1,0))  )</f>
        <v>0</v>
      </c>
      <c r="W432" s="76" t="n">
        <f aca="false">IF(ISERROR(VLOOKUP($P432,Member_Tab,4,FALSE())),0,(VLOOKUP($P432,Member_Tab,4,FALSE()) * 0.2 * W$7) * (IF(AND(W$5 &gt;= VLOOKUP($P432,Member_Tab,6,FALSE()), W$5 &lt;= VLOOKUP($P432,Member_Tab,7,FALSE())),1,0))  )</f>
        <v>0</v>
      </c>
      <c r="X432" s="76" t="n">
        <f aca="false">IF(ISERROR(VLOOKUP($P432,Member_Tab,4,FALSE())),0,(VLOOKUP($P432,Member_Tab,4,FALSE()) * 0.2 * X$7) * (IF(AND(X$5 &gt;= VLOOKUP($P432,Member_Tab,6,FALSE()), X$5 &lt;= VLOOKUP($P432,Member_Tab,7,FALSE())),1,0))  )</f>
        <v>0</v>
      </c>
      <c r="Y432" s="76" t="n">
        <f aca="false">IF(ISERROR(VLOOKUP($P432,Member_Tab,4,FALSE())),0,(VLOOKUP($P432,Member_Tab,4,FALSE()) * 0.2 * Y$7) * (IF(AND(Y$5 &gt;= VLOOKUP($P432,Member_Tab,6,FALSE()), Y$5 &lt;= VLOOKUP($P432,Member_Tab,7,FALSE())),1,0))  )</f>
        <v>0</v>
      </c>
      <c r="Z432" s="76" t="n">
        <f aca="false">IF(ISERROR(VLOOKUP($P432,Member_Tab,4,FALSE())),0,(VLOOKUP($P432,Member_Tab,4,FALSE()) * 0.2 * Z$7) * (IF(AND(Z$5 &gt;= VLOOKUP($P432,Member_Tab,6,FALSE()), Z$5 &lt;= VLOOKUP($P432,Member_Tab,7,FALSE())),1,0))  )</f>
        <v>0</v>
      </c>
      <c r="AA432" s="76" t="n">
        <f aca="false">IF(ISERROR(VLOOKUP($P432,Member_Tab,4,FALSE())),0,(VLOOKUP($P432,Member_Tab,4,FALSE()) * 0.2 * AA$7) * (IF(AND(AA$5 &gt;= VLOOKUP($P432,Member_Tab,6,FALSE()), AA$5 &lt;= VLOOKUP($P432,Member_Tab,7,FALSE())),1,0))  )</f>
        <v>0</v>
      </c>
      <c r="AB432" s="76" t="n">
        <f aca="false">IF(ISERROR(VLOOKUP($P432,Member_Tab,4,FALSE())),0,(VLOOKUP($P432,Member_Tab,4,FALSE()) * 0.2 * AB$7) * (IF(AND(AB$5 &gt;= VLOOKUP($P432,Member_Tab,6,FALSE()), AB$5 &lt;= VLOOKUP($P432,Member_Tab,7,FALSE())),1,0))  )</f>
        <v>0</v>
      </c>
      <c r="AC432" s="76" t="n">
        <f aca="false">IF(ISERROR(VLOOKUP($P432,Member_Tab,4,FALSE())),0,(VLOOKUP($P432,Member_Tab,4,FALSE()) * 0.2 * AC$7) * (IF(AND(AC$5 &gt;= VLOOKUP($P432,Member_Tab,6,FALSE()), AC$5 &lt;= VLOOKUP($P432,Member_Tab,7,FALSE())),1,0))  )</f>
        <v>0</v>
      </c>
      <c r="AD432" s="76" t="n">
        <f aca="false">IF(ISERROR(VLOOKUP($P432,Member_Tab,4,FALSE())),0,(VLOOKUP($P432,Member_Tab,4,FALSE()) * 0.2 * AD$7) * (IF(AND(AD$5 &gt;= VLOOKUP($P432,Member_Tab,6,FALSE()), AD$5 &lt;= VLOOKUP($P432,Member_Tab,7,FALSE())),1,0))  )</f>
        <v>0</v>
      </c>
      <c r="AE432" s="76" t="n">
        <f aca="false">IF(ISERROR(VLOOKUP($P432,Member_Tab,4,FALSE())),0,(VLOOKUP($P432,Member_Tab,4,FALSE()) * 0.2 * AE$7) * (IF(AND(AE$5 &gt;= VLOOKUP($P432,Member_Tab,6,FALSE()), AE$5 &lt;= VLOOKUP($P432,Member_Tab,7,FALSE())),1,0))  )</f>
        <v>0</v>
      </c>
      <c r="AF432" s="76" t="n">
        <f aca="false">IF(ISERROR(VLOOKUP($P432,Member_Tab,4,FALSE())),0,(VLOOKUP($P432,Member_Tab,4,FALSE()) * 0.2 * AF$7) * (IF(AND(AF$5 &gt;= VLOOKUP($P432,Member_Tab,6,FALSE()), AF$5 &lt;= VLOOKUP($P432,Member_Tab,7,FALSE())),1,0))  )</f>
        <v>0</v>
      </c>
      <c r="AG432" s="76" t="n">
        <f aca="false">IF(ISERROR(VLOOKUP($P432,Member_Tab,4,FALSE())),0,(VLOOKUP($P432,Member_Tab,4,FALSE()) * 0.2 * AG$7) * (IF(AND(AG$5 &gt;= VLOOKUP($P432,Member_Tab,6,FALSE()), AG$5 &lt;= VLOOKUP($P432,Member_Tab,7,FALSE())),1,0))  )</f>
        <v>0</v>
      </c>
      <c r="AH432" s="76" t="n">
        <f aca="false">IF(ISERROR(VLOOKUP($P432,Member_Tab,4,FALSE())),0,(VLOOKUP($P432,Member_Tab,4,FALSE()) * 0.2 * AH$7) * (IF(AND(AH$5 &gt;= VLOOKUP($P432,Member_Tab,6,FALSE()), AH$5 &lt;= VLOOKUP($P432,Member_Tab,7,FALSE())),1,0))  )</f>
        <v>0</v>
      </c>
      <c r="AI432" s="76" t="n">
        <f aca="false">IF(ISERROR(VLOOKUP($P432,Member_Tab,4,FALSE())),0,(VLOOKUP($P432,Member_Tab,4,FALSE()) * 0.2 * AI$7) * (IF(AND(AI$5 &gt;= VLOOKUP($P432,Member_Tab,6,FALSE()), AI$5 &lt;= VLOOKUP($P432,Member_Tab,7,FALSE())),1,0))  )</f>
        <v>0</v>
      </c>
      <c r="AJ432" s="76" t="n">
        <f aca="false">IF(ISERROR(VLOOKUP($P432,Member_Tab,4,FALSE())),0,(VLOOKUP($P432,Member_Tab,4,FALSE()) * 0.2 * AJ$7) * (IF(AND(AJ$5 &gt;= VLOOKUP($P432,Member_Tab,6,FALSE()), AJ$5 &lt;= VLOOKUP($P432,Member_Tab,7,FALSE())),1,0))  )</f>
        <v>0</v>
      </c>
      <c r="AK432" s="76" t="n">
        <f aca="false">IF(ISERROR(VLOOKUP($P432,Member_Tab,4,FALSE())),0,(VLOOKUP($P432,Member_Tab,4,FALSE()) * 0.2 * AK$7) * (IF(AND(AK$5 &gt;= VLOOKUP($P432,Member_Tab,6,FALSE()), AK$5 &lt;= VLOOKUP($P432,Member_Tab,7,FALSE())),1,0))  )</f>
        <v>0</v>
      </c>
      <c r="AL432" s="76" t="n">
        <f aca="false">IF(ISERROR(VLOOKUP($P432,Member_Tab,4,FALSE())),0,(VLOOKUP($P432,Member_Tab,4,FALSE()) * 0.2 * AL$7) * (IF(AND(AL$5 &gt;= VLOOKUP($P432,Member_Tab,6,FALSE()), AL$5 &lt;= VLOOKUP($P432,Member_Tab,7,FALSE())),1,0))  )</f>
        <v>0</v>
      </c>
      <c r="AM432" s="76" t="n">
        <f aca="false">IF(ISERROR(VLOOKUP($P432,Member_Tab,4,FALSE())),0,(VLOOKUP($P432,Member_Tab,4,FALSE()) * 0.2 * AM$7) * (IF(AND(AM$5 &gt;= VLOOKUP($P432,Member_Tab,6,FALSE()), AM$5 &lt;= VLOOKUP($P432,Member_Tab,7,FALSE())),1,0))  )</f>
        <v>0</v>
      </c>
      <c r="AN432" s="76" t="n">
        <f aca="false">IF(ISERROR(VLOOKUP($P432,Member_Tab,4,FALSE())),0,(VLOOKUP($P432,Member_Tab,4,FALSE()) * 0.2 * AN$7) * (IF(AND(AN$5 &gt;= VLOOKUP($P432,Member_Tab,6,FALSE()), AN$5 &lt;= VLOOKUP($P432,Member_Tab,7,FALSE())),1,0))  )</f>
        <v>0</v>
      </c>
      <c r="AO432" s="76" t="n">
        <f aca="false">IF(ISERROR(VLOOKUP($P432,Member_Tab,4,FALSE())),0,(VLOOKUP($P432,Member_Tab,4,FALSE()) * 0.2 * AO$7) * (IF(AND(AO$5 &gt;= VLOOKUP($P432,Member_Tab,6,FALSE()), AO$5 &lt;= VLOOKUP($P432,Member_Tab,7,FALSE())),1,0))  )</f>
        <v>0</v>
      </c>
      <c r="AP432" s="76" t="n">
        <f aca="false">IF(ISERROR(VLOOKUP($P432,Member_Tab,4,FALSE())),0,(VLOOKUP($P432,Member_Tab,4,FALSE()) * 0.2 * AP$7) * (IF(AND(AP$5 &gt;= VLOOKUP($P432,Member_Tab,6,FALSE()), AP$5 &lt;= VLOOKUP($P432,Member_Tab,7,FALSE())),1,0))  )</f>
        <v>0</v>
      </c>
      <c r="AQ432" s="76" t="n">
        <f aca="false">IF(ISERROR(VLOOKUP($P432,Member_Tab,4,FALSE())),0,(VLOOKUP($P432,Member_Tab,4,FALSE()) * 0.2 * AQ$7) * (IF(AND(AQ$5 &gt;= VLOOKUP($P432,Member_Tab,6,FALSE()), AQ$5 &lt;= VLOOKUP($P432,Member_Tab,7,FALSE())),1,0))  )</f>
        <v>0</v>
      </c>
      <c r="AR432" s="76" t="n">
        <f aca="false">IF(ISERROR(VLOOKUP($P432,Member_Tab,4,FALSE())),0,(VLOOKUP($P432,Member_Tab,4,FALSE()) * 0.2 * AR$7) * (IF(AND(AR$5 &gt;= VLOOKUP($P432,Member_Tab,6,FALSE()), AR$5 &lt;= VLOOKUP($P432,Member_Tab,7,FALSE())),1,0))  )</f>
        <v>0</v>
      </c>
      <c r="AS432" s="76" t="n">
        <f aca="false">IF(ISERROR(VLOOKUP($P432,Member_Tab,4,FALSE())),0,(VLOOKUP($P432,Member_Tab,4,FALSE()) * 0.2 * AS$7) * (IF(AND(AS$5 &gt;= VLOOKUP($P432,Member_Tab,6,FALSE()), AS$5 &lt;= VLOOKUP($P432,Member_Tab,7,FALSE())),1,0))  )</f>
        <v>0</v>
      </c>
      <c r="AT432" s="76" t="n">
        <f aca="false">IF(ISERROR(VLOOKUP($P432,Member_Tab,4,FALSE())),0,(VLOOKUP($P432,Member_Tab,4,FALSE()) * 0.2 * AT$7) * (IF(AND(AT$5 &gt;= VLOOKUP($P432,Member_Tab,6,FALSE()), AT$5 &lt;= VLOOKUP($P432,Member_Tab,7,FALSE())),1,0))  )</f>
        <v>0</v>
      </c>
      <c r="AU432" s="76" t="n">
        <f aca="false">IF(ISERROR(VLOOKUP($P432,Member_Tab,4,FALSE())),0,(VLOOKUP($P432,Member_Tab,4,FALSE()) * 0.2 * AU$7) * (IF(AND(AU$5 &gt;= VLOOKUP($P432,Member_Tab,6,FALSE()), AU$5 &lt;= VLOOKUP($P432,Member_Tab,7,FALSE())),1,0))  )</f>
        <v>0</v>
      </c>
      <c r="AV432" s="76" t="n">
        <f aca="false">IF(ISERROR(VLOOKUP($P432,Member_Tab,4,FALSE())),0,(VLOOKUP($P432,Member_Tab,4,FALSE()) * 0.2 * AV$7) * (IF(AND(AV$5 &gt;= VLOOKUP($P432,Member_Tab,6,FALSE()), AV$5 &lt;= VLOOKUP($P432,Member_Tab,7,FALSE())),1,0))  )</f>
        <v>0</v>
      </c>
      <c r="AW432" s="76" t="n">
        <f aca="false">IF(ISERROR(VLOOKUP($P432,Member_Tab,4,FALSE())),0,(VLOOKUP($P432,Member_Tab,4,FALSE()) * 0.2 * AW$7) * (IF(AND(AW$5 &gt;= VLOOKUP($P432,Member_Tab,6,FALSE()), AW$5 &lt;= VLOOKUP($P432,Member_Tab,7,FALSE())),1,0))  )</f>
        <v>0</v>
      </c>
      <c r="AX432" s="76" t="n">
        <f aca="false">IF(ISERROR(VLOOKUP($P432,Member_Tab,4,FALSE())),0,(VLOOKUP($P432,Member_Tab,4,FALSE()) * 0.2 * AX$7) * (IF(AND(AX$5 &gt;= VLOOKUP($P432,Member_Tab,6,FALSE()), AX$5 &lt;= VLOOKUP($P432,Member_Tab,7,FALSE())),1,0))  )</f>
        <v>0</v>
      </c>
      <c r="AY432" s="76" t="n">
        <f aca="false">IF(ISERROR(VLOOKUP($P432,Member_Tab,4,FALSE())),0,(VLOOKUP($P432,Member_Tab,4,FALSE()) * 0.2 * AY$7) * (IF(AND(AY$5 &gt;= VLOOKUP($P432,Member_Tab,6,FALSE()), AY$5 &lt;= VLOOKUP($P432,Member_Tab,7,FALSE())),1,0))  )</f>
        <v>0</v>
      </c>
      <c r="AZ432" s="76" t="n">
        <f aca="false">IF(ISERROR(VLOOKUP($P432,Member_Tab,4,FALSE())),0,(VLOOKUP($P432,Member_Tab,4,FALSE()) * 0.2 * AZ$7) * (IF(AND(AZ$5 &gt;= VLOOKUP($P432,Member_Tab,6,FALSE()), AZ$5 &lt;= VLOOKUP($P432,Member_Tab,7,FALSE())),1,0))  )</f>
        <v>0</v>
      </c>
      <c r="BA432" s="76" t="n">
        <f aca="false">IF(ISERROR(VLOOKUP($P432,Member_Tab,4,FALSE())),0,(VLOOKUP($P432,Member_Tab,4,FALSE()) * 0.2 * BA$7) * (IF(AND(BA$5 &gt;= VLOOKUP($P432,Member_Tab,6,FALSE()), BA$5 &lt;= VLOOKUP($P432,Member_Tab,7,FALSE())),1,0))  )</f>
        <v>0</v>
      </c>
      <c r="BB432" s="76" t="n">
        <f aca="false">IF(ISERROR(VLOOKUP($P432,Member_Tab,4,FALSE())),0,(VLOOKUP($P432,Member_Tab,4,FALSE()) * 0.2 * BB$7) * (IF(AND(BB$5 &gt;= VLOOKUP($P432,Member_Tab,6,FALSE()), BB$5 &lt;= VLOOKUP($P432,Member_Tab,7,FALSE())),1,0))  )</f>
        <v>0</v>
      </c>
    </row>
    <row r="433" s="173" customFormat="true" ht="15" hidden="true" customHeight="false" outlineLevel="1" collapsed="false">
      <c r="E433" s="40"/>
      <c r="K433" s="40"/>
      <c r="L433" s="40"/>
      <c r="M433" s="40"/>
      <c r="N433" s="40"/>
      <c r="P433" s="177" t="n">
        <f aca="false">P296</f>
        <v>0</v>
      </c>
      <c r="Q433" s="40"/>
      <c r="R433" s="178"/>
      <c r="S433" s="76" t="n">
        <f aca="false">IF(ISERROR(VLOOKUP($P433,Member_Tab,4,FALSE())),0,(VLOOKUP($P433,Member_Tab,4,FALSE()) * 0.2 * S$7) * (IF(AND(S$5 &gt;= VLOOKUP($P433,Member_Tab,6,FALSE()), S$5 &lt;= VLOOKUP($P433,Member_Tab,7,FALSE())),1,0))  )</f>
        <v>0</v>
      </c>
      <c r="T433" s="76" t="n">
        <f aca="false">IF(ISERROR(VLOOKUP($P433,Member_Tab,4,FALSE())),0,(VLOOKUP($P433,Member_Tab,4,FALSE()) * 0.2 * T$7) * (IF(AND(T$5 &gt;= VLOOKUP($P433,Member_Tab,6,FALSE()), T$5 &lt;= VLOOKUP($P433,Member_Tab,7,FALSE())),1,0))  )</f>
        <v>0</v>
      </c>
      <c r="U433" s="76" t="n">
        <f aca="false">IF(ISERROR(VLOOKUP($P433,Member_Tab,4,FALSE())),0,(VLOOKUP($P433,Member_Tab,4,FALSE()) * 0.2 * U$7) * (IF(AND(U$5 &gt;= VLOOKUP($P433,Member_Tab,6,FALSE()), U$5 &lt;= VLOOKUP($P433,Member_Tab,7,FALSE())),1,0))  )</f>
        <v>0</v>
      </c>
      <c r="V433" s="76" t="n">
        <f aca="false">IF(ISERROR(VLOOKUP($P433,Member_Tab,4,FALSE())),0,(VLOOKUP($P433,Member_Tab,4,FALSE()) * 0.2 * V$7) * (IF(AND(V$5 &gt;= VLOOKUP($P433,Member_Tab,6,FALSE()), V$5 &lt;= VLOOKUP($P433,Member_Tab,7,FALSE())),1,0))  )</f>
        <v>0</v>
      </c>
      <c r="W433" s="76" t="n">
        <f aca="false">IF(ISERROR(VLOOKUP($P433,Member_Tab,4,FALSE())),0,(VLOOKUP($P433,Member_Tab,4,FALSE()) * 0.2 * W$7) * (IF(AND(W$5 &gt;= VLOOKUP($P433,Member_Tab,6,FALSE()), W$5 &lt;= VLOOKUP($P433,Member_Tab,7,FALSE())),1,0))  )</f>
        <v>0</v>
      </c>
      <c r="X433" s="76" t="n">
        <f aca="false">IF(ISERROR(VLOOKUP($P433,Member_Tab,4,FALSE())),0,(VLOOKUP($P433,Member_Tab,4,FALSE()) * 0.2 * X$7) * (IF(AND(X$5 &gt;= VLOOKUP($P433,Member_Tab,6,FALSE()), X$5 &lt;= VLOOKUP($P433,Member_Tab,7,FALSE())),1,0))  )</f>
        <v>0</v>
      </c>
      <c r="Y433" s="76" t="n">
        <f aca="false">IF(ISERROR(VLOOKUP($P433,Member_Tab,4,FALSE())),0,(VLOOKUP($P433,Member_Tab,4,FALSE()) * 0.2 * Y$7) * (IF(AND(Y$5 &gt;= VLOOKUP($P433,Member_Tab,6,FALSE()), Y$5 &lt;= VLOOKUP($P433,Member_Tab,7,FALSE())),1,0))  )</f>
        <v>0</v>
      </c>
      <c r="Z433" s="76" t="n">
        <f aca="false">IF(ISERROR(VLOOKUP($P433,Member_Tab,4,FALSE())),0,(VLOOKUP($P433,Member_Tab,4,FALSE()) * 0.2 * Z$7) * (IF(AND(Z$5 &gt;= VLOOKUP($P433,Member_Tab,6,FALSE()), Z$5 &lt;= VLOOKUP($P433,Member_Tab,7,FALSE())),1,0))  )</f>
        <v>0</v>
      </c>
      <c r="AA433" s="76" t="n">
        <f aca="false">IF(ISERROR(VLOOKUP($P433,Member_Tab,4,FALSE())),0,(VLOOKUP($P433,Member_Tab,4,FALSE()) * 0.2 * AA$7) * (IF(AND(AA$5 &gt;= VLOOKUP($P433,Member_Tab,6,FALSE()), AA$5 &lt;= VLOOKUP($P433,Member_Tab,7,FALSE())),1,0))  )</f>
        <v>0</v>
      </c>
      <c r="AB433" s="76" t="n">
        <f aca="false">IF(ISERROR(VLOOKUP($P433,Member_Tab,4,FALSE())),0,(VLOOKUP($P433,Member_Tab,4,FALSE()) * 0.2 * AB$7) * (IF(AND(AB$5 &gt;= VLOOKUP($P433,Member_Tab,6,FALSE()), AB$5 &lt;= VLOOKUP($P433,Member_Tab,7,FALSE())),1,0))  )</f>
        <v>0</v>
      </c>
      <c r="AC433" s="76" t="n">
        <f aca="false">IF(ISERROR(VLOOKUP($P433,Member_Tab,4,FALSE())),0,(VLOOKUP($P433,Member_Tab,4,FALSE()) * 0.2 * AC$7) * (IF(AND(AC$5 &gt;= VLOOKUP($P433,Member_Tab,6,FALSE()), AC$5 &lt;= VLOOKUP($P433,Member_Tab,7,FALSE())),1,0))  )</f>
        <v>0</v>
      </c>
      <c r="AD433" s="76" t="n">
        <f aca="false">IF(ISERROR(VLOOKUP($P433,Member_Tab,4,FALSE())),0,(VLOOKUP($P433,Member_Tab,4,FALSE()) * 0.2 * AD$7) * (IF(AND(AD$5 &gt;= VLOOKUP($P433,Member_Tab,6,FALSE()), AD$5 &lt;= VLOOKUP($P433,Member_Tab,7,FALSE())),1,0))  )</f>
        <v>0</v>
      </c>
      <c r="AE433" s="76" t="n">
        <f aca="false">IF(ISERROR(VLOOKUP($P433,Member_Tab,4,FALSE())),0,(VLOOKUP($P433,Member_Tab,4,FALSE()) * 0.2 * AE$7) * (IF(AND(AE$5 &gt;= VLOOKUP($P433,Member_Tab,6,FALSE()), AE$5 &lt;= VLOOKUP($P433,Member_Tab,7,FALSE())),1,0))  )</f>
        <v>0</v>
      </c>
      <c r="AF433" s="76" t="n">
        <f aca="false">IF(ISERROR(VLOOKUP($P433,Member_Tab,4,FALSE())),0,(VLOOKUP($P433,Member_Tab,4,FALSE()) * 0.2 * AF$7) * (IF(AND(AF$5 &gt;= VLOOKUP($P433,Member_Tab,6,FALSE()), AF$5 &lt;= VLOOKUP($P433,Member_Tab,7,FALSE())),1,0))  )</f>
        <v>0</v>
      </c>
      <c r="AG433" s="76" t="n">
        <f aca="false">IF(ISERROR(VLOOKUP($P433,Member_Tab,4,FALSE())),0,(VLOOKUP($P433,Member_Tab,4,FALSE()) * 0.2 * AG$7) * (IF(AND(AG$5 &gt;= VLOOKUP($P433,Member_Tab,6,FALSE()), AG$5 &lt;= VLOOKUP($P433,Member_Tab,7,FALSE())),1,0))  )</f>
        <v>0</v>
      </c>
      <c r="AH433" s="76" t="n">
        <f aca="false">IF(ISERROR(VLOOKUP($P433,Member_Tab,4,FALSE())),0,(VLOOKUP($P433,Member_Tab,4,FALSE()) * 0.2 * AH$7) * (IF(AND(AH$5 &gt;= VLOOKUP($P433,Member_Tab,6,FALSE()), AH$5 &lt;= VLOOKUP($P433,Member_Tab,7,FALSE())),1,0))  )</f>
        <v>0</v>
      </c>
      <c r="AI433" s="76" t="n">
        <f aca="false">IF(ISERROR(VLOOKUP($P433,Member_Tab,4,FALSE())),0,(VLOOKUP($P433,Member_Tab,4,FALSE()) * 0.2 * AI$7) * (IF(AND(AI$5 &gt;= VLOOKUP($P433,Member_Tab,6,FALSE()), AI$5 &lt;= VLOOKUP($P433,Member_Tab,7,FALSE())),1,0))  )</f>
        <v>0</v>
      </c>
      <c r="AJ433" s="76" t="n">
        <f aca="false">IF(ISERROR(VLOOKUP($P433,Member_Tab,4,FALSE())),0,(VLOOKUP($P433,Member_Tab,4,FALSE()) * 0.2 * AJ$7) * (IF(AND(AJ$5 &gt;= VLOOKUP($P433,Member_Tab,6,FALSE()), AJ$5 &lt;= VLOOKUP($P433,Member_Tab,7,FALSE())),1,0))  )</f>
        <v>0</v>
      </c>
      <c r="AK433" s="76" t="n">
        <f aca="false">IF(ISERROR(VLOOKUP($P433,Member_Tab,4,FALSE())),0,(VLOOKUP($P433,Member_Tab,4,FALSE()) * 0.2 * AK$7) * (IF(AND(AK$5 &gt;= VLOOKUP($P433,Member_Tab,6,FALSE()), AK$5 &lt;= VLOOKUP($P433,Member_Tab,7,FALSE())),1,0))  )</f>
        <v>0</v>
      </c>
      <c r="AL433" s="76" t="n">
        <f aca="false">IF(ISERROR(VLOOKUP($P433,Member_Tab,4,FALSE())),0,(VLOOKUP($P433,Member_Tab,4,FALSE()) * 0.2 * AL$7) * (IF(AND(AL$5 &gt;= VLOOKUP($P433,Member_Tab,6,FALSE()), AL$5 &lt;= VLOOKUP($P433,Member_Tab,7,FALSE())),1,0))  )</f>
        <v>0</v>
      </c>
      <c r="AM433" s="76" t="n">
        <f aca="false">IF(ISERROR(VLOOKUP($P433,Member_Tab,4,FALSE())),0,(VLOOKUP($P433,Member_Tab,4,FALSE()) * 0.2 * AM$7) * (IF(AND(AM$5 &gt;= VLOOKUP($P433,Member_Tab,6,FALSE()), AM$5 &lt;= VLOOKUP($P433,Member_Tab,7,FALSE())),1,0))  )</f>
        <v>0</v>
      </c>
      <c r="AN433" s="76" t="n">
        <f aca="false">IF(ISERROR(VLOOKUP($P433,Member_Tab,4,FALSE())),0,(VLOOKUP($P433,Member_Tab,4,FALSE()) * 0.2 * AN$7) * (IF(AND(AN$5 &gt;= VLOOKUP($P433,Member_Tab,6,FALSE()), AN$5 &lt;= VLOOKUP($P433,Member_Tab,7,FALSE())),1,0))  )</f>
        <v>0</v>
      </c>
      <c r="AO433" s="76" t="n">
        <f aca="false">IF(ISERROR(VLOOKUP($P433,Member_Tab,4,FALSE())),0,(VLOOKUP($P433,Member_Tab,4,FALSE()) * 0.2 * AO$7) * (IF(AND(AO$5 &gt;= VLOOKUP($P433,Member_Tab,6,FALSE()), AO$5 &lt;= VLOOKUP($P433,Member_Tab,7,FALSE())),1,0))  )</f>
        <v>0</v>
      </c>
      <c r="AP433" s="76" t="n">
        <f aca="false">IF(ISERROR(VLOOKUP($P433,Member_Tab,4,FALSE())),0,(VLOOKUP($P433,Member_Tab,4,FALSE()) * 0.2 * AP$7) * (IF(AND(AP$5 &gt;= VLOOKUP($P433,Member_Tab,6,FALSE()), AP$5 &lt;= VLOOKUP($P433,Member_Tab,7,FALSE())),1,0))  )</f>
        <v>0</v>
      </c>
      <c r="AQ433" s="76" t="n">
        <f aca="false">IF(ISERROR(VLOOKUP($P433,Member_Tab,4,FALSE())),0,(VLOOKUP($P433,Member_Tab,4,FALSE()) * 0.2 * AQ$7) * (IF(AND(AQ$5 &gt;= VLOOKUP($P433,Member_Tab,6,FALSE()), AQ$5 &lt;= VLOOKUP($P433,Member_Tab,7,FALSE())),1,0))  )</f>
        <v>0</v>
      </c>
      <c r="AR433" s="76" t="n">
        <f aca="false">IF(ISERROR(VLOOKUP($P433,Member_Tab,4,FALSE())),0,(VLOOKUP($P433,Member_Tab,4,FALSE()) * 0.2 * AR$7) * (IF(AND(AR$5 &gt;= VLOOKUP($P433,Member_Tab,6,FALSE()), AR$5 &lt;= VLOOKUP($P433,Member_Tab,7,FALSE())),1,0))  )</f>
        <v>0</v>
      </c>
      <c r="AS433" s="76" t="n">
        <f aca="false">IF(ISERROR(VLOOKUP($P433,Member_Tab,4,FALSE())),0,(VLOOKUP($P433,Member_Tab,4,FALSE()) * 0.2 * AS$7) * (IF(AND(AS$5 &gt;= VLOOKUP($P433,Member_Tab,6,FALSE()), AS$5 &lt;= VLOOKUP($P433,Member_Tab,7,FALSE())),1,0))  )</f>
        <v>0</v>
      </c>
      <c r="AT433" s="76" t="n">
        <f aca="false">IF(ISERROR(VLOOKUP($P433,Member_Tab,4,FALSE())),0,(VLOOKUP($P433,Member_Tab,4,FALSE()) * 0.2 * AT$7) * (IF(AND(AT$5 &gt;= VLOOKUP($P433,Member_Tab,6,FALSE()), AT$5 &lt;= VLOOKUP($P433,Member_Tab,7,FALSE())),1,0))  )</f>
        <v>0</v>
      </c>
      <c r="AU433" s="76" t="n">
        <f aca="false">IF(ISERROR(VLOOKUP($P433,Member_Tab,4,FALSE())),0,(VLOOKUP($P433,Member_Tab,4,FALSE()) * 0.2 * AU$7) * (IF(AND(AU$5 &gt;= VLOOKUP($P433,Member_Tab,6,FALSE()), AU$5 &lt;= VLOOKUP($P433,Member_Tab,7,FALSE())),1,0))  )</f>
        <v>0</v>
      </c>
      <c r="AV433" s="76" t="n">
        <f aca="false">IF(ISERROR(VLOOKUP($P433,Member_Tab,4,FALSE())),0,(VLOOKUP($P433,Member_Tab,4,FALSE()) * 0.2 * AV$7) * (IF(AND(AV$5 &gt;= VLOOKUP($P433,Member_Tab,6,FALSE()), AV$5 &lt;= VLOOKUP($P433,Member_Tab,7,FALSE())),1,0))  )</f>
        <v>0</v>
      </c>
      <c r="AW433" s="76" t="n">
        <f aca="false">IF(ISERROR(VLOOKUP($P433,Member_Tab,4,FALSE())),0,(VLOOKUP($P433,Member_Tab,4,FALSE()) * 0.2 * AW$7) * (IF(AND(AW$5 &gt;= VLOOKUP($P433,Member_Tab,6,FALSE()), AW$5 &lt;= VLOOKUP($P433,Member_Tab,7,FALSE())),1,0))  )</f>
        <v>0</v>
      </c>
      <c r="AX433" s="76" t="n">
        <f aca="false">IF(ISERROR(VLOOKUP($P433,Member_Tab,4,FALSE())),0,(VLOOKUP($P433,Member_Tab,4,FALSE()) * 0.2 * AX$7) * (IF(AND(AX$5 &gt;= VLOOKUP($P433,Member_Tab,6,FALSE()), AX$5 &lt;= VLOOKUP($P433,Member_Tab,7,FALSE())),1,0))  )</f>
        <v>0</v>
      </c>
      <c r="AY433" s="76" t="n">
        <f aca="false">IF(ISERROR(VLOOKUP($P433,Member_Tab,4,FALSE())),0,(VLOOKUP($P433,Member_Tab,4,FALSE()) * 0.2 * AY$7) * (IF(AND(AY$5 &gt;= VLOOKUP($P433,Member_Tab,6,FALSE()), AY$5 &lt;= VLOOKUP($P433,Member_Tab,7,FALSE())),1,0))  )</f>
        <v>0</v>
      </c>
      <c r="AZ433" s="76" t="n">
        <f aca="false">IF(ISERROR(VLOOKUP($P433,Member_Tab,4,FALSE())),0,(VLOOKUP($P433,Member_Tab,4,FALSE()) * 0.2 * AZ$7) * (IF(AND(AZ$5 &gt;= VLOOKUP($P433,Member_Tab,6,FALSE()), AZ$5 &lt;= VLOOKUP($P433,Member_Tab,7,FALSE())),1,0))  )</f>
        <v>0</v>
      </c>
      <c r="BA433" s="76" t="n">
        <f aca="false">IF(ISERROR(VLOOKUP($P433,Member_Tab,4,FALSE())),0,(VLOOKUP($P433,Member_Tab,4,FALSE()) * 0.2 * BA$7) * (IF(AND(BA$5 &gt;= VLOOKUP($P433,Member_Tab,6,FALSE()), BA$5 &lt;= VLOOKUP($P433,Member_Tab,7,FALSE())),1,0))  )</f>
        <v>0</v>
      </c>
      <c r="BB433" s="76" t="n">
        <f aca="false">IF(ISERROR(VLOOKUP($P433,Member_Tab,4,FALSE())),0,(VLOOKUP($P433,Member_Tab,4,FALSE()) * 0.2 * BB$7) * (IF(AND(BB$5 &gt;= VLOOKUP($P433,Member_Tab,6,FALSE()), BB$5 &lt;= VLOOKUP($P433,Member_Tab,7,FALSE())),1,0))  )</f>
        <v>0</v>
      </c>
    </row>
    <row r="434" s="173" customFormat="true" ht="15" hidden="true" customHeight="false" outlineLevel="1" collapsed="false">
      <c r="E434" s="40"/>
      <c r="K434" s="40"/>
      <c r="L434" s="40"/>
      <c r="M434" s="40"/>
      <c r="N434" s="40"/>
      <c r="P434" s="177" t="n">
        <f aca="false">P297</f>
        <v>0</v>
      </c>
      <c r="Q434" s="40"/>
      <c r="R434" s="178"/>
      <c r="S434" s="76" t="n">
        <f aca="false">IF(ISERROR(VLOOKUP($P434,Member_Tab,4,FALSE())),0,(VLOOKUP($P434,Member_Tab,4,FALSE()) * 0.2 * S$7) * (IF(AND(S$5 &gt;= VLOOKUP($P434,Member_Tab,6,FALSE()), S$5 &lt;= VLOOKUP($P434,Member_Tab,7,FALSE())),1,0))  )</f>
        <v>0</v>
      </c>
      <c r="T434" s="76" t="n">
        <f aca="false">IF(ISERROR(VLOOKUP($P434,Member_Tab,4,FALSE())),0,(VLOOKUP($P434,Member_Tab,4,FALSE()) * 0.2 * T$7) * (IF(AND(T$5 &gt;= VLOOKUP($P434,Member_Tab,6,FALSE()), T$5 &lt;= VLOOKUP($P434,Member_Tab,7,FALSE())),1,0))  )</f>
        <v>0</v>
      </c>
      <c r="U434" s="76" t="n">
        <f aca="false">IF(ISERROR(VLOOKUP($P434,Member_Tab,4,FALSE())),0,(VLOOKUP($P434,Member_Tab,4,FALSE()) * 0.2 * U$7) * (IF(AND(U$5 &gt;= VLOOKUP($P434,Member_Tab,6,FALSE()), U$5 &lt;= VLOOKUP($P434,Member_Tab,7,FALSE())),1,0))  )</f>
        <v>0</v>
      </c>
      <c r="V434" s="76" t="n">
        <f aca="false">IF(ISERROR(VLOOKUP($P434,Member_Tab,4,FALSE())),0,(VLOOKUP($P434,Member_Tab,4,FALSE()) * 0.2 * V$7) * (IF(AND(V$5 &gt;= VLOOKUP($P434,Member_Tab,6,FALSE()), V$5 &lt;= VLOOKUP($P434,Member_Tab,7,FALSE())),1,0))  )</f>
        <v>0</v>
      </c>
      <c r="W434" s="76" t="n">
        <f aca="false">IF(ISERROR(VLOOKUP($P434,Member_Tab,4,FALSE())),0,(VLOOKUP($P434,Member_Tab,4,FALSE()) * 0.2 * W$7) * (IF(AND(W$5 &gt;= VLOOKUP($P434,Member_Tab,6,FALSE()), W$5 &lt;= VLOOKUP($P434,Member_Tab,7,FALSE())),1,0))  )</f>
        <v>0</v>
      </c>
      <c r="X434" s="76" t="n">
        <f aca="false">IF(ISERROR(VLOOKUP($P434,Member_Tab,4,FALSE())),0,(VLOOKUP($P434,Member_Tab,4,FALSE()) * 0.2 * X$7) * (IF(AND(X$5 &gt;= VLOOKUP($P434,Member_Tab,6,FALSE()), X$5 &lt;= VLOOKUP($P434,Member_Tab,7,FALSE())),1,0))  )</f>
        <v>0</v>
      </c>
      <c r="Y434" s="76" t="n">
        <f aca="false">IF(ISERROR(VLOOKUP($P434,Member_Tab,4,FALSE())),0,(VLOOKUP($P434,Member_Tab,4,FALSE()) * 0.2 * Y$7) * (IF(AND(Y$5 &gt;= VLOOKUP($P434,Member_Tab,6,FALSE()), Y$5 &lt;= VLOOKUP($P434,Member_Tab,7,FALSE())),1,0))  )</f>
        <v>0</v>
      </c>
      <c r="Z434" s="76" t="n">
        <f aca="false">IF(ISERROR(VLOOKUP($P434,Member_Tab,4,FALSE())),0,(VLOOKUP($P434,Member_Tab,4,FALSE()) * 0.2 * Z$7) * (IF(AND(Z$5 &gt;= VLOOKUP($P434,Member_Tab,6,FALSE()), Z$5 &lt;= VLOOKUP($P434,Member_Tab,7,FALSE())),1,0))  )</f>
        <v>0</v>
      </c>
      <c r="AA434" s="76" t="n">
        <f aca="false">IF(ISERROR(VLOOKUP($P434,Member_Tab,4,FALSE())),0,(VLOOKUP($P434,Member_Tab,4,FALSE()) * 0.2 * AA$7) * (IF(AND(AA$5 &gt;= VLOOKUP($P434,Member_Tab,6,FALSE()), AA$5 &lt;= VLOOKUP($P434,Member_Tab,7,FALSE())),1,0))  )</f>
        <v>0</v>
      </c>
      <c r="AB434" s="76" t="n">
        <f aca="false">IF(ISERROR(VLOOKUP($P434,Member_Tab,4,FALSE())),0,(VLOOKUP($P434,Member_Tab,4,FALSE()) * 0.2 * AB$7) * (IF(AND(AB$5 &gt;= VLOOKUP($P434,Member_Tab,6,FALSE()), AB$5 &lt;= VLOOKUP($P434,Member_Tab,7,FALSE())),1,0))  )</f>
        <v>0</v>
      </c>
      <c r="AC434" s="76" t="n">
        <f aca="false">IF(ISERROR(VLOOKUP($P434,Member_Tab,4,FALSE())),0,(VLOOKUP($P434,Member_Tab,4,FALSE()) * 0.2 * AC$7) * (IF(AND(AC$5 &gt;= VLOOKUP($P434,Member_Tab,6,FALSE()), AC$5 &lt;= VLOOKUP($P434,Member_Tab,7,FALSE())),1,0))  )</f>
        <v>0</v>
      </c>
      <c r="AD434" s="76" t="n">
        <f aca="false">IF(ISERROR(VLOOKUP($P434,Member_Tab,4,FALSE())),0,(VLOOKUP($P434,Member_Tab,4,FALSE()) * 0.2 * AD$7) * (IF(AND(AD$5 &gt;= VLOOKUP($P434,Member_Tab,6,FALSE()), AD$5 &lt;= VLOOKUP($P434,Member_Tab,7,FALSE())),1,0))  )</f>
        <v>0</v>
      </c>
      <c r="AE434" s="76" t="n">
        <f aca="false">IF(ISERROR(VLOOKUP($P434,Member_Tab,4,FALSE())),0,(VLOOKUP($P434,Member_Tab,4,FALSE()) * 0.2 * AE$7) * (IF(AND(AE$5 &gt;= VLOOKUP($P434,Member_Tab,6,FALSE()), AE$5 &lt;= VLOOKUP($P434,Member_Tab,7,FALSE())),1,0))  )</f>
        <v>0</v>
      </c>
      <c r="AF434" s="76" t="n">
        <f aca="false">IF(ISERROR(VLOOKUP($P434,Member_Tab,4,FALSE())),0,(VLOOKUP($P434,Member_Tab,4,FALSE()) * 0.2 * AF$7) * (IF(AND(AF$5 &gt;= VLOOKUP($P434,Member_Tab,6,FALSE()), AF$5 &lt;= VLOOKUP($P434,Member_Tab,7,FALSE())),1,0))  )</f>
        <v>0</v>
      </c>
      <c r="AG434" s="76" t="n">
        <f aca="false">IF(ISERROR(VLOOKUP($P434,Member_Tab,4,FALSE())),0,(VLOOKUP($P434,Member_Tab,4,FALSE()) * 0.2 * AG$7) * (IF(AND(AG$5 &gt;= VLOOKUP($P434,Member_Tab,6,FALSE()), AG$5 &lt;= VLOOKUP($P434,Member_Tab,7,FALSE())),1,0))  )</f>
        <v>0</v>
      </c>
      <c r="AH434" s="76" t="n">
        <f aca="false">IF(ISERROR(VLOOKUP($P434,Member_Tab,4,FALSE())),0,(VLOOKUP($P434,Member_Tab,4,FALSE()) * 0.2 * AH$7) * (IF(AND(AH$5 &gt;= VLOOKUP($P434,Member_Tab,6,FALSE()), AH$5 &lt;= VLOOKUP($P434,Member_Tab,7,FALSE())),1,0))  )</f>
        <v>0</v>
      </c>
      <c r="AI434" s="76" t="n">
        <f aca="false">IF(ISERROR(VLOOKUP($P434,Member_Tab,4,FALSE())),0,(VLOOKUP($P434,Member_Tab,4,FALSE()) * 0.2 * AI$7) * (IF(AND(AI$5 &gt;= VLOOKUP($P434,Member_Tab,6,FALSE()), AI$5 &lt;= VLOOKUP($P434,Member_Tab,7,FALSE())),1,0))  )</f>
        <v>0</v>
      </c>
      <c r="AJ434" s="76" t="n">
        <f aca="false">IF(ISERROR(VLOOKUP($P434,Member_Tab,4,FALSE())),0,(VLOOKUP($P434,Member_Tab,4,FALSE()) * 0.2 * AJ$7) * (IF(AND(AJ$5 &gt;= VLOOKUP($P434,Member_Tab,6,FALSE()), AJ$5 &lt;= VLOOKUP($P434,Member_Tab,7,FALSE())),1,0))  )</f>
        <v>0</v>
      </c>
      <c r="AK434" s="76" t="n">
        <f aca="false">IF(ISERROR(VLOOKUP($P434,Member_Tab,4,FALSE())),0,(VLOOKUP($P434,Member_Tab,4,FALSE()) * 0.2 * AK$7) * (IF(AND(AK$5 &gt;= VLOOKUP($P434,Member_Tab,6,FALSE()), AK$5 &lt;= VLOOKUP($P434,Member_Tab,7,FALSE())),1,0))  )</f>
        <v>0</v>
      </c>
      <c r="AL434" s="76" t="n">
        <f aca="false">IF(ISERROR(VLOOKUP($P434,Member_Tab,4,FALSE())),0,(VLOOKUP($P434,Member_Tab,4,FALSE()) * 0.2 * AL$7) * (IF(AND(AL$5 &gt;= VLOOKUP($P434,Member_Tab,6,FALSE()), AL$5 &lt;= VLOOKUP($P434,Member_Tab,7,FALSE())),1,0))  )</f>
        <v>0</v>
      </c>
      <c r="AM434" s="76" t="n">
        <f aca="false">IF(ISERROR(VLOOKUP($P434,Member_Tab,4,FALSE())),0,(VLOOKUP($P434,Member_Tab,4,FALSE()) * 0.2 * AM$7) * (IF(AND(AM$5 &gt;= VLOOKUP($P434,Member_Tab,6,FALSE()), AM$5 &lt;= VLOOKUP($P434,Member_Tab,7,FALSE())),1,0))  )</f>
        <v>0</v>
      </c>
      <c r="AN434" s="76" t="n">
        <f aca="false">IF(ISERROR(VLOOKUP($P434,Member_Tab,4,FALSE())),0,(VLOOKUP($P434,Member_Tab,4,FALSE()) * 0.2 * AN$7) * (IF(AND(AN$5 &gt;= VLOOKUP($P434,Member_Tab,6,FALSE()), AN$5 &lt;= VLOOKUP($P434,Member_Tab,7,FALSE())),1,0))  )</f>
        <v>0</v>
      </c>
      <c r="AO434" s="76" t="n">
        <f aca="false">IF(ISERROR(VLOOKUP($P434,Member_Tab,4,FALSE())),0,(VLOOKUP($P434,Member_Tab,4,FALSE()) * 0.2 * AO$7) * (IF(AND(AO$5 &gt;= VLOOKUP($P434,Member_Tab,6,FALSE()), AO$5 &lt;= VLOOKUP($P434,Member_Tab,7,FALSE())),1,0))  )</f>
        <v>0</v>
      </c>
      <c r="AP434" s="76" t="n">
        <f aca="false">IF(ISERROR(VLOOKUP($P434,Member_Tab,4,FALSE())),0,(VLOOKUP($P434,Member_Tab,4,FALSE()) * 0.2 * AP$7) * (IF(AND(AP$5 &gt;= VLOOKUP($P434,Member_Tab,6,FALSE()), AP$5 &lt;= VLOOKUP($P434,Member_Tab,7,FALSE())),1,0))  )</f>
        <v>0</v>
      </c>
      <c r="AQ434" s="76" t="n">
        <f aca="false">IF(ISERROR(VLOOKUP($P434,Member_Tab,4,FALSE())),0,(VLOOKUP($P434,Member_Tab,4,FALSE()) * 0.2 * AQ$7) * (IF(AND(AQ$5 &gt;= VLOOKUP($P434,Member_Tab,6,FALSE()), AQ$5 &lt;= VLOOKUP($P434,Member_Tab,7,FALSE())),1,0))  )</f>
        <v>0</v>
      </c>
      <c r="AR434" s="76" t="n">
        <f aca="false">IF(ISERROR(VLOOKUP($P434,Member_Tab,4,FALSE())),0,(VLOOKUP($P434,Member_Tab,4,FALSE()) * 0.2 * AR$7) * (IF(AND(AR$5 &gt;= VLOOKUP($P434,Member_Tab,6,FALSE()), AR$5 &lt;= VLOOKUP($P434,Member_Tab,7,FALSE())),1,0))  )</f>
        <v>0</v>
      </c>
      <c r="AS434" s="76" t="n">
        <f aca="false">IF(ISERROR(VLOOKUP($P434,Member_Tab,4,FALSE())),0,(VLOOKUP($P434,Member_Tab,4,FALSE()) * 0.2 * AS$7) * (IF(AND(AS$5 &gt;= VLOOKUP($P434,Member_Tab,6,FALSE()), AS$5 &lt;= VLOOKUP($P434,Member_Tab,7,FALSE())),1,0))  )</f>
        <v>0</v>
      </c>
      <c r="AT434" s="76" t="n">
        <f aca="false">IF(ISERROR(VLOOKUP($P434,Member_Tab,4,FALSE())),0,(VLOOKUP($P434,Member_Tab,4,FALSE()) * 0.2 * AT$7) * (IF(AND(AT$5 &gt;= VLOOKUP($P434,Member_Tab,6,FALSE()), AT$5 &lt;= VLOOKUP($P434,Member_Tab,7,FALSE())),1,0))  )</f>
        <v>0</v>
      </c>
      <c r="AU434" s="76" t="n">
        <f aca="false">IF(ISERROR(VLOOKUP($P434,Member_Tab,4,FALSE())),0,(VLOOKUP($P434,Member_Tab,4,FALSE()) * 0.2 * AU$7) * (IF(AND(AU$5 &gt;= VLOOKUP($P434,Member_Tab,6,FALSE()), AU$5 &lt;= VLOOKUP($P434,Member_Tab,7,FALSE())),1,0))  )</f>
        <v>0</v>
      </c>
      <c r="AV434" s="76" t="n">
        <f aca="false">IF(ISERROR(VLOOKUP($P434,Member_Tab,4,FALSE())),0,(VLOOKUP($P434,Member_Tab,4,FALSE()) * 0.2 * AV$7) * (IF(AND(AV$5 &gt;= VLOOKUP($P434,Member_Tab,6,FALSE()), AV$5 &lt;= VLOOKUP($P434,Member_Tab,7,FALSE())),1,0))  )</f>
        <v>0</v>
      </c>
      <c r="AW434" s="76" t="n">
        <f aca="false">IF(ISERROR(VLOOKUP($P434,Member_Tab,4,FALSE())),0,(VLOOKUP($P434,Member_Tab,4,FALSE()) * 0.2 * AW$7) * (IF(AND(AW$5 &gt;= VLOOKUP($P434,Member_Tab,6,FALSE()), AW$5 &lt;= VLOOKUP($P434,Member_Tab,7,FALSE())),1,0))  )</f>
        <v>0</v>
      </c>
      <c r="AX434" s="76" t="n">
        <f aca="false">IF(ISERROR(VLOOKUP($P434,Member_Tab,4,FALSE())),0,(VLOOKUP($P434,Member_Tab,4,FALSE()) * 0.2 * AX$7) * (IF(AND(AX$5 &gt;= VLOOKUP($P434,Member_Tab,6,FALSE()), AX$5 &lt;= VLOOKUP($P434,Member_Tab,7,FALSE())),1,0))  )</f>
        <v>0</v>
      </c>
      <c r="AY434" s="76" t="n">
        <f aca="false">IF(ISERROR(VLOOKUP($P434,Member_Tab,4,FALSE())),0,(VLOOKUP($P434,Member_Tab,4,FALSE()) * 0.2 * AY$7) * (IF(AND(AY$5 &gt;= VLOOKUP($P434,Member_Tab,6,FALSE()), AY$5 &lt;= VLOOKUP($P434,Member_Tab,7,FALSE())),1,0))  )</f>
        <v>0</v>
      </c>
      <c r="AZ434" s="76" t="n">
        <f aca="false">IF(ISERROR(VLOOKUP($P434,Member_Tab,4,FALSE())),0,(VLOOKUP($P434,Member_Tab,4,FALSE()) * 0.2 * AZ$7) * (IF(AND(AZ$5 &gt;= VLOOKUP($P434,Member_Tab,6,FALSE()), AZ$5 &lt;= VLOOKUP($P434,Member_Tab,7,FALSE())),1,0))  )</f>
        <v>0</v>
      </c>
      <c r="BA434" s="76" t="n">
        <f aca="false">IF(ISERROR(VLOOKUP($P434,Member_Tab,4,FALSE())),0,(VLOOKUP($P434,Member_Tab,4,FALSE()) * 0.2 * BA$7) * (IF(AND(BA$5 &gt;= VLOOKUP($P434,Member_Tab,6,FALSE()), BA$5 &lt;= VLOOKUP($P434,Member_Tab,7,FALSE())),1,0))  )</f>
        <v>0</v>
      </c>
      <c r="BB434" s="76" t="n">
        <f aca="false">IF(ISERROR(VLOOKUP($P434,Member_Tab,4,FALSE())),0,(VLOOKUP($P434,Member_Tab,4,FALSE()) * 0.2 * BB$7) * (IF(AND(BB$5 &gt;= VLOOKUP($P434,Member_Tab,6,FALSE()), BB$5 &lt;= VLOOKUP($P434,Member_Tab,7,FALSE())),1,0))  )</f>
        <v>0</v>
      </c>
    </row>
    <row r="435" s="173" customFormat="true" ht="15" hidden="true" customHeight="false" outlineLevel="1" collapsed="false">
      <c r="E435" s="40"/>
      <c r="K435" s="40"/>
      <c r="L435" s="40"/>
      <c r="M435" s="40"/>
      <c r="N435" s="40"/>
      <c r="P435" s="177" t="n">
        <f aca="false">P298</f>
        <v>0</v>
      </c>
      <c r="Q435" s="40"/>
      <c r="R435" s="178"/>
      <c r="S435" s="76" t="n">
        <f aca="false">IF(ISERROR(VLOOKUP($P435,Member_Tab,4,FALSE())),0,(VLOOKUP($P435,Member_Tab,4,FALSE()) * 0.2 * S$7) * (IF(AND(S$5 &gt;= VLOOKUP($P435,Member_Tab,6,FALSE()), S$5 &lt;= VLOOKUP($P435,Member_Tab,7,FALSE())),1,0))  )</f>
        <v>0</v>
      </c>
      <c r="T435" s="76" t="n">
        <f aca="false">IF(ISERROR(VLOOKUP($P435,Member_Tab,4,FALSE())),0,(VLOOKUP($P435,Member_Tab,4,FALSE()) * 0.2 * T$7) * (IF(AND(T$5 &gt;= VLOOKUP($P435,Member_Tab,6,FALSE()), T$5 &lt;= VLOOKUP($P435,Member_Tab,7,FALSE())),1,0))  )</f>
        <v>0</v>
      </c>
      <c r="U435" s="76" t="n">
        <f aca="false">IF(ISERROR(VLOOKUP($P435,Member_Tab,4,FALSE())),0,(VLOOKUP($P435,Member_Tab,4,FALSE()) * 0.2 * U$7) * (IF(AND(U$5 &gt;= VLOOKUP($P435,Member_Tab,6,FALSE()), U$5 &lt;= VLOOKUP($P435,Member_Tab,7,FALSE())),1,0))  )</f>
        <v>0</v>
      </c>
      <c r="V435" s="76" t="n">
        <f aca="false">IF(ISERROR(VLOOKUP($P435,Member_Tab,4,FALSE())),0,(VLOOKUP($P435,Member_Tab,4,FALSE()) * 0.2 * V$7) * (IF(AND(V$5 &gt;= VLOOKUP($P435,Member_Tab,6,FALSE()), V$5 &lt;= VLOOKUP($P435,Member_Tab,7,FALSE())),1,0))  )</f>
        <v>0</v>
      </c>
      <c r="W435" s="76" t="n">
        <f aca="false">IF(ISERROR(VLOOKUP($P435,Member_Tab,4,FALSE())),0,(VLOOKUP($P435,Member_Tab,4,FALSE()) * 0.2 * W$7) * (IF(AND(W$5 &gt;= VLOOKUP($P435,Member_Tab,6,FALSE()), W$5 &lt;= VLOOKUP($P435,Member_Tab,7,FALSE())),1,0))  )</f>
        <v>0</v>
      </c>
      <c r="X435" s="76" t="n">
        <f aca="false">IF(ISERROR(VLOOKUP($P435,Member_Tab,4,FALSE())),0,(VLOOKUP($P435,Member_Tab,4,FALSE()) * 0.2 * X$7) * (IF(AND(X$5 &gt;= VLOOKUP($P435,Member_Tab,6,FALSE()), X$5 &lt;= VLOOKUP($P435,Member_Tab,7,FALSE())),1,0))  )</f>
        <v>0</v>
      </c>
      <c r="Y435" s="76" t="n">
        <f aca="false">IF(ISERROR(VLOOKUP($P435,Member_Tab,4,FALSE())),0,(VLOOKUP($P435,Member_Tab,4,FALSE()) * 0.2 * Y$7) * (IF(AND(Y$5 &gt;= VLOOKUP($P435,Member_Tab,6,FALSE()), Y$5 &lt;= VLOOKUP($P435,Member_Tab,7,FALSE())),1,0))  )</f>
        <v>0</v>
      </c>
      <c r="Z435" s="76" t="n">
        <f aca="false">IF(ISERROR(VLOOKUP($P435,Member_Tab,4,FALSE())),0,(VLOOKUP($P435,Member_Tab,4,FALSE()) * 0.2 * Z$7) * (IF(AND(Z$5 &gt;= VLOOKUP($P435,Member_Tab,6,FALSE()), Z$5 &lt;= VLOOKUP($P435,Member_Tab,7,FALSE())),1,0))  )</f>
        <v>0</v>
      </c>
      <c r="AA435" s="76" t="n">
        <f aca="false">IF(ISERROR(VLOOKUP($P435,Member_Tab,4,FALSE())),0,(VLOOKUP($P435,Member_Tab,4,FALSE()) * 0.2 * AA$7) * (IF(AND(AA$5 &gt;= VLOOKUP($P435,Member_Tab,6,FALSE()), AA$5 &lt;= VLOOKUP($P435,Member_Tab,7,FALSE())),1,0))  )</f>
        <v>0</v>
      </c>
      <c r="AB435" s="76" t="n">
        <f aca="false">IF(ISERROR(VLOOKUP($P435,Member_Tab,4,FALSE())),0,(VLOOKUP($P435,Member_Tab,4,FALSE()) * 0.2 * AB$7) * (IF(AND(AB$5 &gt;= VLOOKUP($P435,Member_Tab,6,FALSE()), AB$5 &lt;= VLOOKUP($P435,Member_Tab,7,FALSE())),1,0))  )</f>
        <v>0</v>
      </c>
      <c r="AC435" s="76" t="n">
        <f aca="false">IF(ISERROR(VLOOKUP($P435,Member_Tab,4,FALSE())),0,(VLOOKUP($P435,Member_Tab,4,FALSE()) * 0.2 * AC$7) * (IF(AND(AC$5 &gt;= VLOOKUP($P435,Member_Tab,6,FALSE()), AC$5 &lt;= VLOOKUP($P435,Member_Tab,7,FALSE())),1,0))  )</f>
        <v>0</v>
      </c>
      <c r="AD435" s="76" t="n">
        <f aca="false">IF(ISERROR(VLOOKUP($P435,Member_Tab,4,FALSE())),0,(VLOOKUP($P435,Member_Tab,4,FALSE()) * 0.2 * AD$7) * (IF(AND(AD$5 &gt;= VLOOKUP($P435,Member_Tab,6,FALSE()), AD$5 &lt;= VLOOKUP($P435,Member_Tab,7,FALSE())),1,0))  )</f>
        <v>0</v>
      </c>
      <c r="AE435" s="76" t="n">
        <f aca="false">IF(ISERROR(VLOOKUP($P435,Member_Tab,4,FALSE())),0,(VLOOKUP($P435,Member_Tab,4,FALSE()) * 0.2 * AE$7) * (IF(AND(AE$5 &gt;= VLOOKUP($P435,Member_Tab,6,FALSE()), AE$5 &lt;= VLOOKUP($P435,Member_Tab,7,FALSE())),1,0))  )</f>
        <v>0</v>
      </c>
      <c r="AF435" s="76" t="n">
        <f aca="false">IF(ISERROR(VLOOKUP($P435,Member_Tab,4,FALSE())),0,(VLOOKUP($P435,Member_Tab,4,FALSE()) * 0.2 * AF$7) * (IF(AND(AF$5 &gt;= VLOOKUP($P435,Member_Tab,6,FALSE()), AF$5 &lt;= VLOOKUP($P435,Member_Tab,7,FALSE())),1,0))  )</f>
        <v>0</v>
      </c>
      <c r="AG435" s="76" t="n">
        <f aca="false">IF(ISERROR(VLOOKUP($P435,Member_Tab,4,FALSE())),0,(VLOOKUP($P435,Member_Tab,4,FALSE()) * 0.2 * AG$7) * (IF(AND(AG$5 &gt;= VLOOKUP($P435,Member_Tab,6,FALSE()), AG$5 &lt;= VLOOKUP($P435,Member_Tab,7,FALSE())),1,0))  )</f>
        <v>0</v>
      </c>
      <c r="AH435" s="76" t="n">
        <f aca="false">IF(ISERROR(VLOOKUP($P435,Member_Tab,4,FALSE())),0,(VLOOKUP($P435,Member_Tab,4,FALSE()) * 0.2 * AH$7) * (IF(AND(AH$5 &gt;= VLOOKUP($P435,Member_Tab,6,FALSE()), AH$5 &lt;= VLOOKUP($P435,Member_Tab,7,FALSE())),1,0))  )</f>
        <v>0</v>
      </c>
      <c r="AI435" s="76" t="n">
        <f aca="false">IF(ISERROR(VLOOKUP($P435,Member_Tab,4,FALSE())),0,(VLOOKUP($P435,Member_Tab,4,FALSE()) * 0.2 * AI$7) * (IF(AND(AI$5 &gt;= VLOOKUP($P435,Member_Tab,6,FALSE()), AI$5 &lt;= VLOOKUP($P435,Member_Tab,7,FALSE())),1,0))  )</f>
        <v>0</v>
      </c>
      <c r="AJ435" s="76" t="n">
        <f aca="false">IF(ISERROR(VLOOKUP($P435,Member_Tab,4,FALSE())),0,(VLOOKUP($P435,Member_Tab,4,FALSE()) * 0.2 * AJ$7) * (IF(AND(AJ$5 &gt;= VLOOKUP($P435,Member_Tab,6,FALSE()), AJ$5 &lt;= VLOOKUP($P435,Member_Tab,7,FALSE())),1,0))  )</f>
        <v>0</v>
      </c>
      <c r="AK435" s="76" t="n">
        <f aca="false">IF(ISERROR(VLOOKUP($P435,Member_Tab,4,FALSE())),0,(VLOOKUP($P435,Member_Tab,4,FALSE()) * 0.2 * AK$7) * (IF(AND(AK$5 &gt;= VLOOKUP($P435,Member_Tab,6,FALSE()), AK$5 &lt;= VLOOKUP($P435,Member_Tab,7,FALSE())),1,0))  )</f>
        <v>0</v>
      </c>
      <c r="AL435" s="76" t="n">
        <f aca="false">IF(ISERROR(VLOOKUP($P435,Member_Tab,4,FALSE())),0,(VLOOKUP($P435,Member_Tab,4,FALSE()) * 0.2 * AL$7) * (IF(AND(AL$5 &gt;= VLOOKUP($P435,Member_Tab,6,FALSE()), AL$5 &lt;= VLOOKUP($P435,Member_Tab,7,FALSE())),1,0))  )</f>
        <v>0</v>
      </c>
      <c r="AM435" s="76" t="n">
        <f aca="false">IF(ISERROR(VLOOKUP($P435,Member_Tab,4,FALSE())),0,(VLOOKUP($P435,Member_Tab,4,FALSE()) * 0.2 * AM$7) * (IF(AND(AM$5 &gt;= VLOOKUP($P435,Member_Tab,6,FALSE()), AM$5 &lt;= VLOOKUP($P435,Member_Tab,7,FALSE())),1,0))  )</f>
        <v>0</v>
      </c>
      <c r="AN435" s="76" t="n">
        <f aca="false">IF(ISERROR(VLOOKUP($P435,Member_Tab,4,FALSE())),0,(VLOOKUP($P435,Member_Tab,4,FALSE()) * 0.2 * AN$7) * (IF(AND(AN$5 &gt;= VLOOKUP($P435,Member_Tab,6,FALSE()), AN$5 &lt;= VLOOKUP($P435,Member_Tab,7,FALSE())),1,0))  )</f>
        <v>0</v>
      </c>
      <c r="AO435" s="76" t="n">
        <f aca="false">IF(ISERROR(VLOOKUP($P435,Member_Tab,4,FALSE())),0,(VLOOKUP($P435,Member_Tab,4,FALSE()) * 0.2 * AO$7) * (IF(AND(AO$5 &gt;= VLOOKUP($P435,Member_Tab,6,FALSE()), AO$5 &lt;= VLOOKUP($P435,Member_Tab,7,FALSE())),1,0))  )</f>
        <v>0</v>
      </c>
      <c r="AP435" s="76" t="n">
        <f aca="false">IF(ISERROR(VLOOKUP($P435,Member_Tab,4,FALSE())),0,(VLOOKUP($P435,Member_Tab,4,FALSE()) * 0.2 * AP$7) * (IF(AND(AP$5 &gt;= VLOOKUP($P435,Member_Tab,6,FALSE()), AP$5 &lt;= VLOOKUP($P435,Member_Tab,7,FALSE())),1,0))  )</f>
        <v>0</v>
      </c>
      <c r="AQ435" s="76" t="n">
        <f aca="false">IF(ISERROR(VLOOKUP($P435,Member_Tab,4,FALSE())),0,(VLOOKUP($P435,Member_Tab,4,FALSE()) * 0.2 * AQ$7) * (IF(AND(AQ$5 &gt;= VLOOKUP($P435,Member_Tab,6,FALSE()), AQ$5 &lt;= VLOOKUP($P435,Member_Tab,7,FALSE())),1,0))  )</f>
        <v>0</v>
      </c>
      <c r="AR435" s="76" t="n">
        <f aca="false">IF(ISERROR(VLOOKUP($P435,Member_Tab,4,FALSE())),0,(VLOOKUP($P435,Member_Tab,4,FALSE()) * 0.2 * AR$7) * (IF(AND(AR$5 &gt;= VLOOKUP($P435,Member_Tab,6,FALSE()), AR$5 &lt;= VLOOKUP($P435,Member_Tab,7,FALSE())),1,0))  )</f>
        <v>0</v>
      </c>
      <c r="AS435" s="76" t="n">
        <f aca="false">IF(ISERROR(VLOOKUP($P435,Member_Tab,4,FALSE())),0,(VLOOKUP($P435,Member_Tab,4,FALSE()) * 0.2 * AS$7) * (IF(AND(AS$5 &gt;= VLOOKUP($P435,Member_Tab,6,FALSE()), AS$5 &lt;= VLOOKUP($P435,Member_Tab,7,FALSE())),1,0))  )</f>
        <v>0</v>
      </c>
      <c r="AT435" s="76" t="n">
        <f aca="false">IF(ISERROR(VLOOKUP($P435,Member_Tab,4,FALSE())),0,(VLOOKUP($P435,Member_Tab,4,FALSE()) * 0.2 * AT$7) * (IF(AND(AT$5 &gt;= VLOOKUP($P435,Member_Tab,6,FALSE()), AT$5 &lt;= VLOOKUP($P435,Member_Tab,7,FALSE())),1,0))  )</f>
        <v>0</v>
      </c>
      <c r="AU435" s="76" t="n">
        <f aca="false">IF(ISERROR(VLOOKUP($P435,Member_Tab,4,FALSE())),0,(VLOOKUP($P435,Member_Tab,4,FALSE()) * 0.2 * AU$7) * (IF(AND(AU$5 &gt;= VLOOKUP($P435,Member_Tab,6,FALSE()), AU$5 &lt;= VLOOKUP($P435,Member_Tab,7,FALSE())),1,0))  )</f>
        <v>0</v>
      </c>
      <c r="AV435" s="76" t="n">
        <f aca="false">IF(ISERROR(VLOOKUP($P435,Member_Tab,4,FALSE())),0,(VLOOKUP($P435,Member_Tab,4,FALSE()) * 0.2 * AV$7) * (IF(AND(AV$5 &gt;= VLOOKUP($P435,Member_Tab,6,FALSE()), AV$5 &lt;= VLOOKUP($P435,Member_Tab,7,FALSE())),1,0))  )</f>
        <v>0</v>
      </c>
      <c r="AW435" s="76" t="n">
        <f aca="false">IF(ISERROR(VLOOKUP($P435,Member_Tab,4,FALSE())),0,(VLOOKUP($P435,Member_Tab,4,FALSE()) * 0.2 * AW$7) * (IF(AND(AW$5 &gt;= VLOOKUP($P435,Member_Tab,6,FALSE()), AW$5 &lt;= VLOOKUP($P435,Member_Tab,7,FALSE())),1,0))  )</f>
        <v>0</v>
      </c>
      <c r="AX435" s="76" t="n">
        <f aca="false">IF(ISERROR(VLOOKUP($P435,Member_Tab,4,FALSE())),0,(VLOOKUP($P435,Member_Tab,4,FALSE()) * 0.2 * AX$7) * (IF(AND(AX$5 &gt;= VLOOKUP($P435,Member_Tab,6,FALSE()), AX$5 &lt;= VLOOKUP($P435,Member_Tab,7,FALSE())),1,0))  )</f>
        <v>0</v>
      </c>
      <c r="AY435" s="76" t="n">
        <f aca="false">IF(ISERROR(VLOOKUP($P435,Member_Tab,4,FALSE())),0,(VLOOKUP($P435,Member_Tab,4,FALSE()) * 0.2 * AY$7) * (IF(AND(AY$5 &gt;= VLOOKUP($P435,Member_Tab,6,FALSE()), AY$5 &lt;= VLOOKUP($P435,Member_Tab,7,FALSE())),1,0))  )</f>
        <v>0</v>
      </c>
      <c r="AZ435" s="76" t="n">
        <f aca="false">IF(ISERROR(VLOOKUP($P435,Member_Tab,4,FALSE())),0,(VLOOKUP($P435,Member_Tab,4,FALSE()) * 0.2 * AZ$7) * (IF(AND(AZ$5 &gt;= VLOOKUP($P435,Member_Tab,6,FALSE()), AZ$5 &lt;= VLOOKUP($P435,Member_Tab,7,FALSE())),1,0))  )</f>
        <v>0</v>
      </c>
      <c r="BA435" s="76" t="n">
        <f aca="false">IF(ISERROR(VLOOKUP($P435,Member_Tab,4,FALSE())),0,(VLOOKUP($P435,Member_Tab,4,FALSE()) * 0.2 * BA$7) * (IF(AND(BA$5 &gt;= VLOOKUP($P435,Member_Tab,6,FALSE()), BA$5 &lt;= VLOOKUP($P435,Member_Tab,7,FALSE())),1,0))  )</f>
        <v>0</v>
      </c>
      <c r="BB435" s="76" t="n">
        <f aca="false">IF(ISERROR(VLOOKUP($P435,Member_Tab,4,FALSE())),0,(VLOOKUP($P435,Member_Tab,4,FALSE()) * 0.2 * BB$7) * (IF(AND(BB$5 &gt;= VLOOKUP($P435,Member_Tab,6,FALSE()), BB$5 &lt;= VLOOKUP($P435,Member_Tab,7,FALSE())),1,0))  )</f>
        <v>0</v>
      </c>
    </row>
    <row r="436" s="173" customFormat="true" ht="15" hidden="true" customHeight="false" outlineLevel="1" collapsed="false">
      <c r="E436" s="40"/>
      <c r="K436" s="40"/>
      <c r="L436" s="40"/>
      <c r="M436" s="40"/>
      <c r="N436" s="40"/>
      <c r="P436" s="177" t="n">
        <f aca="false">P299</f>
        <v>0</v>
      </c>
      <c r="Q436" s="40"/>
      <c r="R436" s="178"/>
      <c r="S436" s="76" t="n">
        <f aca="false">IF(ISERROR(VLOOKUP($P436,Member_Tab,4,FALSE())),0,(VLOOKUP($P436,Member_Tab,4,FALSE()) * 0.2 * S$7) * (IF(AND(S$5 &gt;= VLOOKUP($P436,Member_Tab,6,FALSE()), S$5 &lt;= VLOOKUP($P436,Member_Tab,7,FALSE())),1,0))  )</f>
        <v>0</v>
      </c>
      <c r="T436" s="76" t="n">
        <f aca="false">IF(ISERROR(VLOOKUP($P436,Member_Tab,4,FALSE())),0,(VLOOKUP($P436,Member_Tab,4,FALSE()) * 0.2 * T$7) * (IF(AND(T$5 &gt;= VLOOKUP($P436,Member_Tab,6,FALSE()), T$5 &lt;= VLOOKUP($P436,Member_Tab,7,FALSE())),1,0))  )</f>
        <v>0</v>
      </c>
      <c r="U436" s="76" t="n">
        <f aca="false">IF(ISERROR(VLOOKUP($P436,Member_Tab,4,FALSE())),0,(VLOOKUP($P436,Member_Tab,4,FALSE()) * 0.2 * U$7) * (IF(AND(U$5 &gt;= VLOOKUP($P436,Member_Tab,6,FALSE()), U$5 &lt;= VLOOKUP($P436,Member_Tab,7,FALSE())),1,0))  )</f>
        <v>0</v>
      </c>
      <c r="V436" s="76" t="n">
        <f aca="false">IF(ISERROR(VLOOKUP($P436,Member_Tab,4,FALSE())),0,(VLOOKUP($P436,Member_Tab,4,FALSE()) * 0.2 * V$7) * (IF(AND(V$5 &gt;= VLOOKUP($P436,Member_Tab,6,FALSE()), V$5 &lt;= VLOOKUP($P436,Member_Tab,7,FALSE())),1,0))  )</f>
        <v>0</v>
      </c>
      <c r="W436" s="76" t="n">
        <f aca="false">IF(ISERROR(VLOOKUP($P436,Member_Tab,4,FALSE())),0,(VLOOKUP($P436,Member_Tab,4,FALSE()) * 0.2 * W$7) * (IF(AND(W$5 &gt;= VLOOKUP($P436,Member_Tab,6,FALSE()), W$5 &lt;= VLOOKUP($P436,Member_Tab,7,FALSE())),1,0))  )</f>
        <v>0</v>
      </c>
      <c r="X436" s="76" t="n">
        <f aca="false">IF(ISERROR(VLOOKUP($P436,Member_Tab,4,FALSE())),0,(VLOOKUP($P436,Member_Tab,4,FALSE()) * 0.2 * X$7) * (IF(AND(X$5 &gt;= VLOOKUP($P436,Member_Tab,6,FALSE()), X$5 &lt;= VLOOKUP($P436,Member_Tab,7,FALSE())),1,0))  )</f>
        <v>0</v>
      </c>
      <c r="Y436" s="76" t="n">
        <f aca="false">IF(ISERROR(VLOOKUP($P436,Member_Tab,4,FALSE())),0,(VLOOKUP($P436,Member_Tab,4,FALSE()) * 0.2 * Y$7) * (IF(AND(Y$5 &gt;= VLOOKUP($P436,Member_Tab,6,FALSE()), Y$5 &lt;= VLOOKUP($P436,Member_Tab,7,FALSE())),1,0))  )</f>
        <v>0</v>
      </c>
      <c r="Z436" s="76" t="n">
        <f aca="false">IF(ISERROR(VLOOKUP($P436,Member_Tab,4,FALSE())),0,(VLOOKUP($P436,Member_Tab,4,FALSE()) * 0.2 * Z$7) * (IF(AND(Z$5 &gt;= VLOOKUP($P436,Member_Tab,6,FALSE()), Z$5 &lt;= VLOOKUP($P436,Member_Tab,7,FALSE())),1,0))  )</f>
        <v>0</v>
      </c>
      <c r="AA436" s="76" t="n">
        <f aca="false">IF(ISERROR(VLOOKUP($P436,Member_Tab,4,FALSE())),0,(VLOOKUP($P436,Member_Tab,4,FALSE()) * 0.2 * AA$7) * (IF(AND(AA$5 &gt;= VLOOKUP($P436,Member_Tab,6,FALSE()), AA$5 &lt;= VLOOKUP($P436,Member_Tab,7,FALSE())),1,0))  )</f>
        <v>0</v>
      </c>
      <c r="AB436" s="76" t="n">
        <f aca="false">IF(ISERROR(VLOOKUP($P436,Member_Tab,4,FALSE())),0,(VLOOKUP($P436,Member_Tab,4,FALSE()) * 0.2 * AB$7) * (IF(AND(AB$5 &gt;= VLOOKUP($P436,Member_Tab,6,FALSE()), AB$5 &lt;= VLOOKUP($P436,Member_Tab,7,FALSE())),1,0))  )</f>
        <v>0</v>
      </c>
      <c r="AC436" s="76" t="n">
        <f aca="false">IF(ISERROR(VLOOKUP($P436,Member_Tab,4,FALSE())),0,(VLOOKUP($P436,Member_Tab,4,FALSE()) * 0.2 * AC$7) * (IF(AND(AC$5 &gt;= VLOOKUP($P436,Member_Tab,6,FALSE()), AC$5 &lt;= VLOOKUP($P436,Member_Tab,7,FALSE())),1,0))  )</f>
        <v>0</v>
      </c>
      <c r="AD436" s="76" t="n">
        <f aca="false">IF(ISERROR(VLOOKUP($P436,Member_Tab,4,FALSE())),0,(VLOOKUP($P436,Member_Tab,4,FALSE()) * 0.2 * AD$7) * (IF(AND(AD$5 &gt;= VLOOKUP($P436,Member_Tab,6,FALSE()), AD$5 &lt;= VLOOKUP($P436,Member_Tab,7,FALSE())),1,0))  )</f>
        <v>0</v>
      </c>
      <c r="AE436" s="76" t="n">
        <f aca="false">IF(ISERROR(VLOOKUP($P436,Member_Tab,4,FALSE())),0,(VLOOKUP($P436,Member_Tab,4,FALSE()) * 0.2 * AE$7) * (IF(AND(AE$5 &gt;= VLOOKUP($P436,Member_Tab,6,FALSE()), AE$5 &lt;= VLOOKUP($P436,Member_Tab,7,FALSE())),1,0))  )</f>
        <v>0</v>
      </c>
      <c r="AF436" s="76" t="n">
        <f aca="false">IF(ISERROR(VLOOKUP($P436,Member_Tab,4,FALSE())),0,(VLOOKUP($P436,Member_Tab,4,FALSE()) * 0.2 * AF$7) * (IF(AND(AF$5 &gt;= VLOOKUP($P436,Member_Tab,6,FALSE()), AF$5 &lt;= VLOOKUP($P436,Member_Tab,7,FALSE())),1,0))  )</f>
        <v>0</v>
      </c>
      <c r="AG436" s="76" t="n">
        <f aca="false">IF(ISERROR(VLOOKUP($P436,Member_Tab,4,FALSE())),0,(VLOOKUP($P436,Member_Tab,4,FALSE()) * 0.2 * AG$7) * (IF(AND(AG$5 &gt;= VLOOKUP($P436,Member_Tab,6,FALSE()), AG$5 &lt;= VLOOKUP($P436,Member_Tab,7,FALSE())),1,0))  )</f>
        <v>0</v>
      </c>
      <c r="AH436" s="76" t="n">
        <f aca="false">IF(ISERROR(VLOOKUP($P436,Member_Tab,4,FALSE())),0,(VLOOKUP($P436,Member_Tab,4,FALSE()) * 0.2 * AH$7) * (IF(AND(AH$5 &gt;= VLOOKUP($P436,Member_Tab,6,FALSE()), AH$5 &lt;= VLOOKUP($P436,Member_Tab,7,FALSE())),1,0))  )</f>
        <v>0</v>
      </c>
      <c r="AI436" s="76" t="n">
        <f aca="false">IF(ISERROR(VLOOKUP($P436,Member_Tab,4,FALSE())),0,(VLOOKUP($P436,Member_Tab,4,FALSE()) * 0.2 * AI$7) * (IF(AND(AI$5 &gt;= VLOOKUP($P436,Member_Tab,6,FALSE()), AI$5 &lt;= VLOOKUP($P436,Member_Tab,7,FALSE())),1,0))  )</f>
        <v>0</v>
      </c>
      <c r="AJ436" s="76" t="n">
        <f aca="false">IF(ISERROR(VLOOKUP($P436,Member_Tab,4,FALSE())),0,(VLOOKUP($P436,Member_Tab,4,FALSE()) * 0.2 * AJ$7) * (IF(AND(AJ$5 &gt;= VLOOKUP($P436,Member_Tab,6,FALSE()), AJ$5 &lt;= VLOOKUP($P436,Member_Tab,7,FALSE())),1,0))  )</f>
        <v>0</v>
      </c>
      <c r="AK436" s="76" t="n">
        <f aca="false">IF(ISERROR(VLOOKUP($P436,Member_Tab,4,FALSE())),0,(VLOOKUP($P436,Member_Tab,4,FALSE()) * 0.2 * AK$7) * (IF(AND(AK$5 &gt;= VLOOKUP($P436,Member_Tab,6,FALSE()), AK$5 &lt;= VLOOKUP($P436,Member_Tab,7,FALSE())),1,0))  )</f>
        <v>0</v>
      </c>
      <c r="AL436" s="76" t="n">
        <f aca="false">IF(ISERROR(VLOOKUP($P436,Member_Tab,4,FALSE())),0,(VLOOKUP($P436,Member_Tab,4,FALSE()) * 0.2 * AL$7) * (IF(AND(AL$5 &gt;= VLOOKUP($P436,Member_Tab,6,FALSE()), AL$5 &lt;= VLOOKUP($P436,Member_Tab,7,FALSE())),1,0))  )</f>
        <v>0</v>
      </c>
      <c r="AM436" s="76" t="n">
        <f aca="false">IF(ISERROR(VLOOKUP($P436,Member_Tab,4,FALSE())),0,(VLOOKUP($P436,Member_Tab,4,FALSE()) * 0.2 * AM$7) * (IF(AND(AM$5 &gt;= VLOOKUP($P436,Member_Tab,6,FALSE()), AM$5 &lt;= VLOOKUP($P436,Member_Tab,7,FALSE())),1,0))  )</f>
        <v>0</v>
      </c>
      <c r="AN436" s="76" t="n">
        <f aca="false">IF(ISERROR(VLOOKUP($P436,Member_Tab,4,FALSE())),0,(VLOOKUP($P436,Member_Tab,4,FALSE()) * 0.2 * AN$7) * (IF(AND(AN$5 &gt;= VLOOKUP($P436,Member_Tab,6,FALSE()), AN$5 &lt;= VLOOKUP($P436,Member_Tab,7,FALSE())),1,0))  )</f>
        <v>0</v>
      </c>
      <c r="AO436" s="76" t="n">
        <f aca="false">IF(ISERROR(VLOOKUP($P436,Member_Tab,4,FALSE())),0,(VLOOKUP($P436,Member_Tab,4,FALSE()) * 0.2 * AO$7) * (IF(AND(AO$5 &gt;= VLOOKUP($P436,Member_Tab,6,FALSE()), AO$5 &lt;= VLOOKUP($P436,Member_Tab,7,FALSE())),1,0))  )</f>
        <v>0</v>
      </c>
      <c r="AP436" s="76" t="n">
        <f aca="false">IF(ISERROR(VLOOKUP($P436,Member_Tab,4,FALSE())),0,(VLOOKUP($P436,Member_Tab,4,FALSE()) * 0.2 * AP$7) * (IF(AND(AP$5 &gt;= VLOOKUP($P436,Member_Tab,6,FALSE()), AP$5 &lt;= VLOOKUP($P436,Member_Tab,7,FALSE())),1,0))  )</f>
        <v>0</v>
      </c>
      <c r="AQ436" s="76" t="n">
        <f aca="false">IF(ISERROR(VLOOKUP($P436,Member_Tab,4,FALSE())),0,(VLOOKUP($P436,Member_Tab,4,FALSE()) * 0.2 * AQ$7) * (IF(AND(AQ$5 &gt;= VLOOKUP($P436,Member_Tab,6,FALSE()), AQ$5 &lt;= VLOOKUP($P436,Member_Tab,7,FALSE())),1,0))  )</f>
        <v>0</v>
      </c>
      <c r="AR436" s="76" t="n">
        <f aca="false">IF(ISERROR(VLOOKUP($P436,Member_Tab,4,FALSE())),0,(VLOOKUP($P436,Member_Tab,4,FALSE()) * 0.2 * AR$7) * (IF(AND(AR$5 &gt;= VLOOKUP($P436,Member_Tab,6,FALSE()), AR$5 &lt;= VLOOKUP($P436,Member_Tab,7,FALSE())),1,0))  )</f>
        <v>0</v>
      </c>
      <c r="AS436" s="76" t="n">
        <f aca="false">IF(ISERROR(VLOOKUP($P436,Member_Tab,4,FALSE())),0,(VLOOKUP($P436,Member_Tab,4,FALSE()) * 0.2 * AS$7) * (IF(AND(AS$5 &gt;= VLOOKUP($P436,Member_Tab,6,FALSE()), AS$5 &lt;= VLOOKUP($P436,Member_Tab,7,FALSE())),1,0))  )</f>
        <v>0</v>
      </c>
      <c r="AT436" s="76" t="n">
        <f aca="false">IF(ISERROR(VLOOKUP($P436,Member_Tab,4,FALSE())),0,(VLOOKUP($P436,Member_Tab,4,FALSE()) * 0.2 * AT$7) * (IF(AND(AT$5 &gt;= VLOOKUP($P436,Member_Tab,6,FALSE()), AT$5 &lt;= VLOOKUP($P436,Member_Tab,7,FALSE())),1,0))  )</f>
        <v>0</v>
      </c>
      <c r="AU436" s="76" t="n">
        <f aca="false">IF(ISERROR(VLOOKUP($P436,Member_Tab,4,FALSE())),0,(VLOOKUP($P436,Member_Tab,4,FALSE()) * 0.2 * AU$7) * (IF(AND(AU$5 &gt;= VLOOKUP($P436,Member_Tab,6,FALSE()), AU$5 &lt;= VLOOKUP($P436,Member_Tab,7,FALSE())),1,0))  )</f>
        <v>0</v>
      </c>
      <c r="AV436" s="76" t="n">
        <f aca="false">IF(ISERROR(VLOOKUP($P436,Member_Tab,4,FALSE())),0,(VLOOKUP($P436,Member_Tab,4,FALSE()) * 0.2 * AV$7) * (IF(AND(AV$5 &gt;= VLOOKUP($P436,Member_Tab,6,FALSE()), AV$5 &lt;= VLOOKUP($P436,Member_Tab,7,FALSE())),1,0))  )</f>
        <v>0</v>
      </c>
      <c r="AW436" s="76" t="n">
        <f aca="false">IF(ISERROR(VLOOKUP($P436,Member_Tab,4,FALSE())),0,(VLOOKUP($P436,Member_Tab,4,FALSE()) * 0.2 * AW$7) * (IF(AND(AW$5 &gt;= VLOOKUP($P436,Member_Tab,6,FALSE()), AW$5 &lt;= VLOOKUP($P436,Member_Tab,7,FALSE())),1,0))  )</f>
        <v>0</v>
      </c>
      <c r="AX436" s="76" t="n">
        <f aca="false">IF(ISERROR(VLOOKUP($P436,Member_Tab,4,FALSE())),0,(VLOOKUP($P436,Member_Tab,4,FALSE()) * 0.2 * AX$7) * (IF(AND(AX$5 &gt;= VLOOKUP($P436,Member_Tab,6,FALSE()), AX$5 &lt;= VLOOKUP($P436,Member_Tab,7,FALSE())),1,0))  )</f>
        <v>0</v>
      </c>
      <c r="AY436" s="76" t="n">
        <f aca="false">IF(ISERROR(VLOOKUP($P436,Member_Tab,4,FALSE())),0,(VLOOKUP($P436,Member_Tab,4,FALSE()) * 0.2 * AY$7) * (IF(AND(AY$5 &gt;= VLOOKUP($P436,Member_Tab,6,FALSE()), AY$5 &lt;= VLOOKUP($P436,Member_Tab,7,FALSE())),1,0))  )</f>
        <v>0</v>
      </c>
      <c r="AZ436" s="76" t="n">
        <f aca="false">IF(ISERROR(VLOOKUP($P436,Member_Tab,4,FALSE())),0,(VLOOKUP($P436,Member_Tab,4,FALSE()) * 0.2 * AZ$7) * (IF(AND(AZ$5 &gt;= VLOOKUP($P436,Member_Tab,6,FALSE()), AZ$5 &lt;= VLOOKUP($P436,Member_Tab,7,FALSE())),1,0))  )</f>
        <v>0</v>
      </c>
      <c r="BA436" s="76" t="n">
        <f aca="false">IF(ISERROR(VLOOKUP($P436,Member_Tab,4,FALSE())),0,(VLOOKUP($P436,Member_Tab,4,FALSE()) * 0.2 * BA$7) * (IF(AND(BA$5 &gt;= VLOOKUP($P436,Member_Tab,6,FALSE()), BA$5 &lt;= VLOOKUP($P436,Member_Tab,7,FALSE())),1,0))  )</f>
        <v>0</v>
      </c>
      <c r="BB436" s="76" t="n">
        <f aca="false">IF(ISERROR(VLOOKUP($P436,Member_Tab,4,FALSE())),0,(VLOOKUP($P436,Member_Tab,4,FALSE()) * 0.2 * BB$7) * (IF(AND(BB$5 &gt;= VLOOKUP($P436,Member_Tab,6,FALSE()), BB$5 &lt;= VLOOKUP($P436,Member_Tab,7,FALSE())),1,0))  )</f>
        <v>0</v>
      </c>
    </row>
    <row r="437" s="173" customFormat="true" ht="15" hidden="true" customHeight="false" outlineLevel="1" collapsed="false">
      <c r="E437" s="40"/>
      <c r="K437" s="40"/>
      <c r="L437" s="40"/>
      <c r="M437" s="40"/>
      <c r="N437" s="40"/>
      <c r="P437" s="177" t="n">
        <f aca="false">P300</f>
        <v>0</v>
      </c>
      <c r="Q437" s="40"/>
      <c r="R437" s="178"/>
      <c r="S437" s="76" t="n">
        <f aca="false">IF(ISERROR(VLOOKUP($P437,Member_Tab,4,FALSE())),0,(VLOOKUP($P437,Member_Tab,4,FALSE()) * 0.2 * S$7) * (IF(AND(S$5 &gt;= VLOOKUP($P437,Member_Tab,6,FALSE()), S$5 &lt;= VLOOKUP($P437,Member_Tab,7,FALSE())),1,0))  )</f>
        <v>0</v>
      </c>
      <c r="T437" s="76" t="n">
        <f aca="false">IF(ISERROR(VLOOKUP($P437,Member_Tab,4,FALSE())),0,(VLOOKUP($P437,Member_Tab,4,FALSE()) * 0.2 * T$7) * (IF(AND(T$5 &gt;= VLOOKUP($P437,Member_Tab,6,FALSE()), T$5 &lt;= VLOOKUP($P437,Member_Tab,7,FALSE())),1,0))  )</f>
        <v>0</v>
      </c>
      <c r="U437" s="76" t="n">
        <f aca="false">IF(ISERROR(VLOOKUP($P437,Member_Tab,4,FALSE())),0,(VLOOKUP($P437,Member_Tab,4,FALSE()) * 0.2 * U$7) * (IF(AND(U$5 &gt;= VLOOKUP($P437,Member_Tab,6,FALSE()), U$5 &lt;= VLOOKUP($P437,Member_Tab,7,FALSE())),1,0))  )</f>
        <v>0</v>
      </c>
      <c r="V437" s="76" t="n">
        <f aca="false">IF(ISERROR(VLOOKUP($P437,Member_Tab,4,FALSE())),0,(VLOOKUP($P437,Member_Tab,4,FALSE()) * 0.2 * V$7) * (IF(AND(V$5 &gt;= VLOOKUP($P437,Member_Tab,6,FALSE()), V$5 &lt;= VLOOKUP($P437,Member_Tab,7,FALSE())),1,0))  )</f>
        <v>0</v>
      </c>
      <c r="W437" s="76" t="n">
        <f aca="false">IF(ISERROR(VLOOKUP($P437,Member_Tab,4,FALSE())),0,(VLOOKUP($P437,Member_Tab,4,FALSE()) * 0.2 * W$7) * (IF(AND(W$5 &gt;= VLOOKUP($P437,Member_Tab,6,FALSE()), W$5 &lt;= VLOOKUP($P437,Member_Tab,7,FALSE())),1,0))  )</f>
        <v>0</v>
      </c>
      <c r="X437" s="76" t="n">
        <f aca="false">IF(ISERROR(VLOOKUP($P437,Member_Tab,4,FALSE())),0,(VLOOKUP($P437,Member_Tab,4,FALSE()) * 0.2 * X$7) * (IF(AND(X$5 &gt;= VLOOKUP($P437,Member_Tab,6,FALSE()), X$5 &lt;= VLOOKUP($P437,Member_Tab,7,FALSE())),1,0))  )</f>
        <v>0</v>
      </c>
      <c r="Y437" s="76" t="n">
        <f aca="false">IF(ISERROR(VLOOKUP($P437,Member_Tab,4,FALSE())),0,(VLOOKUP($P437,Member_Tab,4,FALSE()) * 0.2 * Y$7) * (IF(AND(Y$5 &gt;= VLOOKUP($P437,Member_Tab,6,FALSE()), Y$5 &lt;= VLOOKUP($P437,Member_Tab,7,FALSE())),1,0))  )</f>
        <v>0</v>
      </c>
      <c r="Z437" s="76" t="n">
        <f aca="false">IF(ISERROR(VLOOKUP($P437,Member_Tab,4,FALSE())),0,(VLOOKUP($P437,Member_Tab,4,FALSE()) * 0.2 * Z$7) * (IF(AND(Z$5 &gt;= VLOOKUP($P437,Member_Tab,6,FALSE()), Z$5 &lt;= VLOOKUP($P437,Member_Tab,7,FALSE())),1,0))  )</f>
        <v>0</v>
      </c>
      <c r="AA437" s="76" t="n">
        <f aca="false">IF(ISERROR(VLOOKUP($P437,Member_Tab,4,FALSE())),0,(VLOOKUP($P437,Member_Tab,4,FALSE()) * 0.2 * AA$7) * (IF(AND(AA$5 &gt;= VLOOKUP($P437,Member_Tab,6,FALSE()), AA$5 &lt;= VLOOKUP($P437,Member_Tab,7,FALSE())),1,0))  )</f>
        <v>0</v>
      </c>
      <c r="AB437" s="76" t="n">
        <f aca="false">IF(ISERROR(VLOOKUP($P437,Member_Tab,4,FALSE())),0,(VLOOKUP($P437,Member_Tab,4,FALSE()) * 0.2 * AB$7) * (IF(AND(AB$5 &gt;= VLOOKUP($P437,Member_Tab,6,FALSE()), AB$5 &lt;= VLOOKUP($P437,Member_Tab,7,FALSE())),1,0))  )</f>
        <v>0</v>
      </c>
      <c r="AC437" s="76" t="n">
        <f aca="false">IF(ISERROR(VLOOKUP($P437,Member_Tab,4,FALSE())),0,(VLOOKUP($P437,Member_Tab,4,FALSE()) * 0.2 * AC$7) * (IF(AND(AC$5 &gt;= VLOOKUP($P437,Member_Tab,6,FALSE()), AC$5 &lt;= VLOOKUP($P437,Member_Tab,7,FALSE())),1,0))  )</f>
        <v>0</v>
      </c>
      <c r="AD437" s="76" t="n">
        <f aca="false">IF(ISERROR(VLOOKUP($P437,Member_Tab,4,FALSE())),0,(VLOOKUP($P437,Member_Tab,4,FALSE()) * 0.2 * AD$7) * (IF(AND(AD$5 &gt;= VLOOKUP($P437,Member_Tab,6,FALSE()), AD$5 &lt;= VLOOKUP($P437,Member_Tab,7,FALSE())),1,0))  )</f>
        <v>0</v>
      </c>
      <c r="AE437" s="76" t="n">
        <f aca="false">IF(ISERROR(VLOOKUP($P437,Member_Tab,4,FALSE())),0,(VLOOKUP($P437,Member_Tab,4,FALSE()) * 0.2 * AE$7) * (IF(AND(AE$5 &gt;= VLOOKUP($P437,Member_Tab,6,FALSE()), AE$5 &lt;= VLOOKUP($P437,Member_Tab,7,FALSE())),1,0))  )</f>
        <v>0</v>
      </c>
      <c r="AF437" s="76" t="n">
        <f aca="false">IF(ISERROR(VLOOKUP($P437,Member_Tab,4,FALSE())),0,(VLOOKUP($P437,Member_Tab,4,FALSE()) * 0.2 * AF$7) * (IF(AND(AF$5 &gt;= VLOOKUP($P437,Member_Tab,6,FALSE()), AF$5 &lt;= VLOOKUP($P437,Member_Tab,7,FALSE())),1,0))  )</f>
        <v>0</v>
      </c>
      <c r="AG437" s="76" t="n">
        <f aca="false">IF(ISERROR(VLOOKUP($P437,Member_Tab,4,FALSE())),0,(VLOOKUP($P437,Member_Tab,4,FALSE()) * 0.2 * AG$7) * (IF(AND(AG$5 &gt;= VLOOKUP($P437,Member_Tab,6,FALSE()), AG$5 &lt;= VLOOKUP($P437,Member_Tab,7,FALSE())),1,0))  )</f>
        <v>0</v>
      </c>
      <c r="AH437" s="76" t="n">
        <f aca="false">IF(ISERROR(VLOOKUP($P437,Member_Tab,4,FALSE())),0,(VLOOKUP($P437,Member_Tab,4,FALSE()) * 0.2 * AH$7) * (IF(AND(AH$5 &gt;= VLOOKUP($P437,Member_Tab,6,FALSE()), AH$5 &lt;= VLOOKUP($P437,Member_Tab,7,FALSE())),1,0))  )</f>
        <v>0</v>
      </c>
      <c r="AI437" s="76" t="n">
        <f aca="false">IF(ISERROR(VLOOKUP($P437,Member_Tab,4,FALSE())),0,(VLOOKUP($P437,Member_Tab,4,FALSE()) * 0.2 * AI$7) * (IF(AND(AI$5 &gt;= VLOOKUP($P437,Member_Tab,6,FALSE()), AI$5 &lt;= VLOOKUP($P437,Member_Tab,7,FALSE())),1,0))  )</f>
        <v>0</v>
      </c>
      <c r="AJ437" s="76" t="n">
        <f aca="false">IF(ISERROR(VLOOKUP($P437,Member_Tab,4,FALSE())),0,(VLOOKUP($P437,Member_Tab,4,FALSE()) * 0.2 * AJ$7) * (IF(AND(AJ$5 &gt;= VLOOKUP($P437,Member_Tab,6,FALSE()), AJ$5 &lt;= VLOOKUP($P437,Member_Tab,7,FALSE())),1,0))  )</f>
        <v>0</v>
      </c>
      <c r="AK437" s="76" t="n">
        <f aca="false">IF(ISERROR(VLOOKUP($P437,Member_Tab,4,FALSE())),0,(VLOOKUP($P437,Member_Tab,4,FALSE()) * 0.2 * AK$7) * (IF(AND(AK$5 &gt;= VLOOKUP($P437,Member_Tab,6,FALSE()), AK$5 &lt;= VLOOKUP($P437,Member_Tab,7,FALSE())),1,0))  )</f>
        <v>0</v>
      </c>
      <c r="AL437" s="76" t="n">
        <f aca="false">IF(ISERROR(VLOOKUP($P437,Member_Tab,4,FALSE())),0,(VLOOKUP($P437,Member_Tab,4,FALSE()) * 0.2 * AL$7) * (IF(AND(AL$5 &gt;= VLOOKUP($P437,Member_Tab,6,FALSE()), AL$5 &lt;= VLOOKUP($P437,Member_Tab,7,FALSE())),1,0))  )</f>
        <v>0</v>
      </c>
      <c r="AM437" s="76" t="n">
        <f aca="false">IF(ISERROR(VLOOKUP($P437,Member_Tab,4,FALSE())),0,(VLOOKUP($P437,Member_Tab,4,FALSE()) * 0.2 * AM$7) * (IF(AND(AM$5 &gt;= VLOOKUP($P437,Member_Tab,6,FALSE()), AM$5 &lt;= VLOOKUP($P437,Member_Tab,7,FALSE())),1,0))  )</f>
        <v>0</v>
      </c>
      <c r="AN437" s="76" t="n">
        <f aca="false">IF(ISERROR(VLOOKUP($P437,Member_Tab,4,FALSE())),0,(VLOOKUP($P437,Member_Tab,4,FALSE()) * 0.2 * AN$7) * (IF(AND(AN$5 &gt;= VLOOKUP($P437,Member_Tab,6,FALSE()), AN$5 &lt;= VLOOKUP($P437,Member_Tab,7,FALSE())),1,0))  )</f>
        <v>0</v>
      </c>
      <c r="AO437" s="76" t="n">
        <f aca="false">IF(ISERROR(VLOOKUP($P437,Member_Tab,4,FALSE())),0,(VLOOKUP($P437,Member_Tab,4,FALSE()) * 0.2 * AO$7) * (IF(AND(AO$5 &gt;= VLOOKUP($P437,Member_Tab,6,FALSE()), AO$5 &lt;= VLOOKUP($P437,Member_Tab,7,FALSE())),1,0))  )</f>
        <v>0</v>
      </c>
      <c r="AP437" s="76" t="n">
        <f aca="false">IF(ISERROR(VLOOKUP($P437,Member_Tab,4,FALSE())),0,(VLOOKUP($P437,Member_Tab,4,FALSE()) * 0.2 * AP$7) * (IF(AND(AP$5 &gt;= VLOOKUP($P437,Member_Tab,6,FALSE()), AP$5 &lt;= VLOOKUP($P437,Member_Tab,7,FALSE())),1,0))  )</f>
        <v>0</v>
      </c>
      <c r="AQ437" s="76" t="n">
        <f aca="false">IF(ISERROR(VLOOKUP($P437,Member_Tab,4,FALSE())),0,(VLOOKUP($P437,Member_Tab,4,FALSE()) * 0.2 * AQ$7) * (IF(AND(AQ$5 &gt;= VLOOKUP($P437,Member_Tab,6,FALSE()), AQ$5 &lt;= VLOOKUP($P437,Member_Tab,7,FALSE())),1,0))  )</f>
        <v>0</v>
      </c>
      <c r="AR437" s="76" t="n">
        <f aca="false">IF(ISERROR(VLOOKUP($P437,Member_Tab,4,FALSE())),0,(VLOOKUP($P437,Member_Tab,4,FALSE()) * 0.2 * AR$7) * (IF(AND(AR$5 &gt;= VLOOKUP($P437,Member_Tab,6,FALSE()), AR$5 &lt;= VLOOKUP($P437,Member_Tab,7,FALSE())),1,0))  )</f>
        <v>0</v>
      </c>
      <c r="AS437" s="76" t="n">
        <f aca="false">IF(ISERROR(VLOOKUP($P437,Member_Tab,4,FALSE())),0,(VLOOKUP($P437,Member_Tab,4,FALSE()) * 0.2 * AS$7) * (IF(AND(AS$5 &gt;= VLOOKUP($P437,Member_Tab,6,FALSE()), AS$5 &lt;= VLOOKUP($P437,Member_Tab,7,FALSE())),1,0))  )</f>
        <v>0</v>
      </c>
      <c r="AT437" s="76" t="n">
        <f aca="false">IF(ISERROR(VLOOKUP($P437,Member_Tab,4,FALSE())),0,(VLOOKUP($P437,Member_Tab,4,FALSE()) * 0.2 * AT$7) * (IF(AND(AT$5 &gt;= VLOOKUP($P437,Member_Tab,6,FALSE()), AT$5 &lt;= VLOOKUP($P437,Member_Tab,7,FALSE())),1,0))  )</f>
        <v>0</v>
      </c>
      <c r="AU437" s="76" t="n">
        <f aca="false">IF(ISERROR(VLOOKUP($P437,Member_Tab,4,FALSE())),0,(VLOOKUP($P437,Member_Tab,4,FALSE()) * 0.2 * AU$7) * (IF(AND(AU$5 &gt;= VLOOKUP($P437,Member_Tab,6,FALSE()), AU$5 &lt;= VLOOKUP($P437,Member_Tab,7,FALSE())),1,0))  )</f>
        <v>0</v>
      </c>
      <c r="AV437" s="76" t="n">
        <f aca="false">IF(ISERROR(VLOOKUP($P437,Member_Tab,4,FALSE())),0,(VLOOKUP($P437,Member_Tab,4,FALSE()) * 0.2 * AV$7) * (IF(AND(AV$5 &gt;= VLOOKUP($P437,Member_Tab,6,FALSE()), AV$5 &lt;= VLOOKUP($P437,Member_Tab,7,FALSE())),1,0))  )</f>
        <v>0</v>
      </c>
      <c r="AW437" s="76" t="n">
        <f aca="false">IF(ISERROR(VLOOKUP($P437,Member_Tab,4,FALSE())),0,(VLOOKUP($P437,Member_Tab,4,FALSE()) * 0.2 * AW$7) * (IF(AND(AW$5 &gt;= VLOOKUP($P437,Member_Tab,6,FALSE()), AW$5 &lt;= VLOOKUP($P437,Member_Tab,7,FALSE())),1,0))  )</f>
        <v>0</v>
      </c>
      <c r="AX437" s="76" t="n">
        <f aca="false">IF(ISERROR(VLOOKUP($P437,Member_Tab,4,FALSE())),0,(VLOOKUP($P437,Member_Tab,4,FALSE()) * 0.2 * AX$7) * (IF(AND(AX$5 &gt;= VLOOKUP($P437,Member_Tab,6,FALSE()), AX$5 &lt;= VLOOKUP($P437,Member_Tab,7,FALSE())),1,0))  )</f>
        <v>0</v>
      </c>
      <c r="AY437" s="76" t="n">
        <f aca="false">IF(ISERROR(VLOOKUP($P437,Member_Tab,4,FALSE())),0,(VLOOKUP($P437,Member_Tab,4,FALSE()) * 0.2 * AY$7) * (IF(AND(AY$5 &gt;= VLOOKUP($P437,Member_Tab,6,FALSE()), AY$5 &lt;= VLOOKUP($P437,Member_Tab,7,FALSE())),1,0))  )</f>
        <v>0</v>
      </c>
      <c r="AZ437" s="76" t="n">
        <f aca="false">IF(ISERROR(VLOOKUP($P437,Member_Tab,4,FALSE())),0,(VLOOKUP($P437,Member_Tab,4,FALSE()) * 0.2 * AZ$7) * (IF(AND(AZ$5 &gt;= VLOOKUP($P437,Member_Tab,6,FALSE()), AZ$5 &lt;= VLOOKUP($P437,Member_Tab,7,FALSE())),1,0))  )</f>
        <v>0</v>
      </c>
      <c r="BA437" s="76" t="n">
        <f aca="false">IF(ISERROR(VLOOKUP($P437,Member_Tab,4,FALSE())),0,(VLOOKUP($P437,Member_Tab,4,FALSE()) * 0.2 * BA$7) * (IF(AND(BA$5 &gt;= VLOOKUP($P437,Member_Tab,6,FALSE()), BA$5 &lt;= VLOOKUP($P437,Member_Tab,7,FALSE())),1,0))  )</f>
        <v>0</v>
      </c>
      <c r="BB437" s="76" t="n">
        <f aca="false">IF(ISERROR(VLOOKUP($P437,Member_Tab,4,FALSE())),0,(VLOOKUP($P437,Member_Tab,4,FALSE()) * 0.2 * BB$7) * (IF(AND(BB$5 &gt;= VLOOKUP($P437,Member_Tab,6,FALSE()), BB$5 &lt;= VLOOKUP($P437,Member_Tab,7,FALSE())),1,0))  )</f>
        <v>0</v>
      </c>
    </row>
    <row r="438" s="173" customFormat="true" ht="15" hidden="true" customHeight="false" outlineLevel="1" collapsed="false">
      <c r="E438" s="40"/>
      <c r="K438" s="40"/>
      <c r="L438" s="40"/>
      <c r="M438" s="40"/>
      <c r="N438" s="40"/>
      <c r="P438" s="177" t="n">
        <f aca="false">P301</f>
        <v>0</v>
      </c>
      <c r="Q438" s="40"/>
      <c r="R438" s="178"/>
      <c r="S438" s="76" t="n">
        <f aca="false">IF(ISERROR(VLOOKUP($P438,Member_Tab,4,FALSE())),0,(VLOOKUP($P438,Member_Tab,4,FALSE()) * 0.2 * S$7) * (IF(AND(S$5 &gt;= VLOOKUP($P438,Member_Tab,6,FALSE()), S$5 &lt;= VLOOKUP($P438,Member_Tab,7,FALSE())),1,0))  )</f>
        <v>0</v>
      </c>
      <c r="T438" s="76" t="n">
        <f aca="false">IF(ISERROR(VLOOKUP($P438,Member_Tab,4,FALSE())),0,(VLOOKUP($P438,Member_Tab,4,FALSE()) * 0.2 * T$7) * (IF(AND(T$5 &gt;= VLOOKUP($P438,Member_Tab,6,FALSE()), T$5 &lt;= VLOOKUP($P438,Member_Tab,7,FALSE())),1,0))  )</f>
        <v>0</v>
      </c>
      <c r="U438" s="76" t="n">
        <f aca="false">IF(ISERROR(VLOOKUP($P438,Member_Tab,4,FALSE())),0,(VLOOKUP($P438,Member_Tab,4,FALSE()) * 0.2 * U$7) * (IF(AND(U$5 &gt;= VLOOKUP($P438,Member_Tab,6,FALSE()), U$5 &lt;= VLOOKUP($P438,Member_Tab,7,FALSE())),1,0))  )</f>
        <v>0</v>
      </c>
      <c r="V438" s="76" t="n">
        <f aca="false">IF(ISERROR(VLOOKUP($P438,Member_Tab,4,FALSE())),0,(VLOOKUP($P438,Member_Tab,4,FALSE()) * 0.2 * V$7) * (IF(AND(V$5 &gt;= VLOOKUP($P438,Member_Tab,6,FALSE()), V$5 &lt;= VLOOKUP($P438,Member_Tab,7,FALSE())),1,0))  )</f>
        <v>0</v>
      </c>
      <c r="W438" s="76" t="n">
        <f aca="false">IF(ISERROR(VLOOKUP($P438,Member_Tab,4,FALSE())),0,(VLOOKUP($P438,Member_Tab,4,FALSE()) * 0.2 * W$7) * (IF(AND(W$5 &gt;= VLOOKUP($P438,Member_Tab,6,FALSE()), W$5 &lt;= VLOOKUP($P438,Member_Tab,7,FALSE())),1,0))  )</f>
        <v>0</v>
      </c>
      <c r="X438" s="76" t="n">
        <f aca="false">IF(ISERROR(VLOOKUP($P438,Member_Tab,4,FALSE())),0,(VLOOKUP($P438,Member_Tab,4,FALSE()) * 0.2 * X$7) * (IF(AND(X$5 &gt;= VLOOKUP($P438,Member_Tab,6,FALSE()), X$5 &lt;= VLOOKUP($P438,Member_Tab,7,FALSE())),1,0))  )</f>
        <v>0</v>
      </c>
      <c r="Y438" s="76" t="n">
        <f aca="false">IF(ISERROR(VLOOKUP($P438,Member_Tab,4,FALSE())),0,(VLOOKUP($P438,Member_Tab,4,FALSE()) * 0.2 * Y$7) * (IF(AND(Y$5 &gt;= VLOOKUP($P438,Member_Tab,6,FALSE()), Y$5 &lt;= VLOOKUP($P438,Member_Tab,7,FALSE())),1,0))  )</f>
        <v>0</v>
      </c>
      <c r="Z438" s="76" t="n">
        <f aca="false">IF(ISERROR(VLOOKUP($P438,Member_Tab,4,FALSE())),0,(VLOOKUP($P438,Member_Tab,4,FALSE()) * 0.2 * Z$7) * (IF(AND(Z$5 &gt;= VLOOKUP($P438,Member_Tab,6,FALSE()), Z$5 &lt;= VLOOKUP($P438,Member_Tab,7,FALSE())),1,0))  )</f>
        <v>0</v>
      </c>
      <c r="AA438" s="76" t="n">
        <f aca="false">IF(ISERROR(VLOOKUP($P438,Member_Tab,4,FALSE())),0,(VLOOKUP($P438,Member_Tab,4,FALSE()) * 0.2 * AA$7) * (IF(AND(AA$5 &gt;= VLOOKUP($P438,Member_Tab,6,FALSE()), AA$5 &lt;= VLOOKUP($P438,Member_Tab,7,FALSE())),1,0))  )</f>
        <v>0</v>
      </c>
      <c r="AB438" s="76" t="n">
        <f aca="false">IF(ISERROR(VLOOKUP($P438,Member_Tab,4,FALSE())),0,(VLOOKUP($P438,Member_Tab,4,FALSE()) * 0.2 * AB$7) * (IF(AND(AB$5 &gt;= VLOOKUP($P438,Member_Tab,6,FALSE()), AB$5 &lt;= VLOOKUP($P438,Member_Tab,7,FALSE())),1,0))  )</f>
        <v>0</v>
      </c>
      <c r="AC438" s="76" t="n">
        <f aca="false">IF(ISERROR(VLOOKUP($P438,Member_Tab,4,FALSE())),0,(VLOOKUP($P438,Member_Tab,4,FALSE()) * 0.2 * AC$7) * (IF(AND(AC$5 &gt;= VLOOKUP($P438,Member_Tab,6,FALSE()), AC$5 &lt;= VLOOKUP($P438,Member_Tab,7,FALSE())),1,0))  )</f>
        <v>0</v>
      </c>
      <c r="AD438" s="76" t="n">
        <f aca="false">IF(ISERROR(VLOOKUP($P438,Member_Tab,4,FALSE())),0,(VLOOKUP($P438,Member_Tab,4,FALSE()) * 0.2 * AD$7) * (IF(AND(AD$5 &gt;= VLOOKUP($P438,Member_Tab,6,FALSE()), AD$5 &lt;= VLOOKUP($P438,Member_Tab,7,FALSE())),1,0))  )</f>
        <v>0</v>
      </c>
      <c r="AE438" s="76" t="n">
        <f aca="false">IF(ISERROR(VLOOKUP($P438,Member_Tab,4,FALSE())),0,(VLOOKUP($P438,Member_Tab,4,FALSE()) * 0.2 * AE$7) * (IF(AND(AE$5 &gt;= VLOOKUP($P438,Member_Tab,6,FALSE()), AE$5 &lt;= VLOOKUP($P438,Member_Tab,7,FALSE())),1,0))  )</f>
        <v>0</v>
      </c>
      <c r="AF438" s="76" t="n">
        <f aca="false">IF(ISERROR(VLOOKUP($P438,Member_Tab,4,FALSE())),0,(VLOOKUP($P438,Member_Tab,4,FALSE()) * 0.2 * AF$7) * (IF(AND(AF$5 &gt;= VLOOKUP($P438,Member_Tab,6,FALSE()), AF$5 &lt;= VLOOKUP($P438,Member_Tab,7,FALSE())),1,0))  )</f>
        <v>0</v>
      </c>
      <c r="AG438" s="76" t="n">
        <f aca="false">IF(ISERROR(VLOOKUP($P438,Member_Tab,4,FALSE())),0,(VLOOKUP($P438,Member_Tab,4,FALSE()) * 0.2 * AG$7) * (IF(AND(AG$5 &gt;= VLOOKUP($P438,Member_Tab,6,FALSE()), AG$5 &lt;= VLOOKUP($P438,Member_Tab,7,FALSE())),1,0))  )</f>
        <v>0</v>
      </c>
      <c r="AH438" s="76" t="n">
        <f aca="false">IF(ISERROR(VLOOKUP($P438,Member_Tab,4,FALSE())),0,(VLOOKUP($P438,Member_Tab,4,FALSE()) * 0.2 * AH$7) * (IF(AND(AH$5 &gt;= VLOOKUP($P438,Member_Tab,6,FALSE()), AH$5 &lt;= VLOOKUP($P438,Member_Tab,7,FALSE())),1,0))  )</f>
        <v>0</v>
      </c>
      <c r="AI438" s="76" t="n">
        <f aca="false">IF(ISERROR(VLOOKUP($P438,Member_Tab,4,FALSE())),0,(VLOOKUP($P438,Member_Tab,4,FALSE()) * 0.2 * AI$7) * (IF(AND(AI$5 &gt;= VLOOKUP($P438,Member_Tab,6,FALSE()), AI$5 &lt;= VLOOKUP($P438,Member_Tab,7,FALSE())),1,0))  )</f>
        <v>0</v>
      </c>
      <c r="AJ438" s="76" t="n">
        <f aca="false">IF(ISERROR(VLOOKUP($P438,Member_Tab,4,FALSE())),0,(VLOOKUP($P438,Member_Tab,4,FALSE()) * 0.2 * AJ$7) * (IF(AND(AJ$5 &gt;= VLOOKUP($P438,Member_Tab,6,FALSE()), AJ$5 &lt;= VLOOKUP($P438,Member_Tab,7,FALSE())),1,0))  )</f>
        <v>0</v>
      </c>
      <c r="AK438" s="76" t="n">
        <f aca="false">IF(ISERROR(VLOOKUP($P438,Member_Tab,4,FALSE())),0,(VLOOKUP($P438,Member_Tab,4,FALSE()) * 0.2 * AK$7) * (IF(AND(AK$5 &gt;= VLOOKUP($P438,Member_Tab,6,FALSE()), AK$5 &lt;= VLOOKUP($P438,Member_Tab,7,FALSE())),1,0))  )</f>
        <v>0</v>
      </c>
      <c r="AL438" s="76" t="n">
        <f aca="false">IF(ISERROR(VLOOKUP($P438,Member_Tab,4,FALSE())),0,(VLOOKUP($P438,Member_Tab,4,FALSE()) * 0.2 * AL$7) * (IF(AND(AL$5 &gt;= VLOOKUP($P438,Member_Tab,6,FALSE()), AL$5 &lt;= VLOOKUP($P438,Member_Tab,7,FALSE())),1,0))  )</f>
        <v>0</v>
      </c>
      <c r="AM438" s="76" t="n">
        <f aca="false">IF(ISERROR(VLOOKUP($P438,Member_Tab,4,FALSE())),0,(VLOOKUP($P438,Member_Tab,4,FALSE()) * 0.2 * AM$7) * (IF(AND(AM$5 &gt;= VLOOKUP($P438,Member_Tab,6,FALSE()), AM$5 &lt;= VLOOKUP($P438,Member_Tab,7,FALSE())),1,0))  )</f>
        <v>0</v>
      </c>
      <c r="AN438" s="76" t="n">
        <f aca="false">IF(ISERROR(VLOOKUP($P438,Member_Tab,4,FALSE())),0,(VLOOKUP($P438,Member_Tab,4,FALSE()) * 0.2 * AN$7) * (IF(AND(AN$5 &gt;= VLOOKUP($P438,Member_Tab,6,FALSE()), AN$5 &lt;= VLOOKUP($P438,Member_Tab,7,FALSE())),1,0))  )</f>
        <v>0</v>
      </c>
      <c r="AO438" s="76" t="n">
        <f aca="false">IF(ISERROR(VLOOKUP($P438,Member_Tab,4,FALSE())),0,(VLOOKUP($P438,Member_Tab,4,FALSE()) * 0.2 * AO$7) * (IF(AND(AO$5 &gt;= VLOOKUP($P438,Member_Tab,6,FALSE()), AO$5 &lt;= VLOOKUP($P438,Member_Tab,7,FALSE())),1,0))  )</f>
        <v>0</v>
      </c>
      <c r="AP438" s="76" t="n">
        <f aca="false">IF(ISERROR(VLOOKUP($P438,Member_Tab,4,FALSE())),0,(VLOOKUP($P438,Member_Tab,4,FALSE()) * 0.2 * AP$7) * (IF(AND(AP$5 &gt;= VLOOKUP($P438,Member_Tab,6,FALSE()), AP$5 &lt;= VLOOKUP($P438,Member_Tab,7,FALSE())),1,0))  )</f>
        <v>0</v>
      </c>
      <c r="AQ438" s="76" t="n">
        <f aca="false">IF(ISERROR(VLOOKUP($P438,Member_Tab,4,FALSE())),0,(VLOOKUP($P438,Member_Tab,4,FALSE()) * 0.2 * AQ$7) * (IF(AND(AQ$5 &gt;= VLOOKUP($P438,Member_Tab,6,FALSE()), AQ$5 &lt;= VLOOKUP($P438,Member_Tab,7,FALSE())),1,0))  )</f>
        <v>0</v>
      </c>
      <c r="AR438" s="76" t="n">
        <f aca="false">IF(ISERROR(VLOOKUP($P438,Member_Tab,4,FALSE())),0,(VLOOKUP($P438,Member_Tab,4,FALSE()) * 0.2 * AR$7) * (IF(AND(AR$5 &gt;= VLOOKUP($P438,Member_Tab,6,FALSE()), AR$5 &lt;= VLOOKUP($P438,Member_Tab,7,FALSE())),1,0))  )</f>
        <v>0</v>
      </c>
      <c r="AS438" s="76" t="n">
        <f aca="false">IF(ISERROR(VLOOKUP($P438,Member_Tab,4,FALSE())),0,(VLOOKUP($P438,Member_Tab,4,FALSE()) * 0.2 * AS$7) * (IF(AND(AS$5 &gt;= VLOOKUP($P438,Member_Tab,6,FALSE()), AS$5 &lt;= VLOOKUP($P438,Member_Tab,7,FALSE())),1,0))  )</f>
        <v>0</v>
      </c>
      <c r="AT438" s="76" t="n">
        <f aca="false">IF(ISERROR(VLOOKUP($P438,Member_Tab,4,FALSE())),0,(VLOOKUP($P438,Member_Tab,4,FALSE()) * 0.2 * AT$7) * (IF(AND(AT$5 &gt;= VLOOKUP($P438,Member_Tab,6,FALSE()), AT$5 &lt;= VLOOKUP($P438,Member_Tab,7,FALSE())),1,0))  )</f>
        <v>0</v>
      </c>
      <c r="AU438" s="76" t="n">
        <f aca="false">IF(ISERROR(VLOOKUP($P438,Member_Tab,4,FALSE())),0,(VLOOKUP($P438,Member_Tab,4,FALSE()) * 0.2 * AU$7) * (IF(AND(AU$5 &gt;= VLOOKUP($P438,Member_Tab,6,FALSE()), AU$5 &lt;= VLOOKUP($P438,Member_Tab,7,FALSE())),1,0))  )</f>
        <v>0</v>
      </c>
      <c r="AV438" s="76" t="n">
        <f aca="false">IF(ISERROR(VLOOKUP($P438,Member_Tab,4,FALSE())),0,(VLOOKUP($P438,Member_Tab,4,FALSE()) * 0.2 * AV$7) * (IF(AND(AV$5 &gt;= VLOOKUP($P438,Member_Tab,6,FALSE()), AV$5 &lt;= VLOOKUP($P438,Member_Tab,7,FALSE())),1,0))  )</f>
        <v>0</v>
      </c>
      <c r="AW438" s="76" t="n">
        <f aca="false">IF(ISERROR(VLOOKUP($P438,Member_Tab,4,FALSE())),0,(VLOOKUP($P438,Member_Tab,4,FALSE()) * 0.2 * AW$7) * (IF(AND(AW$5 &gt;= VLOOKUP($P438,Member_Tab,6,FALSE()), AW$5 &lt;= VLOOKUP($P438,Member_Tab,7,FALSE())),1,0))  )</f>
        <v>0</v>
      </c>
      <c r="AX438" s="76" t="n">
        <f aca="false">IF(ISERROR(VLOOKUP($P438,Member_Tab,4,FALSE())),0,(VLOOKUP($P438,Member_Tab,4,FALSE()) * 0.2 * AX$7) * (IF(AND(AX$5 &gt;= VLOOKUP($P438,Member_Tab,6,FALSE()), AX$5 &lt;= VLOOKUP($P438,Member_Tab,7,FALSE())),1,0))  )</f>
        <v>0</v>
      </c>
      <c r="AY438" s="76" t="n">
        <f aca="false">IF(ISERROR(VLOOKUP($P438,Member_Tab,4,FALSE())),0,(VLOOKUP($P438,Member_Tab,4,FALSE()) * 0.2 * AY$7) * (IF(AND(AY$5 &gt;= VLOOKUP($P438,Member_Tab,6,FALSE()), AY$5 &lt;= VLOOKUP($P438,Member_Tab,7,FALSE())),1,0))  )</f>
        <v>0</v>
      </c>
      <c r="AZ438" s="76" t="n">
        <f aca="false">IF(ISERROR(VLOOKUP($P438,Member_Tab,4,FALSE())),0,(VLOOKUP($P438,Member_Tab,4,FALSE()) * 0.2 * AZ$7) * (IF(AND(AZ$5 &gt;= VLOOKUP($P438,Member_Tab,6,FALSE()), AZ$5 &lt;= VLOOKUP($P438,Member_Tab,7,FALSE())),1,0))  )</f>
        <v>0</v>
      </c>
      <c r="BA438" s="76" t="n">
        <f aca="false">IF(ISERROR(VLOOKUP($P438,Member_Tab,4,FALSE())),0,(VLOOKUP($P438,Member_Tab,4,FALSE()) * 0.2 * BA$7) * (IF(AND(BA$5 &gt;= VLOOKUP($P438,Member_Tab,6,FALSE()), BA$5 &lt;= VLOOKUP($P438,Member_Tab,7,FALSE())),1,0))  )</f>
        <v>0</v>
      </c>
      <c r="BB438" s="76" t="n">
        <f aca="false">IF(ISERROR(VLOOKUP($P438,Member_Tab,4,FALSE())),0,(VLOOKUP($P438,Member_Tab,4,FALSE()) * 0.2 * BB$7) * (IF(AND(BB$5 &gt;= VLOOKUP($P438,Member_Tab,6,FALSE()), BB$5 &lt;= VLOOKUP($P438,Member_Tab,7,FALSE())),1,0))  )</f>
        <v>0</v>
      </c>
    </row>
    <row r="439" s="173" customFormat="true" ht="15" hidden="true" customHeight="false" outlineLevel="1" collapsed="false">
      <c r="E439" s="40"/>
      <c r="K439" s="40"/>
      <c r="L439" s="40"/>
      <c r="M439" s="40"/>
      <c r="N439" s="40"/>
      <c r="P439" s="177" t="n">
        <f aca="false">P302</f>
        <v>0</v>
      </c>
      <c r="Q439" s="40"/>
      <c r="R439" s="178"/>
      <c r="S439" s="76" t="n">
        <f aca="false">IF(ISERROR(VLOOKUP($P439,Member_Tab,4,FALSE())),0,(VLOOKUP($P439,Member_Tab,4,FALSE()) * 0.2 * S$7) * (IF(AND(S$5 &gt;= VLOOKUP($P439,Member_Tab,6,FALSE()), S$5 &lt;= VLOOKUP($P439,Member_Tab,7,FALSE())),1,0))  )</f>
        <v>0</v>
      </c>
      <c r="T439" s="76" t="n">
        <f aca="false">IF(ISERROR(VLOOKUP($P439,Member_Tab,4,FALSE())),0,(VLOOKUP($P439,Member_Tab,4,FALSE()) * 0.2 * T$7) * (IF(AND(T$5 &gt;= VLOOKUP($P439,Member_Tab,6,FALSE()), T$5 &lt;= VLOOKUP($P439,Member_Tab,7,FALSE())),1,0))  )</f>
        <v>0</v>
      </c>
      <c r="U439" s="76" t="n">
        <f aca="false">IF(ISERROR(VLOOKUP($P439,Member_Tab,4,FALSE())),0,(VLOOKUP($P439,Member_Tab,4,FALSE()) * 0.2 * U$7) * (IF(AND(U$5 &gt;= VLOOKUP($P439,Member_Tab,6,FALSE()), U$5 &lt;= VLOOKUP($P439,Member_Tab,7,FALSE())),1,0))  )</f>
        <v>0</v>
      </c>
      <c r="V439" s="76" t="n">
        <f aca="false">IF(ISERROR(VLOOKUP($P439,Member_Tab,4,FALSE())),0,(VLOOKUP($P439,Member_Tab,4,FALSE()) * 0.2 * V$7) * (IF(AND(V$5 &gt;= VLOOKUP($P439,Member_Tab,6,FALSE()), V$5 &lt;= VLOOKUP($P439,Member_Tab,7,FALSE())),1,0))  )</f>
        <v>0</v>
      </c>
      <c r="W439" s="76" t="n">
        <f aca="false">IF(ISERROR(VLOOKUP($P439,Member_Tab,4,FALSE())),0,(VLOOKUP($P439,Member_Tab,4,FALSE()) * 0.2 * W$7) * (IF(AND(W$5 &gt;= VLOOKUP($P439,Member_Tab,6,FALSE()), W$5 &lt;= VLOOKUP($P439,Member_Tab,7,FALSE())),1,0))  )</f>
        <v>0</v>
      </c>
      <c r="X439" s="76" t="n">
        <f aca="false">IF(ISERROR(VLOOKUP($P439,Member_Tab,4,FALSE())),0,(VLOOKUP($P439,Member_Tab,4,FALSE()) * 0.2 * X$7) * (IF(AND(X$5 &gt;= VLOOKUP($P439,Member_Tab,6,FALSE()), X$5 &lt;= VLOOKUP($P439,Member_Tab,7,FALSE())),1,0))  )</f>
        <v>0</v>
      </c>
      <c r="Y439" s="76" t="n">
        <f aca="false">IF(ISERROR(VLOOKUP($P439,Member_Tab,4,FALSE())),0,(VLOOKUP($P439,Member_Tab,4,FALSE()) * 0.2 * Y$7) * (IF(AND(Y$5 &gt;= VLOOKUP($P439,Member_Tab,6,FALSE()), Y$5 &lt;= VLOOKUP($P439,Member_Tab,7,FALSE())),1,0))  )</f>
        <v>0</v>
      </c>
      <c r="Z439" s="76" t="n">
        <f aca="false">IF(ISERROR(VLOOKUP($P439,Member_Tab,4,FALSE())),0,(VLOOKUP($P439,Member_Tab,4,FALSE()) * 0.2 * Z$7) * (IF(AND(Z$5 &gt;= VLOOKUP($P439,Member_Tab,6,FALSE()), Z$5 &lt;= VLOOKUP($P439,Member_Tab,7,FALSE())),1,0))  )</f>
        <v>0</v>
      </c>
      <c r="AA439" s="76" t="n">
        <f aca="false">IF(ISERROR(VLOOKUP($P439,Member_Tab,4,FALSE())),0,(VLOOKUP($P439,Member_Tab,4,FALSE()) * 0.2 * AA$7) * (IF(AND(AA$5 &gt;= VLOOKUP($P439,Member_Tab,6,FALSE()), AA$5 &lt;= VLOOKUP($P439,Member_Tab,7,FALSE())),1,0))  )</f>
        <v>0</v>
      </c>
      <c r="AB439" s="76" t="n">
        <f aca="false">IF(ISERROR(VLOOKUP($P439,Member_Tab,4,FALSE())),0,(VLOOKUP($P439,Member_Tab,4,FALSE()) * 0.2 * AB$7) * (IF(AND(AB$5 &gt;= VLOOKUP($P439,Member_Tab,6,FALSE()), AB$5 &lt;= VLOOKUP($P439,Member_Tab,7,FALSE())),1,0))  )</f>
        <v>0</v>
      </c>
      <c r="AC439" s="76" t="n">
        <f aca="false">IF(ISERROR(VLOOKUP($P439,Member_Tab,4,FALSE())),0,(VLOOKUP($P439,Member_Tab,4,FALSE()) * 0.2 * AC$7) * (IF(AND(AC$5 &gt;= VLOOKUP($P439,Member_Tab,6,FALSE()), AC$5 &lt;= VLOOKUP($P439,Member_Tab,7,FALSE())),1,0))  )</f>
        <v>0</v>
      </c>
      <c r="AD439" s="76" t="n">
        <f aca="false">IF(ISERROR(VLOOKUP($P439,Member_Tab,4,FALSE())),0,(VLOOKUP($P439,Member_Tab,4,FALSE()) * 0.2 * AD$7) * (IF(AND(AD$5 &gt;= VLOOKUP($P439,Member_Tab,6,FALSE()), AD$5 &lt;= VLOOKUP($P439,Member_Tab,7,FALSE())),1,0))  )</f>
        <v>0</v>
      </c>
      <c r="AE439" s="76" t="n">
        <f aca="false">IF(ISERROR(VLOOKUP($P439,Member_Tab,4,FALSE())),0,(VLOOKUP($P439,Member_Tab,4,FALSE()) * 0.2 * AE$7) * (IF(AND(AE$5 &gt;= VLOOKUP($P439,Member_Tab,6,FALSE()), AE$5 &lt;= VLOOKUP($P439,Member_Tab,7,FALSE())),1,0))  )</f>
        <v>0</v>
      </c>
      <c r="AF439" s="76" t="n">
        <f aca="false">IF(ISERROR(VLOOKUP($P439,Member_Tab,4,FALSE())),0,(VLOOKUP($P439,Member_Tab,4,FALSE()) * 0.2 * AF$7) * (IF(AND(AF$5 &gt;= VLOOKUP($P439,Member_Tab,6,FALSE()), AF$5 &lt;= VLOOKUP($P439,Member_Tab,7,FALSE())),1,0))  )</f>
        <v>0</v>
      </c>
      <c r="AG439" s="76" t="n">
        <f aca="false">IF(ISERROR(VLOOKUP($P439,Member_Tab,4,FALSE())),0,(VLOOKUP($P439,Member_Tab,4,FALSE()) * 0.2 * AG$7) * (IF(AND(AG$5 &gt;= VLOOKUP($P439,Member_Tab,6,FALSE()), AG$5 &lt;= VLOOKUP($P439,Member_Tab,7,FALSE())),1,0))  )</f>
        <v>0</v>
      </c>
      <c r="AH439" s="76" t="n">
        <f aca="false">IF(ISERROR(VLOOKUP($P439,Member_Tab,4,FALSE())),0,(VLOOKUP($P439,Member_Tab,4,FALSE()) * 0.2 * AH$7) * (IF(AND(AH$5 &gt;= VLOOKUP($P439,Member_Tab,6,FALSE()), AH$5 &lt;= VLOOKUP($P439,Member_Tab,7,FALSE())),1,0))  )</f>
        <v>0</v>
      </c>
      <c r="AI439" s="76" t="n">
        <f aca="false">IF(ISERROR(VLOOKUP($P439,Member_Tab,4,FALSE())),0,(VLOOKUP($P439,Member_Tab,4,FALSE()) * 0.2 * AI$7) * (IF(AND(AI$5 &gt;= VLOOKUP($P439,Member_Tab,6,FALSE()), AI$5 &lt;= VLOOKUP($P439,Member_Tab,7,FALSE())),1,0))  )</f>
        <v>0</v>
      </c>
      <c r="AJ439" s="76" t="n">
        <f aca="false">IF(ISERROR(VLOOKUP($P439,Member_Tab,4,FALSE())),0,(VLOOKUP($P439,Member_Tab,4,FALSE()) * 0.2 * AJ$7) * (IF(AND(AJ$5 &gt;= VLOOKUP($P439,Member_Tab,6,FALSE()), AJ$5 &lt;= VLOOKUP($P439,Member_Tab,7,FALSE())),1,0))  )</f>
        <v>0</v>
      </c>
      <c r="AK439" s="76" t="n">
        <f aca="false">IF(ISERROR(VLOOKUP($P439,Member_Tab,4,FALSE())),0,(VLOOKUP($P439,Member_Tab,4,FALSE()) * 0.2 * AK$7) * (IF(AND(AK$5 &gt;= VLOOKUP($P439,Member_Tab,6,FALSE()), AK$5 &lt;= VLOOKUP($P439,Member_Tab,7,FALSE())),1,0))  )</f>
        <v>0</v>
      </c>
      <c r="AL439" s="76" t="n">
        <f aca="false">IF(ISERROR(VLOOKUP($P439,Member_Tab,4,FALSE())),0,(VLOOKUP($P439,Member_Tab,4,FALSE()) * 0.2 * AL$7) * (IF(AND(AL$5 &gt;= VLOOKUP($P439,Member_Tab,6,FALSE()), AL$5 &lt;= VLOOKUP($P439,Member_Tab,7,FALSE())),1,0))  )</f>
        <v>0</v>
      </c>
      <c r="AM439" s="76" t="n">
        <f aca="false">IF(ISERROR(VLOOKUP($P439,Member_Tab,4,FALSE())),0,(VLOOKUP($P439,Member_Tab,4,FALSE()) * 0.2 * AM$7) * (IF(AND(AM$5 &gt;= VLOOKUP($P439,Member_Tab,6,FALSE()), AM$5 &lt;= VLOOKUP($P439,Member_Tab,7,FALSE())),1,0))  )</f>
        <v>0</v>
      </c>
      <c r="AN439" s="76" t="n">
        <f aca="false">IF(ISERROR(VLOOKUP($P439,Member_Tab,4,FALSE())),0,(VLOOKUP($P439,Member_Tab,4,FALSE()) * 0.2 * AN$7) * (IF(AND(AN$5 &gt;= VLOOKUP($P439,Member_Tab,6,FALSE()), AN$5 &lt;= VLOOKUP($P439,Member_Tab,7,FALSE())),1,0))  )</f>
        <v>0</v>
      </c>
      <c r="AO439" s="76" t="n">
        <f aca="false">IF(ISERROR(VLOOKUP($P439,Member_Tab,4,FALSE())),0,(VLOOKUP($P439,Member_Tab,4,FALSE()) * 0.2 * AO$7) * (IF(AND(AO$5 &gt;= VLOOKUP($P439,Member_Tab,6,FALSE()), AO$5 &lt;= VLOOKUP($P439,Member_Tab,7,FALSE())),1,0))  )</f>
        <v>0</v>
      </c>
      <c r="AP439" s="76" t="n">
        <f aca="false">IF(ISERROR(VLOOKUP($P439,Member_Tab,4,FALSE())),0,(VLOOKUP($P439,Member_Tab,4,FALSE()) * 0.2 * AP$7) * (IF(AND(AP$5 &gt;= VLOOKUP($P439,Member_Tab,6,FALSE()), AP$5 &lt;= VLOOKUP($P439,Member_Tab,7,FALSE())),1,0))  )</f>
        <v>0</v>
      </c>
      <c r="AQ439" s="76" t="n">
        <f aca="false">IF(ISERROR(VLOOKUP($P439,Member_Tab,4,FALSE())),0,(VLOOKUP($P439,Member_Tab,4,FALSE()) * 0.2 * AQ$7) * (IF(AND(AQ$5 &gt;= VLOOKUP($P439,Member_Tab,6,FALSE()), AQ$5 &lt;= VLOOKUP($P439,Member_Tab,7,FALSE())),1,0))  )</f>
        <v>0</v>
      </c>
      <c r="AR439" s="76" t="n">
        <f aca="false">IF(ISERROR(VLOOKUP($P439,Member_Tab,4,FALSE())),0,(VLOOKUP($P439,Member_Tab,4,FALSE()) * 0.2 * AR$7) * (IF(AND(AR$5 &gt;= VLOOKUP($P439,Member_Tab,6,FALSE()), AR$5 &lt;= VLOOKUP($P439,Member_Tab,7,FALSE())),1,0))  )</f>
        <v>0</v>
      </c>
      <c r="AS439" s="76" t="n">
        <f aca="false">IF(ISERROR(VLOOKUP($P439,Member_Tab,4,FALSE())),0,(VLOOKUP($P439,Member_Tab,4,FALSE()) * 0.2 * AS$7) * (IF(AND(AS$5 &gt;= VLOOKUP($P439,Member_Tab,6,FALSE()), AS$5 &lt;= VLOOKUP($P439,Member_Tab,7,FALSE())),1,0))  )</f>
        <v>0</v>
      </c>
      <c r="AT439" s="76" t="n">
        <f aca="false">IF(ISERROR(VLOOKUP($P439,Member_Tab,4,FALSE())),0,(VLOOKUP($P439,Member_Tab,4,FALSE()) * 0.2 * AT$7) * (IF(AND(AT$5 &gt;= VLOOKUP($P439,Member_Tab,6,FALSE()), AT$5 &lt;= VLOOKUP($P439,Member_Tab,7,FALSE())),1,0))  )</f>
        <v>0</v>
      </c>
      <c r="AU439" s="76" t="n">
        <f aca="false">IF(ISERROR(VLOOKUP($P439,Member_Tab,4,FALSE())),0,(VLOOKUP($P439,Member_Tab,4,FALSE()) * 0.2 * AU$7) * (IF(AND(AU$5 &gt;= VLOOKUP($P439,Member_Tab,6,FALSE()), AU$5 &lt;= VLOOKUP($P439,Member_Tab,7,FALSE())),1,0))  )</f>
        <v>0</v>
      </c>
      <c r="AV439" s="76" t="n">
        <f aca="false">IF(ISERROR(VLOOKUP($P439,Member_Tab,4,FALSE())),0,(VLOOKUP($P439,Member_Tab,4,FALSE()) * 0.2 * AV$7) * (IF(AND(AV$5 &gt;= VLOOKUP($P439,Member_Tab,6,FALSE()), AV$5 &lt;= VLOOKUP($P439,Member_Tab,7,FALSE())),1,0))  )</f>
        <v>0</v>
      </c>
      <c r="AW439" s="76" t="n">
        <f aca="false">IF(ISERROR(VLOOKUP($P439,Member_Tab,4,FALSE())),0,(VLOOKUP($P439,Member_Tab,4,FALSE()) * 0.2 * AW$7) * (IF(AND(AW$5 &gt;= VLOOKUP($P439,Member_Tab,6,FALSE()), AW$5 &lt;= VLOOKUP($P439,Member_Tab,7,FALSE())),1,0))  )</f>
        <v>0</v>
      </c>
      <c r="AX439" s="76" t="n">
        <f aca="false">IF(ISERROR(VLOOKUP($P439,Member_Tab,4,FALSE())),0,(VLOOKUP($P439,Member_Tab,4,FALSE()) * 0.2 * AX$7) * (IF(AND(AX$5 &gt;= VLOOKUP($P439,Member_Tab,6,FALSE()), AX$5 &lt;= VLOOKUP($P439,Member_Tab,7,FALSE())),1,0))  )</f>
        <v>0</v>
      </c>
      <c r="AY439" s="76" t="n">
        <f aca="false">IF(ISERROR(VLOOKUP($P439,Member_Tab,4,FALSE())),0,(VLOOKUP($P439,Member_Tab,4,FALSE()) * 0.2 * AY$7) * (IF(AND(AY$5 &gt;= VLOOKUP($P439,Member_Tab,6,FALSE()), AY$5 &lt;= VLOOKUP($P439,Member_Tab,7,FALSE())),1,0))  )</f>
        <v>0</v>
      </c>
      <c r="AZ439" s="76" t="n">
        <f aca="false">IF(ISERROR(VLOOKUP($P439,Member_Tab,4,FALSE())),0,(VLOOKUP($P439,Member_Tab,4,FALSE()) * 0.2 * AZ$7) * (IF(AND(AZ$5 &gt;= VLOOKUP($P439,Member_Tab,6,FALSE()), AZ$5 &lt;= VLOOKUP($P439,Member_Tab,7,FALSE())),1,0))  )</f>
        <v>0</v>
      </c>
      <c r="BA439" s="76" t="n">
        <f aca="false">IF(ISERROR(VLOOKUP($P439,Member_Tab,4,FALSE())),0,(VLOOKUP($P439,Member_Tab,4,FALSE()) * 0.2 * BA$7) * (IF(AND(BA$5 &gt;= VLOOKUP($P439,Member_Tab,6,FALSE()), BA$5 &lt;= VLOOKUP($P439,Member_Tab,7,FALSE())),1,0))  )</f>
        <v>0</v>
      </c>
      <c r="BB439" s="76" t="n">
        <f aca="false">IF(ISERROR(VLOOKUP($P439,Member_Tab,4,FALSE())),0,(VLOOKUP($P439,Member_Tab,4,FALSE()) * 0.2 * BB$7) * (IF(AND(BB$5 &gt;= VLOOKUP($P439,Member_Tab,6,FALSE()), BB$5 &lt;= VLOOKUP($P439,Member_Tab,7,FALSE())),1,0))  )</f>
        <v>0</v>
      </c>
    </row>
    <row r="440" s="173" customFormat="true" ht="15" hidden="true" customHeight="false" outlineLevel="1" collapsed="false">
      <c r="E440" s="40"/>
      <c r="K440" s="40"/>
      <c r="L440" s="40"/>
      <c r="M440" s="40"/>
      <c r="N440" s="40"/>
      <c r="P440" s="177" t="n">
        <f aca="false">P303</f>
        <v>0</v>
      </c>
      <c r="Q440" s="40"/>
      <c r="R440" s="178"/>
      <c r="S440" s="76" t="n">
        <f aca="false">IF(ISERROR(VLOOKUP($P440,Member_Tab,4,FALSE())),0,(VLOOKUP($P440,Member_Tab,4,FALSE()) * 0.2 * S$7) * (IF(AND(S$5 &gt;= VLOOKUP($P440,Member_Tab,6,FALSE()), S$5 &lt;= VLOOKUP($P440,Member_Tab,7,FALSE())),1,0))  )</f>
        <v>0</v>
      </c>
      <c r="T440" s="76" t="n">
        <f aca="false">IF(ISERROR(VLOOKUP($P440,Member_Tab,4,FALSE())),0,(VLOOKUP($P440,Member_Tab,4,FALSE()) * 0.2 * T$7) * (IF(AND(T$5 &gt;= VLOOKUP($P440,Member_Tab,6,FALSE()), T$5 &lt;= VLOOKUP($P440,Member_Tab,7,FALSE())),1,0))  )</f>
        <v>0</v>
      </c>
      <c r="U440" s="76" t="n">
        <f aca="false">IF(ISERROR(VLOOKUP($P440,Member_Tab,4,FALSE())),0,(VLOOKUP($P440,Member_Tab,4,FALSE()) * 0.2 * U$7) * (IF(AND(U$5 &gt;= VLOOKUP($P440,Member_Tab,6,FALSE()), U$5 &lt;= VLOOKUP($P440,Member_Tab,7,FALSE())),1,0))  )</f>
        <v>0</v>
      </c>
      <c r="V440" s="76" t="n">
        <f aca="false">IF(ISERROR(VLOOKUP($P440,Member_Tab,4,FALSE())),0,(VLOOKUP($P440,Member_Tab,4,FALSE()) * 0.2 * V$7) * (IF(AND(V$5 &gt;= VLOOKUP($P440,Member_Tab,6,FALSE()), V$5 &lt;= VLOOKUP($P440,Member_Tab,7,FALSE())),1,0))  )</f>
        <v>0</v>
      </c>
      <c r="W440" s="76" t="n">
        <f aca="false">IF(ISERROR(VLOOKUP($P440,Member_Tab,4,FALSE())),0,(VLOOKUP($P440,Member_Tab,4,FALSE()) * 0.2 * W$7) * (IF(AND(W$5 &gt;= VLOOKUP($P440,Member_Tab,6,FALSE()), W$5 &lt;= VLOOKUP($P440,Member_Tab,7,FALSE())),1,0))  )</f>
        <v>0</v>
      </c>
      <c r="X440" s="76" t="n">
        <f aca="false">IF(ISERROR(VLOOKUP($P440,Member_Tab,4,FALSE())),0,(VLOOKUP($P440,Member_Tab,4,FALSE()) * 0.2 * X$7) * (IF(AND(X$5 &gt;= VLOOKUP($P440,Member_Tab,6,FALSE()), X$5 &lt;= VLOOKUP($P440,Member_Tab,7,FALSE())),1,0))  )</f>
        <v>0</v>
      </c>
      <c r="Y440" s="76" t="n">
        <f aca="false">IF(ISERROR(VLOOKUP($P440,Member_Tab,4,FALSE())),0,(VLOOKUP($P440,Member_Tab,4,FALSE()) * 0.2 * Y$7) * (IF(AND(Y$5 &gt;= VLOOKUP($P440,Member_Tab,6,FALSE()), Y$5 &lt;= VLOOKUP($P440,Member_Tab,7,FALSE())),1,0))  )</f>
        <v>0</v>
      </c>
      <c r="Z440" s="76" t="n">
        <f aca="false">IF(ISERROR(VLOOKUP($P440,Member_Tab,4,FALSE())),0,(VLOOKUP($P440,Member_Tab,4,FALSE()) * 0.2 * Z$7) * (IF(AND(Z$5 &gt;= VLOOKUP($P440,Member_Tab,6,FALSE()), Z$5 &lt;= VLOOKUP($P440,Member_Tab,7,FALSE())),1,0))  )</f>
        <v>0</v>
      </c>
      <c r="AA440" s="76" t="n">
        <f aca="false">IF(ISERROR(VLOOKUP($P440,Member_Tab,4,FALSE())),0,(VLOOKUP($P440,Member_Tab,4,FALSE()) * 0.2 * AA$7) * (IF(AND(AA$5 &gt;= VLOOKUP($P440,Member_Tab,6,FALSE()), AA$5 &lt;= VLOOKUP($P440,Member_Tab,7,FALSE())),1,0))  )</f>
        <v>0</v>
      </c>
      <c r="AB440" s="76" t="n">
        <f aca="false">IF(ISERROR(VLOOKUP($P440,Member_Tab,4,FALSE())),0,(VLOOKUP($P440,Member_Tab,4,FALSE()) * 0.2 * AB$7) * (IF(AND(AB$5 &gt;= VLOOKUP($P440,Member_Tab,6,FALSE()), AB$5 &lt;= VLOOKUP($P440,Member_Tab,7,FALSE())),1,0))  )</f>
        <v>0</v>
      </c>
      <c r="AC440" s="76" t="n">
        <f aca="false">IF(ISERROR(VLOOKUP($P440,Member_Tab,4,FALSE())),0,(VLOOKUP($P440,Member_Tab,4,FALSE()) * 0.2 * AC$7) * (IF(AND(AC$5 &gt;= VLOOKUP($P440,Member_Tab,6,FALSE()), AC$5 &lt;= VLOOKUP($P440,Member_Tab,7,FALSE())),1,0))  )</f>
        <v>0</v>
      </c>
      <c r="AD440" s="76" t="n">
        <f aca="false">IF(ISERROR(VLOOKUP($P440,Member_Tab,4,FALSE())),0,(VLOOKUP($P440,Member_Tab,4,FALSE()) * 0.2 * AD$7) * (IF(AND(AD$5 &gt;= VLOOKUP($P440,Member_Tab,6,FALSE()), AD$5 &lt;= VLOOKUP($P440,Member_Tab,7,FALSE())),1,0))  )</f>
        <v>0</v>
      </c>
      <c r="AE440" s="76" t="n">
        <f aca="false">IF(ISERROR(VLOOKUP($P440,Member_Tab,4,FALSE())),0,(VLOOKUP($P440,Member_Tab,4,FALSE()) * 0.2 * AE$7) * (IF(AND(AE$5 &gt;= VLOOKUP($P440,Member_Tab,6,FALSE()), AE$5 &lt;= VLOOKUP($P440,Member_Tab,7,FALSE())),1,0))  )</f>
        <v>0</v>
      </c>
      <c r="AF440" s="76" t="n">
        <f aca="false">IF(ISERROR(VLOOKUP($P440,Member_Tab,4,FALSE())),0,(VLOOKUP($P440,Member_Tab,4,FALSE()) * 0.2 * AF$7) * (IF(AND(AF$5 &gt;= VLOOKUP($P440,Member_Tab,6,FALSE()), AF$5 &lt;= VLOOKUP($P440,Member_Tab,7,FALSE())),1,0))  )</f>
        <v>0</v>
      </c>
      <c r="AG440" s="76" t="n">
        <f aca="false">IF(ISERROR(VLOOKUP($P440,Member_Tab,4,FALSE())),0,(VLOOKUP($P440,Member_Tab,4,FALSE()) * 0.2 * AG$7) * (IF(AND(AG$5 &gt;= VLOOKUP($P440,Member_Tab,6,FALSE()), AG$5 &lt;= VLOOKUP($P440,Member_Tab,7,FALSE())),1,0))  )</f>
        <v>0</v>
      </c>
      <c r="AH440" s="76" t="n">
        <f aca="false">IF(ISERROR(VLOOKUP($P440,Member_Tab,4,FALSE())),0,(VLOOKUP($P440,Member_Tab,4,FALSE()) * 0.2 * AH$7) * (IF(AND(AH$5 &gt;= VLOOKUP($P440,Member_Tab,6,FALSE()), AH$5 &lt;= VLOOKUP($P440,Member_Tab,7,FALSE())),1,0))  )</f>
        <v>0</v>
      </c>
      <c r="AI440" s="76" t="n">
        <f aca="false">IF(ISERROR(VLOOKUP($P440,Member_Tab,4,FALSE())),0,(VLOOKUP($P440,Member_Tab,4,FALSE()) * 0.2 * AI$7) * (IF(AND(AI$5 &gt;= VLOOKUP($P440,Member_Tab,6,FALSE()), AI$5 &lt;= VLOOKUP($P440,Member_Tab,7,FALSE())),1,0))  )</f>
        <v>0</v>
      </c>
      <c r="AJ440" s="76" t="n">
        <f aca="false">IF(ISERROR(VLOOKUP($P440,Member_Tab,4,FALSE())),0,(VLOOKUP($P440,Member_Tab,4,FALSE()) * 0.2 * AJ$7) * (IF(AND(AJ$5 &gt;= VLOOKUP($P440,Member_Tab,6,FALSE()), AJ$5 &lt;= VLOOKUP($P440,Member_Tab,7,FALSE())),1,0))  )</f>
        <v>0</v>
      </c>
      <c r="AK440" s="76" t="n">
        <f aca="false">IF(ISERROR(VLOOKUP($P440,Member_Tab,4,FALSE())),0,(VLOOKUP($P440,Member_Tab,4,FALSE()) * 0.2 * AK$7) * (IF(AND(AK$5 &gt;= VLOOKUP($P440,Member_Tab,6,FALSE()), AK$5 &lt;= VLOOKUP($P440,Member_Tab,7,FALSE())),1,0))  )</f>
        <v>0</v>
      </c>
      <c r="AL440" s="76" t="n">
        <f aca="false">IF(ISERROR(VLOOKUP($P440,Member_Tab,4,FALSE())),0,(VLOOKUP($P440,Member_Tab,4,FALSE()) * 0.2 * AL$7) * (IF(AND(AL$5 &gt;= VLOOKUP($P440,Member_Tab,6,FALSE()), AL$5 &lt;= VLOOKUP($P440,Member_Tab,7,FALSE())),1,0))  )</f>
        <v>0</v>
      </c>
      <c r="AM440" s="76" t="n">
        <f aca="false">IF(ISERROR(VLOOKUP($P440,Member_Tab,4,FALSE())),0,(VLOOKUP($P440,Member_Tab,4,FALSE()) * 0.2 * AM$7) * (IF(AND(AM$5 &gt;= VLOOKUP($P440,Member_Tab,6,FALSE()), AM$5 &lt;= VLOOKUP($P440,Member_Tab,7,FALSE())),1,0))  )</f>
        <v>0</v>
      </c>
      <c r="AN440" s="76" t="n">
        <f aca="false">IF(ISERROR(VLOOKUP($P440,Member_Tab,4,FALSE())),0,(VLOOKUP($P440,Member_Tab,4,FALSE()) * 0.2 * AN$7) * (IF(AND(AN$5 &gt;= VLOOKUP($P440,Member_Tab,6,FALSE()), AN$5 &lt;= VLOOKUP($P440,Member_Tab,7,FALSE())),1,0))  )</f>
        <v>0</v>
      </c>
      <c r="AO440" s="76" t="n">
        <f aca="false">IF(ISERROR(VLOOKUP($P440,Member_Tab,4,FALSE())),0,(VLOOKUP($P440,Member_Tab,4,FALSE()) * 0.2 * AO$7) * (IF(AND(AO$5 &gt;= VLOOKUP($P440,Member_Tab,6,FALSE()), AO$5 &lt;= VLOOKUP($P440,Member_Tab,7,FALSE())),1,0))  )</f>
        <v>0</v>
      </c>
      <c r="AP440" s="76" t="n">
        <f aca="false">IF(ISERROR(VLOOKUP($P440,Member_Tab,4,FALSE())),0,(VLOOKUP($P440,Member_Tab,4,FALSE()) * 0.2 * AP$7) * (IF(AND(AP$5 &gt;= VLOOKUP($P440,Member_Tab,6,FALSE()), AP$5 &lt;= VLOOKUP($P440,Member_Tab,7,FALSE())),1,0))  )</f>
        <v>0</v>
      </c>
      <c r="AQ440" s="76" t="n">
        <f aca="false">IF(ISERROR(VLOOKUP($P440,Member_Tab,4,FALSE())),0,(VLOOKUP($P440,Member_Tab,4,FALSE()) * 0.2 * AQ$7) * (IF(AND(AQ$5 &gt;= VLOOKUP($P440,Member_Tab,6,FALSE()), AQ$5 &lt;= VLOOKUP($P440,Member_Tab,7,FALSE())),1,0))  )</f>
        <v>0</v>
      </c>
      <c r="AR440" s="76" t="n">
        <f aca="false">IF(ISERROR(VLOOKUP($P440,Member_Tab,4,FALSE())),0,(VLOOKUP($P440,Member_Tab,4,FALSE()) * 0.2 * AR$7) * (IF(AND(AR$5 &gt;= VLOOKUP($P440,Member_Tab,6,FALSE()), AR$5 &lt;= VLOOKUP($P440,Member_Tab,7,FALSE())),1,0))  )</f>
        <v>0</v>
      </c>
      <c r="AS440" s="76" t="n">
        <f aca="false">IF(ISERROR(VLOOKUP($P440,Member_Tab,4,FALSE())),0,(VLOOKUP($P440,Member_Tab,4,FALSE()) * 0.2 * AS$7) * (IF(AND(AS$5 &gt;= VLOOKUP($P440,Member_Tab,6,FALSE()), AS$5 &lt;= VLOOKUP($P440,Member_Tab,7,FALSE())),1,0))  )</f>
        <v>0</v>
      </c>
      <c r="AT440" s="76" t="n">
        <f aca="false">IF(ISERROR(VLOOKUP($P440,Member_Tab,4,FALSE())),0,(VLOOKUP($P440,Member_Tab,4,FALSE()) * 0.2 * AT$7) * (IF(AND(AT$5 &gt;= VLOOKUP($P440,Member_Tab,6,FALSE()), AT$5 &lt;= VLOOKUP($P440,Member_Tab,7,FALSE())),1,0))  )</f>
        <v>0</v>
      </c>
      <c r="AU440" s="76" t="n">
        <f aca="false">IF(ISERROR(VLOOKUP($P440,Member_Tab,4,FALSE())),0,(VLOOKUP($P440,Member_Tab,4,FALSE()) * 0.2 * AU$7) * (IF(AND(AU$5 &gt;= VLOOKUP($P440,Member_Tab,6,FALSE()), AU$5 &lt;= VLOOKUP($P440,Member_Tab,7,FALSE())),1,0))  )</f>
        <v>0</v>
      </c>
      <c r="AV440" s="76" t="n">
        <f aca="false">IF(ISERROR(VLOOKUP($P440,Member_Tab,4,FALSE())),0,(VLOOKUP($P440,Member_Tab,4,FALSE()) * 0.2 * AV$7) * (IF(AND(AV$5 &gt;= VLOOKUP($P440,Member_Tab,6,FALSE()), AV$5 &lt;= VLOOKUP($P440,Member_Tab,7,FALSE())),1,0))  )</f>
        <v>0</v>
      </c>
      <c r="AW440" s="76" t="n">
        <f aca="false">IF(ISERROR(VLOOKUP($P440,Member_Tab,4,FALSE())),0,(VLOOKUP($P440,Member_Tab,4,FALSE()) * 0.2 * AW$7) * (IF(AND(AW$5 &gt;= VLOOKUP($P440,Member_Tab,6,FALSE()), AW$5 &lt;= VLOOKUP($P440,Member_Tab,7,FALSE())),1,0))  )</f>
        <v>0</v>
      </c>
      <c r="AX440" s="76" t="n">
        <f aca="false">IF(ISERROR(VLOOKUP($P440,Member_Tab,4,FALSE())),0,(VLOOKUP($P440,Member_Tab,4,FALSE()) * 0.2 * AX$7) * (IF(AND(AX$5 &gt;= VLOOKUP($P440,Member_Tab,6,FALSE()), AX$5 &lt;= VLOOKUP($P440,Member_Tab,7,FALSE())),1,0))  )</f>
        <v>0</v>
      </c>
      <c r="AY440" s="76" t="n">
        <f aca="false">IF(ISERROR(VLOOKUP($P440,Member_Tab,4,FALSE())),0,(VLOOKUP($P440,Member_Tab,4,FALSE()) * 0.2 * AY$7) * (IF(AND(AY$5 &gt;= VLOOKUP($P440,Member_Tab,6,FALSE()), AY$5 &lt;= VLOOKUP($P440,Member_Tab,7,FALSE())),1,0))  )</f>
        <v>0</v>
      </c>
      <c r="AZ440" s="76" t="n">
        <f aca="false">IF(ISERROR(VLOOKUP($P440,Member_Tab,4,FALSE())),0,(VLOOKUP($P440,Member_Tab,4,FALSE()) * 0.2 * AZ$7) * (IF(AND(AZ$5 &gt;= VLOOKUP($P440,Member_Tab,6,FALSE()), AZ$5 &lt;= VLOOKUP($P440,Member_Tab,7,FALSE())),1,0))  )</f>
        <v>0</v>
      </c>
      <c r="BA440" s="76" t="n">
        <f aca="false">IF(ISERROR(VLOOKUP($P440,Member_Tab,4,FALSE())),0,(VLOOKUP($P440,Member_Tab,4,FALSE()) * 0.2 * BA$7) * (IF(AND(BA$5 &gt;= VLOOKUP($P440,Member_Tab,6,FALSE()), BA$5 &lt;= VLOOKUP($P440,Member_Tab,7,FALSE())),1,0))  )</f>
        <v>0</v>
      </c>
      <c r="BB440" s="76" t="n">
        <f aca="false">IF(ISERROR(VLOOKUP($P440,Member_Tab,4,FALSE())),0,(VLOOKUP($P440,Member_Tab,4,FALSE()) * 0.2 * BB$7) * (IF(AND(BB$5 &gt;= VLOOKUP($P440,Member_Tab,6,FALSE()), BB$5 &lt;= VLOOKUP($P440,Member_Tab,7,FALSE())),1,0))  )</f>
        <v>0</v>
      </c>
    </row>
    <row r="441" s="173" customFormat="true" ht="15" hidden="true" customHeight="false" outlineLevel="1" collapsed="false">
      <c r="E441" s="40"/>
      <c r="K441" s="40"/>
      <c r="L441" s="40"/>
      <c r="M441" s="40"/>
      <c r="N441" s="40"/>
      <c r="P441" s="177" t="n">
        <f aca="false">P304</f>
        <v>0</v>
      </c>
      <c r="Q441" s="40"/>
      <c r="R441" s="178"/>
      <c r="S441" s="76" t="n">
        <f aca="false">IF(ISERROR(VLOOKUP($P441,Member_Tab,4,FALSE())),0,(VLOOKUP($P441,Member_Tab,4,FALSE()) * 0.2 * S$7) * (IF(AND(S$5 &gt;= VLOOKUP($P441,Member_Tab,6,FALSE()), S$5 &lt;= VLOOKUP($P441,Member_Tab,7,FALSE())),1,0))  )</f>
        <v>0</v>
      </c>
      <c r="T441" s="76" t="n">
        <f aca="false">IF(ISERROR(VLOOKUP($P441,Member_Tab,4,FALSE())),0,(VLOOKUP($P441,Member_Tab,4,FALSE()) * 0.2 * T$7) * (IF(AND(T$5 &gt;= VLOOKUP($P441,Member_Tab,6,FALSE()), T$5 &lt;= VLOOKUP($P441,Member_Tab,7,FALSE())),1,0))  )</f>
        <v>0</v>
      </c>
      <c r="U441" s="76" t="n">
        <f aca="false">IF(ISERROR(VLOOKUP($P441,Member_Tab,4,FALSE())),0,(VLOOKUP($P441,Member_Tab,4,FALSE()) * 0.2 * U$7) * (IF(AND(U$5 &gt;= VLOOKUP($P441,Member_Tab,6,FALSE()), U$5 &lt;= VLOOKUP($P441,Member_Tab,7,FALSE())),1,0))  )</f>
        <v>0</v>
      </c>
      <c r="V441" s="76" t="n">
        <f aca="false">IF(ISERROR(VLOOKUP($P441,Member_Tab,4,FALSE())),0,(VLOOKUP($P441,Member_Tab,4,FALSE()) * 0.2 * V$7) * (IF(AND(V$5 &gt;= VLOOKUP($P441,Member_Tab,6,FALSE()), V$5 &lt;= VLOOKUP($P441,Member_Tab,7,FALSE())),1,0))  )</f>
        <v>0</v>
      </c>
      <c r="W441" s="76" t="n">
        <f aca="false">IF(ISERROR(VLOOKUP($P441,Member_Tab,4,FALSE())),0,(VLOOKUP($P441,Member_Tab,4,FALSE()) * 0.2 * W$7) * (IF(AND(W$5 &gt;= VLOOKUP($P441,Member_Tab,6,FALSE()), W$5 &lt;= VLOOKUP($P441,Member_Tab,7,FALSE())),1,0))  )</f>
        <v>0</v>
      </c>
      <c r="X441" s="76" t="n">
        <f aca="false">IF(ISERROR(VLOOKUP($P441,Member_Tab,4,FALSE())),0,(VLOOKUP($P441,Member_Tab,4,FALSE()) * 0.2 * X$7) * (IF(AND(X$5 &gt;= VLOOKUP($P441,Member_Tab,6,FALSE()), X$5 &lt;= VLOOKUP($P441,Member_Tab,7,FALSE())),1,0))  )</f>
        <v>0</v>
      </c>
      <c r="Y441" s="76" t="n">
        <f aca="false">IF(ISERROR(VLOOKUP($P441,Member_Tab,4,FALSE())),0,(VLOOKUP($P441,Member_Tab,4,FALSE()) * 0.2 * Y$7) * (IF(AND(Y$5 &gt;= VLOOKUP($P441,Member_Tab,6,FALSE()), Y$5 &lt;= VLOOKUP($P441,Member_Tab,7,FALSE())),1,0))  )</f>
        <v>0</v>
      </c>
      <c r="Z441" s="76" t="n">
        <f aca="false">IF(ISERROR(VLOOKUP($P441,Member_Tab,4,FALSE())),0,(VLOOKUP($P441,Member_Tab,4,FALSE()) * 0.2 * Z$7) * (IF(AND(Z$5 &gt;= VLOOKUP($P441,Member_Tab,6,FALSE()), Z$5 &lt;= VLOOKUP($P441,Member_Tab,7,FALSE())),1,0))  )</f>
        <v>0</v>
      </c>
      <c r="AA441" s="76" t="n">
        <f aca="false">IF(ISERROR(VLOOKUP($P441,Member_Tab,4,FALSE())),0,(VLOOKUP($P441,Member_Tab,4,FALSE()) * 0.2 * AA$7) * (IF(AND(AA$5 &gt;= VLOOKUP($P441,Member_Tab,6,FALSE()), AA$5 &lt;= VLOOKUP($P441,Member_Tab,7,FALSE())),1,0))  )</f>
        <v>0</v>
      </c>
      <c r="AB441" s="76" t="n">
        <f aca="false">IF(ISERROR(VLOOKUP($P441,Member_Tab,4,FALSE())),0,(VLOOKUP($P441,Member_Tab,4,FALSE()) * 0.2 * AB$7) * (IF(AND(AB$5 &gt;= VLOOKUP($P441,Member_Tab,6,FALSE()), AB$5 &lt;= VLOOKUP($P441,Member_Tab,7,FALSE())),1,0))  )</f>
        <v>0</v>
      </c>
      <c r="AC441" s="76" t="n">
        <f aca="false">IF(ISERROR(VLOOKUP($P441,Member_Tab,4,FALSE())),0,(VLOOKUP($P441,Member_Tab,4,FALSE()) * 0.2 * AC$7) * (IF(AND(AC$5 &gt;= VLOOKUP($P441,Member_Tab,6,FALSE()), AC$5 &lt;= VLOOKUP($P441,Member_Tab,7,FALSE())),1,0))  )</f>
        <v>0</v>
      </c>
      <c r="AD441" s="76" t="n">
        <f aca="false">IF(ISERROR(VLOOKUP($P441,Member_Tab,4,FALSE())),0,(VLOOKUP($P441,Member_Tab,4,FALSE()) * 0.2 * AD$7) * (IF(AND(AD$5 &gt;= VLOOKUP($P441,Member_Tab,6,FALSE()), AD$5 &lt;= VLOOKUP($P441,Member_Tab,7,FALSE())),1,0))  )</f>
        <v>0</v>
      </c>
      <c r="AE441" s="76" t="n">
        <f aca="false">IF(ISERROR(VLOOKUP($P441,Member_Tab,4,FALSE())),0,(VLOOKUP($P441,Member_Tab,4,FALSE()) * 0.2 * AE$7) * (IF(AND(AE$5 &gt;= VLOOKUP($P441,Member_Tab,6,FALSE()), AE$5 &lt;= VLOOKUP($P441,Member_Tab,7,FALSE())),1,0))  )</f>
        <v>0</v>
      </c>
      <c r="AF441" s="76" t="n">
        <f aca="false">IF(ISERROR(VLOOKUP($P441,Member_Tab,4,FALSE())),0,(VLOOKUP($P441,Member_Tab,4,FALSE()) * 0.2 * AF$7) * (IF(AND(AF$5 &gt;= VLOOKUP($P441,Member_Tab,6,FALSE()), AF$5 &lt;= VLOOKUP($P441,Member_Tab,7,FALSE())),1,0))  )</f>
        <v>0</v>
      </c>
      <c r="AG441" s="76" t="n">
        <f aca="false">IF(ISERROR(VLOOKUP($P441,Member_Tab,4,FALSE())),0,(VLOOKUP($P441,Member_Tab,4,FALSE()) * 0.2 * AG$7) * (IF(AND(AG$5 &gt;= VLOOKUP($P441,Member_Tab,6,FALSE()), AG$5 &lt;= VLOOKUP($P441,Member_Tab,7,FALSE())),1,0))  )</f>
        <v>0</v>
      </c>
      <c r="AH441" s="76" t="n">
        <f aca="false">IF(ISERROR(VLOOKUP($P441,Member_Tab,4,FALSE())),0,(VLOOKUP($P441,Member_Tab,4,FALSE()) * 0.2 * AH$7) * (IF(AND(AH$5 &gt;= VLOOKUP($P441,Member_Tab,6,FALSE()), AH$5 &lt;= VLOOKUP($P441,Member_Tab,7,FALSE())),1,0))  )</f>
        <v>0</v>
      </c>
      <c r="AI441" s="76" t="n">
        <f aca="false">IF(ISERROR(VLOOKUP($P441,Member_Tab,4,FALSE())),0,(VLOOKUP($P441,Member_Tab,4,FALSE()) * 0.2 * AI$7) * (IF(AND(AI$5 &gt;= VLOOKUP($P441,Member_Tab,6,FALSE()), AI$5 &lt;= VLOOKUP($P441,Member_Tab,7,FALSE())),1,0))  )</f>
        <v>0</v>
      </c>
      <c r="AJ441" s="76" t="n">
        <f aca="false">IF(ISERROR(VLOOKUP($P441,Member_Tab,4,FALSE())),0,(VLOOKUP($P441,Member_Tab,4,FALSE()) * 0.2 * AJ$7) * (IF(AND(AJ$5 &gt;= VLOOKUP($P441,Member_Tab,6,FALSE()), AJ$5 &lt;= VLOOKUP($P441,Member_Tab,7,FALSE())),1,0))  )</f>
        <v>0</v>
      </c>
      <c r="AK441" s="76" t="n">
        <f aca="false">IF(ISERROR(VLOOKUP($P441,Member_Tab,4,FALSE())),0,(VLOOKUP($P441,Member_Tab,4,FALSE()) * 0.2 * AK$7) * (IF(AND(AK$5 &gt;= VLOOKUP($P441,Member_Tab,6,FALSE()), AK$5 &lt;= VLOOKUP($P441,Member_Tab,7,FALSE())),1,0))  )</f>
        <v>0</v>
      </c>
      <c r="AL441" s="76" t="n">
        <f aca="false">IF(ISERROR(VLOOKUP($P441,Member_Tab,4,FALSE())),0,(VLOOKUP($P441,Member_Tab,4,FALSE()) * 0.2 * AL$7) * (IF(AND(AL$5 &gt;= VLOOKUP($P441,Member_Tab,6,FALSE()), AL$5 &lt;= VLOOKUP($P441,Member_Tab,7,FALSE())),1,0))  )</f>
        <v>0</v>
      </c>
      <c r="AM441" s="76" t="n">
        <f aca="false">IF(ISERROR(VLOOKUP($P441,Member_Tab,4,FALSE())),0,(VLOOKUP($P441,Member_Tab,4,FALSE()) * 0.2 * AM$7) * (IF(AND(AM$5 &gt;= VLOOKUP($P441,Member_Tab,6,FALSE()), AM$5 &lt;= VLOOKUP($P441,Member_Tab,7,FALSE())),1,0))  )</f>
        <v>0</v>
      </c>
      <c r="AN441" s="76" t="n">
        <f aca="false">IF(ISERROR(VLOOKUP($P441,Member_Tab,4,FALSE())),0,(VLOOKUP($P441,Member_Tab,4,FALSE()) * 0.2 * AN$7) * (IF(AND(AN$5 &gt;= VLOOKUP($P441,Member_Tab,6,FALSE()), AN$5 &lt;= VLOOKUP($P441,Member_Tab,7,FALSE())),1,0))  )</f>
        <v>0</v>
      </c>
      <c r="AO441" s="76" t="n">
        <f aca="false">IF(ISERROR(VLOOKUP($P441,Member_Tab,4,FALSE())),0,(VLOOKUP($P441,Member_Tab,4,FALSE()) * 0.2 * AO$7) * (IF(AND(AO$5 &gt;= VLOOKUP($P441,Member_Tab,6,FALSE()), AO$5 &lt;= VLOOKUP($P441,Member_Tab,7,FALSE())),1,0))  )</f>
        <v>0</v>
      </c>
      <c r="AP441" s="76" t="n">
        <f aca="false">IF(ISERROR(VLOOKUP($P441,Member_Tab,4,FALSE())),0,(VLOOKUP($P441,Member_Tab,4,FALSE()) * 0.2 * AP$7) * (IF(AND(AP$5 &gt;= VLOOKUP($P441,Member_Tab,6,FALSE()), AP$5 &lt;= VLOOKUP($P441,Member_Tab,7,FALSE())),1,0))  )</f>
        <v>0</v>
      </c>
      <c r="AQ441" s="76" t="n">
        <f aca="false">IF(ISERROR(VLOOKUP($P441,Member_Tab,4,FALSE())),0,(VLOOKUP($P441,Member_Tab,4,FALSE()) * 0.2 * AQ$7) * (IF(AND(AQ$5 &gt;= VLOOKUP($P441,Member_Tab,6,FALSE()), AQ$5 &lt;= VLOOKUP($P441,Member_Tab,7,FALSE())),1,0))  )</f>
        <v>0</v>
      </c>
      <c r="AR441" s="76" t="n">
        <f aca="false">IF(ISERROR(VLOOKUP($P441,Member_Tab,4,FALSE())),0,(VLOOKUP($P441,Member_Tab,4,FALSE()) * 0.2 * AR$7) * (IF(AND(AR$5 &gt;= VLOOKUP($P441,Member_Tab,6,FALSE()), AR$5 &lt;= VLOOKUP($P441,Member_Tab,7,FALSE())),1,0))  )</f>
        <v>0</v>
      </c>
      <c r="AS441" s="76" t="n">
        <f aca="false">IF(ISERROR(VLOOKUP($P441,Member_Tab,4,FALSE())),0,(VLOOKUP($P441,Member_Tab,4,FALSE()) * 0.2 * AS$7) * (IF(AND(AS$5 &gt;= VLOOKUP($P441,Member_Tab,6,FALSE()), AS$5 &lt;= VLOOKUP($P441,Member_Tab,7,FALSE())),1,0))  )</f>
        <v>0</v>
      </c>
      <c r="AT441" s="76" t="n">
        <f aca="false">IF(ISERROR(VLOOKUP($P441,Member_Tab,4,FALSE())),0,(VLOOKUP($P441,Member_Tab,4,FALSE()) * 0.2 * AT$7) * (IF(AND(AT$5 &gt;= VLOOKUP($P441,Member_Tab,6,FALSE()), AT$5 &lt;= VLOOKUP($P441,Member_Tab,7,FALSE())),1,0))  )</f>
        <v>0</v>
      </c>
      <c r="AU441" s="76" t="n">
        <f aca="false">IF(ISERROR(VLOOKUP($P441,Member_Tab,4,FALSE())),0,(VLOOKUP($P441,Member_Tab,4,FALSE()) * 0.2 * AU$7) * (IF(AND(AU$5 &gt;= VLOOKUP($P441,Member_Tab,6,FALSE()), AU$5 &lt;= VLOOKUP($P441,Member_Tab,7,FALSE())),1,0))  )</f>
        <v>0</v>
      </c>
      <c r="AV441" s="76" t="n">
        <f aca="false">IF(ISERROR(VLOOKUP($P441,Member_Tab,4,FALSE())),0,(VLOOKUP($P441,Member_Tab,4,FALSE()) * 0.2 * AV$7) * (IF(AND(AV$5 &gt;= VLOOKUP($P441,Member_Tab,6,FALSE()), AV$5 &lt;= VLOOKUP($P441,Member_Tab,7,FALSE())),1,0))  )</f>
        <v>0</v>
      </c>
      <c r="AW441" s="76" t="n">
        <f aca="false">IF(ISERROR(VLOOKUP($P441,Member_Tab,4,FALSE())),0,(VLOOKUP($P441,Member_Tab,4,FALSE()) * 0.2 * AW$7) * (IF(AND(AW$5 &gt;= VLOOKUP($P441,Member_Tab,6,FALSE()), AW$5 &lt;= VLOOKUP($P441,Member_Tab,7,FALSE())),1,0))  )</f>
        <v>0</v>
      </c>
      <c r="AX441" s="76" t="n">
        <f aca="false">IF(ISERROR(VLOOKUP($P441,Member_Tab,4,FALSE())),0,(VLOOKUP($P441,Member_Tab,4,FALSE()) * 0.2 * AX$7) * (IF(AND(AX$5 &gt;= VLOOKUP($P441,Member_Tab,6,FALSE()), AX$5 &lt;= VLOOKUP($P441,Member_Tab,7,FALSE())),1,0))  )</f>
        <v>0</v>
      </c>
      <c r="AY441" s="76" t="n">
        <f aca="false">IF(ISERROR(VLOOKUP($P441,Member_Tab,4,FALSE())),0,(VLOOKUP($P441,Member_Tab,4,FALSE()) * 0.2 * AY$7) * (IF(AND(AY$5 &gt;= VLOOKUP($P441,Member_Tab,6,FALSE()), AY$5 &lt;= VLOOKUP($P441,Member_Tab,7,FALSE())),1,0))  )</f>
        <v>0</v>
      </c>
      <c r="AZ441" s="76" t="n">
        <f aca="false">IF(ISERROR(VLOOKUP($P441,Member_Tab,4,FALSE())),0,(VLOOKUP($P441,Member_Tab,4,FALSE()) * 0.2 * AZ$7) * (IF(AND(AZ$5 &gt;= VLOOKUP($P441,Member_Tab,6,FALSE()), AZ$5 &lt;= VLOOKUP($P441,Member_Tab,7,FALSE())),1,0))  )</f>
        <v>0</v>
      </c>
      <c r="BA441" s="76" t="n">
        <f aca="false">IF(ISERROR(VLOOKUP($P441,Member_Tab,4,FALSE())),0,(VLOOKUP($P441,Member_Tab,4,FALSE()) * 0.2 * BA$7) * (IF(AND(BA$5 &gt;= VLOOKUP($P441,Member_Tab,6,FALSE()), BA$5 &lt;= VLOOKUP($P441,Member_Tab,7,FALSE())),1,0))  )</f>
        <v>0</v>
      </c>
      <c r="BB441" s="76" t="n">
        <f aca="false">IF(ISERROR(VLOOKUP($P441,Member_Tab,4,FALSE())),0,(VLOOKUP($P441,Member_Tab,4,FALSE()) * 0.2 * BB$7) * (IF(AND(BB$5 &gt;= VLOOKUP($P441,Member_Tab,6,FALSE()), BB$5 &lt;= VLOOKUP($P441,Member_Tab,7,FALSE())),1,0))  )</f>
        <v>0</v>
      </c>
    </row>
    <row r="442" s="173" customFormat="true" ht="15" hidden="true" customHeight="false" outlineLevel="1" collapsed="false">
      <c r="E442" s="40"/>
      <c r="K442" s="40"/>
      <c r="L442" s="40"/>
      <c r="M442" s="40"/>
      <c r="N442" s="40"/>
      <c r="P442" s="177" t="n">
        <f aca="false">P305</f>
        <v>0</v>
      </c>
      <c r="Q442" s="40"/>
      <c r="R442" s="178"/>
      <c r="S442" s="76" t="n">
        <f aca="false">IF(ISERROR(VLOOKUP($P442,Member_Tab,4,FALSE())),0,(VLOOKUP($P442,Member_Tab,4,FALSE()) * 0.2 * S$7) * (IF(AND(S$5 &gt;= VLOOKUP($P442,Member_Tab,6,FALSE()), S$5 &lt;= VLOOKUP($P442,Member_Tab,7,FALSE())),1,0))  )</f>
        <v>0</v>
      </c>
      <c r="T442" s="76" t="n">
        <f aca="false">IF(ISERROR(VLOOKUP($P442,Member_Tab,4,FALSE())),0,(VLOOKUP($P442,Member_Tab,4,FALSE()) * 0.2 * T$7) * (IF(AND(T$5 &gt;= VLOOKUP($P442,Member_Tab,6,FALSE()), T$5 &lt;= VLOOKUP($P442,Member_Tab,7,FALSE())),1,0))  )</f>
        <v>0</v>
      </c>
      <c r="U442" s="76" t="n">
        <f aca="false">IF(ISERROR(VLOOKUP($P442,Member_Tab,4,FALSE())),0,(VLOOKUP($P442,Member_Tab,4,FALSE()) * 0.2 * U$7) * (IF(AND(U$5 &gt;= VLOOKUP($P442,Member_Tab,6,FALSE()), U$5 &lt;= VLOOKUP($P442,Member_Tab,7,FALSE())),1,0))  )</f>
        <v>0</v>
      </c>
      <c r="V442" s="76" t="n">
        <f aca="false">IF(ISERROR(VLOOKUP($P442,Member_Tab,4,FALSE())),0,(VLOOKUP($P442,Member_Tab,4,FALSE()) * 0.2 * V$7) * (IF(AND(V$5 &gt;= VLOOKUP($P442,Member_Tab,6,FALSE()), V$5 &lt;= VLOOKUP($P442,Member_Tab,7,FALSE())),1,0))  )</f>
        <v>0</v>
      </c>
      <c r="W442" s="76" t="n">
        <f aca="false">IF(ISERROR(VLOOKUP($P442,Member_Tab,4,FALSE())),0,(VLOOKUP($P442,Member_Tab,4,FALSE()) * 0.2 * W$7) * (IF(AND(W$5 &gt;= VLOOKUP($P442,Member_Tab,6,FALSE()), W$5 &lt;= VLOOKUP($P442,Member_Tab,7,FALSE())),1,0))  )</f>
        <v>0</v>
      </c>
      <c r="X442" s="76" t="n">
        <f aca="false">IF(ISERROR(VLOOKUP($P442,Member_Tab,4,FALSE())),0,(VLOOKUP($P442,Member_Tab,4,FALSE()) * 0.2 * X$7) * (IF(AND(X$5 &gt;= VLOOKUP($P442,Member_Tab,6,FALSE()), X$5 &lt;= VLOOKUP($P442,Member_Tab,7,FALSE())),1,0))  )</f>
        <v>0</v>
      </c>
      <c r="Y442" s="76" t="n">
        <f aca="false">IF(ISERROR(VLOOKUP($P442,Member_Tab,4,FALSE())),0,(VLOOKUP($P442,Member_Tab,4,FALSE()) * 0.2 * Y$7) * (IF(AND(Y$5 &gt;= VLOOKUP($P442,Member_Tab,6,FALSE()), Y$5 &lt;= VLOOKUP($P442,Member_Tab,7,FALSE())),1,0))  )</f>
        <v>0</v>
      </c>
      <c r="Z442" s="76" t="n">
        <f aca="false">IF(ISERROR(VLOOKUP($P442,Member_Tab,4,FALSE())),0,(VLOOKUP($P442,Member_Tab,4,FALSE()) * 0.2 * Z$7) * (IF(AND(Z$5 &gt;= VLOOKUP($P442,Member_Tab,6,FALSE()), Z$5 &lt;= VLOOKUP($P442,Member_Tab,7,FALSE())),1,0))  )</f>
        <v>0</v>
      </c>
      <c r="AA442" s="76" t="n">
        <f aca="false">IF(ISERROR(VLOOKUP($P442,Member_Tab,4,FALSE())),0,(VLOOKUP($P442,Member_Tab,4,FALSE()) * 0.2 * AA$7) * (IF(AND(AA$5 &gt;= VLOOKUP($P442,Member_Tab,6,FALSE()), AA$5 &lt;= VLOOKUP($P442,Member_Tab,7,FALSE())),1,0))  )</f>
        <v>0</v>
      </c>
      <c r="AB442" s="76" t="n">
        <f aca="false">IF(ISERROR(VLOOKUP($P442,Member_Tab,4,FALSE())),0,(VLOOKUP($P442,Member_Tab,4,FALSE()) * 0.2 * AB$7) * (IF(AND(AB$5 &gt;= VLOOKUP($P442,Member_Tab,6,FALSE()), AB$5 &lt;= VLOOKUP($P442,Member_Tab,7,FALSE())),1,0))  )</f>
        <v>0</v>
      </c>
      <c r="AC442" s="76" t="n">
        <f aca="false">IF(ISERROR(VLOOKUP($P442,Member_Tab,4,FALSE())),0,(VLOOKUP($P442,Member_Tab,4,FALSE()) * 0.2 * AC$7) * (IF(AND(AC$5 &gt;= VLOOKUP($P442,Member_Tab,6,FALSE()), AC$5 &lt;= VLOOKUP($P442,Member_Tab,7,FALSE())),1,0))  )</f>
        <v>0</v>
      </c>
      <c r="AD442" s="76" t="n">
        <f aca="false">IF(ISERROR(VLOOKUP($P442,Member_Tab,4,FALSE())),0,(VLOOKUP($P442,Member_Tab,4,FALSE()) * 0.2 * AD$7) * (IF(AND(AD$5 &gt;= VLOOKUP($P442,Member_Tab,6,FALSE()), AD$5 &lt;= VLOOKUP($P442,Member_Tab,7,FALSE())),1,0))  )</f>
        <v>0</v>
      </c>
      <c r="AE442" s="76" t="n">
        <f aca="false">IF(ISERROR(VLOOKUP($P442,Member_Tab,4,FALSE())),0,(VLOOKUP($P442,Member_Tab,4,FALSE()) * 0.2 * AE$7) * (IF(AND(AE$5 &gt;= VLOOKUP($P442,Member_Tab,6,FALSE()), AE$5 &lt;= VLOOKUP($P442,Member_Tab,7,FALSE())),1,0))  )</f>
        <v>0</v>
      </c>
      <c r="AF442" s="76" t="n">
        <f aca="false">IF(ISERROR(VLOOKUP($P442,Member_Tab,4,FALSE())),0,(VLOOKUP($P442,Member_Tab,4,FALSE()) * 0.2 * AF$7) * (IF(AND(AF$5 &gt;= VLOOKUP($P442,Member_Tab,6,FALSE()), AF$5 &lt;= VLOOKUP($P442,Member_Tab,7,FALSE())),1,0))  )</f>
        <v>0</v>
      </c>
      <c r="AG442" s="76" t="n">
        <f aca="false">IF(ISERROR(VLOOKUP($P442,Member_Tab,4,FALSE())),0,(VLOOKUP($P442,Member_Tab,4,FALSE()) * 0.2 * AG$7) * (IF(AND(AG$5 &gt;= VLOOKUP($P442,Member_Tab,6,FALSE()), AG$5 &lt;= VLOOKUP($P442,Member_Tab,7,FALSE())),1,0))  )</f>
        <v>0</v>
      </c>
      <c r="AH442" s="76" t="n">
        <f aca="false">IF(ISERROR(VLOOKUP($P442,Member_Tab,4,FALSE())),0,(VLOOKUP($P442,Member_Tab,4,FALSE()) * 0.2 * AH$7) * (IF(AND(AH$5 &gt;= VLOOKUP($P442,Member_Tab,6,FALSE()), AH$5 &lt;= VLOOKUP($P442,Member_Tab,7,FALSE())),1,0))  )</f>
        <v>0</v>
      </c>
      <c r="AI442" s="76" t="n">
        <f aca="false">IF(ISERROR(VLOOKUP($P442,Member_Tab,4,FALSE())),0,(VLOOKUP($P442,Member_Tab,4,FALSE()) * 0.2 * AI$7) * (IF(AND(AI$5 &gt;= VLOOKUP($P442,Member_Tab,6,FALSE()), AI$5 &lt;= VLOOKUP($P442,Member_Tab,7,FALSE())),1,0))  )</f>
        <v>0</v>
      </c>
      <c r="AJ442" s="76" t="n">
        <f aca="false">IF(ISERROR(VLOOKUP($P442,Member_Tab,4,FALSE())),0,(VLOOKUP($P442,Member_Tab,4,FALSE()) * 0.2 * AJ$7) * (IF(AND(AJ$5 &gt;= VLOOKUP($P442,Member_Tab,6,FALSE()), AJ$5 &lt;= VLOOKUP($P442,Member_Tab,7,FALSE())),1,0))  )</f>
        <v>0</v>
      </c>
      <c r="AK442" s="76" t="n">
        <f aca="false">IF(ISERROR(VLOOKUP($P442,Member_Tab,4,FALSE())),0,(VLOOKUP($P442,Member_Tab,4,FALSE()) * 0.2 * AK$7) * (IF(AND(AK$5 &gt;= VLOOKUP($P442,Member_Tab,6,FALSE()), AK$5 &lt;= VLOOKUP($P442,Member_Tab,7,FALSE())),1,0))  )</f>
        <v>0</v>
      </c>
      <c r="AL442" s="76" t="n">
        <f aca="false">IF(ISERROR(VLOOKUP($P442,Member_Tab,4,FALSE())),0,(VLOOKUP($P442,Member_Tab,4,FALSE()) * 0.2 * AL$7) * (IF(AND(AL$5 &gt;= VLOOKUP($P442,Member_Tab,6,FALSE()), AL$5 &lt;= VLOOKUP($P442,Member_Tab,7,FALSE())),1,0))  )</f>
        <v>0</v>
      </c>
      <c r="AM442" s="76" t="n">
        <f aca="false">IF(ISERROR(VLOOKUP($P442,Member_Tab,4,FALSE())),0,(VLOOKUP($P442,Member_Tab,4,FALSE()) * 0.2 * AM$7) * (IF(AND(AM$5 &gt;= VLOOKUP($P442,Member_Tab,6,FALSE()), AM$5 &lt;= VLOOKUP($P442,Member_Tab,7,FALSE())),1,0))  )</f>
        <v>0</v>
      </c>
      <c r="AN442" s="76" t="n">
        <f aca="false">IF(ISERROR(VLOOKUP($P442,Member_Tab,4,FALSE())),0,(VLOOKUP($P442,Member_Tab,4,FALSE()) * 0.2 * AN$7) * (IF(AND(AN$5 &gt;= VLOOKUP($P442,Member_Tab,6,FALSE()), AN$5 &lt;= VLOOKUP($P442,Member_Tab,7,FALSE())),1,0))  )</f>
        <v>0</v>
      </c>
      <c r="AO442" s="76" t="n">
        <f aca="false">IF(ISERROR(VLOOKUP($P442,Member_Tab,4,FALSE())),0,(VLOOKUP($P442,Member_Tab,4,FALSE()) * 0.2 * AO$7) * (IF(AND(AO$5 &gt;= VLOOKUP($P442,Member_Tab,6,FALSE()), AO$5 &lt;= VLOOKUP($P442,Member_Tab,7,FALSE())),1,0))  )</f>
        <v>0</v>
      </c>
      <c r="AP442" s="76" t="n">
        <f aca="false">IF(ISERROR(VLOOKUP($P442,Member_Tab,4,FALSE())),0,(VLOOKUP($P442,Member_Tab,4,FALSE()) * 0.2 * AP$7) * (IF(AND(AP$5 &gt;= VLOOKUP($P442,Member_Tab,6,FALSE()), AP$5 &lt;= VLOOKUP($P442,Member_Tab,7,FALSE())),1,0))  )</f>
        <v>0</v>
      </c>
      <c r="AQ442" s="76" t="n">
        <f aca="false">IF(ISERROR(VLOOKUP($P442,Member_Tab,4,FALSE())),0,(VLOOKUP($P442,Member_Tab,4,FALSE()) * 0.2 * AQ$7) * (IF(AND(AQ$5 &gt;= VLOOKUP($P442,Member_Tab,6,FALSE()), AQ$5 &lt;= VLOOKUP($P442,Member_Tab,7,FALSE())),1,0))  )</f>
        <v>0</v>
      </c>
      <c r="AR442" s="76" t="n">
        <f aca="false">IF(ISERROR(VLOOKUP($P442,Member_Tab,4,FALSE())),0,(VLOOKUP($P442,Member_Tab,4,FALSE()) * 0.2 * AR$7) * (IF(AND(AR$5 &gt;= VLOOKUP($P442,Member_Tab,6,FALSE()), AR$5 &lt;= VLOOKUP($P442,Member_Tab,7,FALSE())),1,0))  )</f>
        <v>0</v>
      </c>
      <c r="AS442" s="76" t="n">
        <f aca="false">IF(ISERROR(VLOOKUP($P442,Member_Tab,4,FALSE())),0,(VLOOKUP($P442,Member_Tab,4,FALSE()) * 0.2 * AS$7) * (IF(AND(AS$5 &gt;= VLOOKUP($P442,Member_Tab,6,FALSE()), AS$5 &lt;= VLOOKUP($P442,Member_Tab,7,FALSE())),1,0))  )</f>
        <v>0</v>
      </c>
      <c r="AT442" s="76" t="n">
        <f aca="false">IF(ISERROR(VLOOKUP($P442,Member_Tab,4,FALSE())),0,(VLOOKUP($P442,Member_Tab,4,FALSE()) * 0.2 * AT$7) * (IF(AND(AT$5 &gt;= VLOOKUP($P442,Member_Tab,6,FALSE()), AT$5 &lt;= VLOOKUP($P442,Member_Tab,7,FALSE())),1,0))  )</f>
        <v>0</v>
      </c>
      <c r="AU442" s="76" t="n">
        <f aca="false">IF(ISERROR(VLOOKUP($P442,Member_Tab,4,FALSE())),0,(VLOOKUP($P442,Member_Tab,4,FALSE()) * 0.2 * AU$7) * (IF(AND(AU$5 &gt;= VLOOKUP($P442,Member_Tab,6,FALSE()), AU$5 &lt;= VLOOKUP($P442,Member_Tab,7,FALSE())),1,0))  )</f>
        <v>0</v>
      </c>
      <c r="AV442" s="76" t="n">
        <f aca="false">IF(ISERROR(VLOOKUP($P442,Member_Tab,4,FALSE())),0,(VLOOKUP($P442,Member_Tab,4,FALSE()) * 0.2 * AV$7) * (IF(AND(AV$5 &gt;= VLOOKUP($P442,Member_Tab,6,FALSE()), AV$5 &lt;= VLOOKUP($P442,Member_Tab,7,FALSE())),1,0))  )</f>
        <v>0</v>
      </c>
      <c r="AW442" s="76" t="n">
        <f aca="false">IF(ISERROR(VLOOKUP($P442,Member_Tab,4,FALSE())),0,(VLOOKUP($P442,Member_Tab,4,FALSE()) * 0.2 * AW$7) * (IF(AND(AW$5 &gt;= VLOOKUP($P442,Member_Tab,6,FALSE()), AW$5 &lt;= VLOOKUP($P442,Member_Tab,7,FALSE())),1,0))  )</f>
        <v>0</v>
      </c>
      <c r="AX442" s="76" t="n">
        <f aca="false">IF(ISERROR(VLOOKUP($P442,Member_Tab,4,FALSE())),0,(VLOOKUP($P442,Member_Tab,4,FALSE()) * 0.2 * AX$7) * (IF(AND(AX$5 &gt;= VLOOKUP($P442,Member_Tab,6,FALSE()), AX$5 &lt;= VLOOKUP($P442,Member_Tab,7,FALSE())),1,0))  )</f>
        <v>0</v>
      </c>
      <c r="AY442" s="76" t="n">
        <f aca="false">IF(ISERROR(VLOOKUP($P442,Member_Tab,4,FALSE())),0,(VLOOKUP($P442,Member_Tab,4,FALSE()) * 0.2 * AY$7) * (IF(AND(AY$5 &gt;= VLOOKUP($P442,Member_Tab,6,FALSE()), AY$5 &lt;= VLOOKUP($P442,Member_Tab,7,FALSE())),1,0))  )</f>
        <v>0</v>
      </c>
      <c r="AZ442" s="76" t="n">
        <f aca="false">IF(ISERROR(VLOOKUP($P442,Member_Tab,4,FALSE())),0,(VLOOKUP($P442,Member_Tab,4,FALSE()) * 0.2 * AZ$7) * (IF(AND(AZ$5 &gt;= VLOOKUP($P442,Member_Tab,6,FALSE()), AZ$5 &lt;= VLOOKUP($P442,Member_Tab,7,FALSE())),1,0))  )</f>
        <v>0</v>
      </c>
      <c r="BA442" s="76" t="n">
        <f aca="false">IF(ISERROR(VLOOKUP($P442,Member_Tab,4,FALSE())),0,(VLOOKUP($P442,Member_Tab,4,FALSE()) * 0.2 * BA$7) * (IF(AND(BA$5 &gt;= VLOOKUP($P442,Member_Tab,6,FALSE()), BA$5 &lt;= VLOOKUP($P442,Member_Tab,7,FALSE())),1,0))  )</f>
        <v>0</v>
      </c>
      <c r="BB442" s="76" t="n">
        <f aca="false">IF(ISERROR(VLOOKUP($P442,Member_Tab,4,FALSE())),0,(VLOOKUP($P442,Member_Tab,4,FALSE()) * 0.2 * BB$7) * (IF(AND(BB$5 &gt;= VLOOKUP($P442,Member_Tab,6,FALSE()), BB$5 &lt;= VLOOKUP($P442,Member_Tab,7,FALSE())),1,0))  )</f>
        <v>0</v>
      </c>
    </row>
    <row r="443" s="173" customFormat="true" ht="15" hidden="true" customHeight="false" outlineLevel="1" collapsed="false">
      <c r="E443" s="40"/>
      <c r="K443" s="40"/>
      <c r="L443" s="40"/>
      <c r="M443" s="40"/>
      <c r="N443" s="40"/>
      <c r="P443" s="177" t="n">
        <f aca="false">P306</f>
        <v>0</v>
      </c>
      <c r="Q443" s="40"/>
      <c r="R443" s="178"/>
      <c r="S443" s="76" t="n">
        <f aca="false">IF(ISERROR(VLOOKUP($P443,Member_Tab,4,FALSE())),0,(VLOOKUP($P443,Member_Tab,4,FALSE()) * 0.2 * S$7) * (IF(AND(S$5 &gt;= VLOOKUP($P443,Member_Tab,6,FALSE()), S$5 &lt;= VLOOKUP($P443,Member_Tab,7,FALSE())),1,0))  )</f>
        <v>0</v>
      </c>
      <c r="T443" s="76" t="n">
        <f aca="false">IF(ISERROR(VLOOKUP($P443,Member_Tab,4,FALSE())),0,(VLOOKUP($P443,Member_Tab,4,FALSE()) * 0.2 * T$7) * (IF(AND(T$5 &gt;= VLOOKUP($P443,Member_Tab,6,FALSE()), T$5 &lt;= VLOOKUP($P443,Member_Tab,7,FALSE())),1,0))  )</f>
        <v>0</v>
      </c>
      <c r="U443" s="76" t="n">
        <f aca="false">IF(ISERROR(VLOOKUP($P443,Member_Tab,4,FALSE())),0,(VLOOKUP($P443,Member_Tab,4,FALSE()) * 0.2 * U$7) * (IF(AND(U$5 &gt;= VLOOKUP($P443,Member_Tab,6,FALSE()), U$5 &lt;= VLOOKUP($P443,Member_Tab,7,FALSE())),1,0))  )</f>
        <v>0</v>
      </c>
      <c r="V443" s="76" t="n">
        <f aca="false">IF(ISERROR(VLOOKUP($P443,Member_Tab,4,FALSE())),0,(VLOOKUP($P443,Member_Tab,4,FALSE()) * 0.2 * V$7) * (IF(AND(V$5 &gt;= VLOOKUP($P443,Member_Tab,6,FALSE()), V$5 &lt;= VLOOKUP($P443,Member_Tab,7,FALSE())),1,0))  )</f>
        <v>0</v>
      </c>
      <c r="W443" s="76" t="n">
        <f aca="false">IF(ISERROR(VLOOKUP($P443,Member_Tab,4,FALSE())),0,(VLOOKUP($P443,Member_Tab,4,FALSE()) * 0.2 * W$7) * (IF(AND(W$5 &gt;= VLOOKUP($P443,Member_Tab,6,FALSE()), W$5 &lt;= VLOOKUP($P443,Member_Tab,7,FALSE())),1,0))  )</f>
        <v>0</v>
      </c>
      <c r="X443" s="76" t="n">
        <f aca="false">IF(ISERROR(VLOOKUP($P443,Member_Tab,4,FALSE())),0,(VLOOKUP($P443,Member_Tab,4,FALSE()) * 0.2 * X$7) * (IF(AND(X$5 &gt;= VLOOKUP($P443,Member_Tab,6,FALSE()), X$5 &lt;= VLOOKUP($P443,Member_Tab,7,FALSE())),1,0))  )</f>
        <v>0</v>
      </c>
      <c r="Y443" s="76" t="n">
        <f aca="false">IF(ISERROR(VLOOKUP($P443,Member_Tab,4,FALSE())),0,(VLOOKUP($P443,Member_Tab,4,FALSE()) * 0.2 * Y$7) * (IF(AND(Y$5 &gt;= VLOOKUP($P443,Member_Tab,6,FALSE()), Y$5 &lt;= VLOOKUP($P443,Member_Tab,7,FALSE())),1,0))  )</f>
        <v>0</v>
      </c>
      <c r="Z443" s="76" t="n">
        <f aca="false">IF(ISERROR(VLOOKUP($P443,Member_Tab,4,FALSE())),0,(VLOOKUP($P443,Member_Tab,4,FALSE()) * 0.2 * Z$7) * (IF(AND(Z$5 &gt;= VLOOKUP($P443,Member_Tab,6,FALSE()), Z$5 &lt;= VLOOKUP($P443,Member_Tab,7,FALSE())),1,0))  )</f>
        <v>0</v>
      </c>
      <c r="AA443" s="76" t="n">
        <f aca="false">IF(ISERROR(VLOOKUP($P443,Member_Tab,4,FALSE())),0,(VLOOKUP($P443,Member_Tab,4,FALSE()) * 0.2 * AA$7) * (IF(AND(AA$5 &gt;= VLOOKUP($P443,Member_Tab,6,FALSE()), AA$5 &lt;= VLOOKUP($P443,Member_Tab,7,FALSE())),1,0))  )</f>
        <v>0</v>
      </c>
      <c r="AB443" s="76" t="n">
        <f aca="false">IF(ISERROR(VLOOKUP($P443,Member_Tab,4,FALSE())),0,(VLOOKUP($P443,Member_Tab,4,FALSE()) * 0.2 * AB$7) * (IF(AND(AB$5 &gt;= VLOOKUP($P443,Member_Tab,6,FALSE()), AB$5 &lt;= VLOOKUP($P443,Member_Tab,7,FALSE())),1,0))  )</f>
        <v>0</v>
      </c>
      <c r="AC443" s="76" t="n">
        <f aca="false">IF(ISERROR(VLOOKUP($P443,Member_Tab,4,FALSE())),0,(VLOOKUP($P443,Member_Tab,4,FALSE()) * 0.2 * AC$7) * (IF(AND(AC$5 &gt;= VLOOKUP($P443,Member_Tab,6,FALSE()), AC$5 &lt;= VLOOKUP($P443,Member_Tab,7,FALSE())),1,0))  )</f>
        <v>0</v>
      </c>
      <c r="AD443" s="76" t="n">
        <f aca="false">IF(ISERROR(VLOOKUP($P443,Member_Tab,4,FALSE())),0,(VLOOKUP($P443,Member_Tab,4,FALSE()) * 0.2 * AD$7) * (IF(AND(AD$5 &gt;= VLOOKUP($P443,Member_Tab,6,FALSE()), AD$5 &lt;= VLOOKUP($P443,Member_Tab,7,FALSE())),1,0))  )</f>
        <v>0</v>
      </c>
      <c r="AE443" s="76" t="n">
        <f aca="false">IF(ISERROR(VLOOKUP($P443,Member_Tab,4,FALSE())),0,(VLOOKUP($P443,Member_Tab,4,FALSE()) * 0.2 * AE$7) * (IF(AND(AE$5 &gt;= VLOOKUP($P443,Member_Tab,6,FALSE()), AE$5 &lt;= VLOOKUP($P443,Member_Tab,7,FALSE())),1,0))  )</f>
        <v>0</v>
      </c>
      <c r="AF443" s="76" t="n">
        <f aca="false">IF(ISERROR(VLOOKUP($P443,Member_Tab,4,FALSE())),0,(VLOOKUP($P443,Member_Tab,4,FALSE()) * 0.2 * AF$7) * (IF(AND(AF$5 &gt;= VLOOKUP($P443,Member_Tab,6,FALSE()), AF$5 &lt;= VLOOKUP($P443,Member_Tab,7,FALSE())),1,0))  )</f>
        <v>0</v>
      </c>
      <c r="AG443" s="76" t="n">
        <f aca="false">IF(ISERROR(VLOOKUP($P443,Member_Tab,4,FALSE())),0,(VLOOKUP($P443,Member_Tab,4,FALSE()) * 0.2 * AG$7) * (IF(AND(AG$5 &gt;= VLOOKUP($P443,Member_Tab,6,FALSE()), AG$5 &lt;= VLOOKUP($P443,Member_Tab,7,FALSE())),1,0))  )</f>
        <v>0</v>
      </c>
      <c r="AH443" s="76" t="n">
        <f aca="false">IF(ISERROR(VLOOKUP($P443,Member_Tab,4,FALSE())),0,(VLOOKUP($P443,Member_Tab,4,FALSE()) * 0.2 * AH$7) * (IF(AND(AH$5 &gt;= VLOOKUP($P443,Member_Tab,6,FALSE()), AH$5 &lt;= VLOOKUP($P443,Member_Tab,7,FALSE())),1,0))  )</f>
        <v>0</v>
      </c>
      <c r="AI443" s="76" t="n">
        <f aca="false">IF(ISERROR(VLOOKUP($P443,Member_Tab,4,FALSE())),0,(VLOOKUP($P443,Member_Tab,4,FALSE()) * 0.2 * AI$7) * (IF(AND(AI$5 &gt;= VLOOKUP($P443,Member_Tab,6,FALSE()), AI$5 &lt;= VLOOKUP($P443,Member_Tab,7,FALSE())),1,0))  )</f>
        <v>0</v>
      </c>
      <c r="AJ443" s="76" t="n">
        <f aca="false">IF(ISERROR(VLOOKUP($P443,Member_Tab,4,FALSE())),0,(VLOOKUP($P443,Member_Tab,4,FALSE()) * 0.2 * AJ$7) * (IF(AND(AJ$5 &gt;= VLOOKUP($P443,Member_Tab,6,FALSE()), AJ$5 &lt;= VLOOKUP($P443,Member_Tab,7,FALSE())),1,0))  )</f>
        <v>0</v>
      </c>
      <c r="AK443" s="76" t="n">
        <f aca="false">IF(ISERROR(VLOOKUP($P443,Member_Tab,4,FALSE())),0,(VLOOKUP($P443,Member_Tab,4,FALSE()) * 0.2 * AK$7) * (IF(AND(AK$5 &gt;= VLOOKUP($P443,Member_Tab,6,FALSE()), AK$5 &lt;= VLOOKUP($P443,Member_Tab,7,FALSE())),1,0))  )</f>
        <v>0</v>
      </c>
      <c r="AL443" s="76" t="n">
        <f aca="false">IF(ISERROR(VLOOKUP($P443,Member_Tab,4,FALSE())),0,(VLOOKUP($P443,Member_Tab,4,FALSE()) * 0.2 * AL$7) * (IF(AND(AL$5 &gt;= VLOOKUP($P443,Member_Tab,6,FALSE()), AL$5 &lt;= VLOOKUP($P443,Member_Tab,7,FALSE())),1,0))  )</f>
        <v>0</v>
      </c>
      <c r="AM443" s="76" t="n">
        <f aca="false">IF(ISERROR(VLOOKUP($P443,Member_Tab,4,FALSE())),0,(VLOOKUP($P443,Member_Tab,4,FALSE()) * 0.2 * AM$7) * (IF(AND(AM$5 &gt;= VLOOKUP($P443,Member_Tab,6,FALSE()), AM$5 &lt;= VLOOKUP($P443,Member_Tab,7,FALSE())),1,0))  )</f>
        <v>0</v>
      </c>
      <c r="AN443" s="76" t="n">
        <f aca="false">IF(ISERROR(VLOOKUP($P443,Member_Tab,4,FALSE())),0,(VLOOKUP($P443,Member_Tab,4,FALSE()) * 0.2 * AN$7) * (IF(AND(AN$5 &gt;= VLOOKUP($P443,Member_Tab,6,FALSE()), AN$5 &lt;= VLOOKUP($P443,Member_Tab,7,FALSE())),1,0))  )</f>
        <v>0</v>
      </c>
      <c r="AO443" s="76" t="n">
        <f aca="false">IF(ISERROR(VLOOKUP($P443,Member_Tab,4,FALSE())),0,(VLOOKUP($P443,Member_Tab,4,FALSE()) * 0.2 * AO$7) * (IF(AND(AO$5 &gt;= VLOOKUP($P443,Member_Tab,6,FALSE()), AO$5 &lt;= VLOOKUP($P443,Member_Tab,7,FALSE())),1,0))  )</f>
        <v>0</v>
      </c>
      <c r="AP443" s="76" t="n">
        <f aca="false">IF(ISERROR(VLOOKUP($P443,Member_Tab,4,FALSE())),0,(VLOOKUP($P443,Member_Tab,4,FALSE()) * 0.2 * AP$7) * (IF(AND(AP$5 &gt;= VLOOKUP($P443,Member_Tab,6,FALSE()), AP$5 &lt;= VLOOKUP($P443,Member_Tab,7,FALSE())),1,0))  )</f>
        <v>0</v>
      </c>
      <c r="AQ443" s="76" t="n">
        <f aca="false">IF(ISERROR(VLOOKUP($P443,Member_Tab,4,FALSE())),0,(VLOOKUP($P443,Member_Tab,4,FALSE()) * 0.2 * AQ$7) * (IF(AND(AQ$5 &gt;= VLOOKUP($P443,Member_Tab,6,FALSE()), AQ$5 &lt;= VLOOKUP($P443,Member_Tab,7,FALSE())),1,0))  )</f>
        <v>0</v>
      </c>
      <c r="AR443" s="76" t="n">
        <f aca="false">IF(ISERROR(VLOOKUP($P443,Member_Tab,4,FALSE())),0,(VLOOKUP($P443,Member_Tab,4,FALSE()) * 0.2 * AR$7) * (IF(AND(AR$5 &gt;= VLOOKUP($P443,Member_Tab,6,FALSE()), AR$5 &lt;= VLOOKUP($P443,Member_Tab,7,FALSE())),1,0))  )</f>
        <v>0</v>
      </c>
      <c r="AS443" s="76" t="n">
        <f aca="false">IF(ISERROR(VLOOKUP($P443,Member_Tab,4,FALSE())),0,(VLOOKUP($P443,Member_Tab,4,FALSE()) * 0.2 * AS$7) * (IF(AND(AS$5 &gt;= VLOOKUP($P443,Member_Tab,6,FALSE()), AS$5 &lt;= VLOOKUP($P443,Member_Tab,7,FALSE())),1,0))  )</f>
        <v>0</v>
      </c>
      <c r="AT443" s="76" t="n">
        <f aca="false">IF(ISERROR(VLOOKUP($P443,Member_Tab,4,FALSE())),0,(VLOOKUP($P443,Member_Tab,4,FALSE()) * 0.2 * AT$7) * (IF(AND(AT$5 &gt;= VLOOKUP($P443,Member_Tab,6,FALSE()), AT$5 &lt;= VLOOKUP($P443,Member_Tab,7,FALSE())),1,0))  )</f>
        <v>0</v>
      </c>
      <c r="AU443" s="76" t="n">
        <f aca="false">IF(ISERROR(VLOOKUP($P443,Member_Tab,4,FALSE())),0,(VLOOKUP($P443,Member_Tab,4,FALSE()) * 0.2 * AU$7) * (IF(AND(AU$5 &gt;= VLOOKUP($P443,Member_Tab,6,FALSE()), AU$5 &lt;= VLOOKUP($P443,Member_Tab,7,FALSE())),1,0))  )</f>
        <v>0</v>
      </c>
      <c r="AV443" s="76" t="n">
        <f aca="false">IF(ISERROR(VLOOKUP($P443,Member_Tab,4,FALSE())),0,(VLOOKUP($P443,Member_Tab,4,FALSE()) * 0.2 * AV$7) * (IF(AND(AV$5 &gt;= VLOOKUP($P443,Member_Tab,6,FALSE()), AV$5 &lt;= VLOOKUP($P443,Member_Tab,7,FALSE())),1,0))  )</f>
        <v>0</v>
      </c>
      <c r="AW443" s="76" t="n">
        <f aca="false">IF(ISERROR(VLOOKUP($P443,Member_Tab,4,FALSE())),0,(VLOOKUP($P443,Member_Tab,4,FALSE()) * 0.2 * AW$7) * (IF(AND(AW$5 &gt;= VLOOKUP($P443,Member_Tab,6,FALSE()), AW$5 &lt;= VLOOKUP($P443,Member_Tab,7,FALSE())),1,0))  )</f>
        <v>0</v>
      </c>
      <c r="AX443" s="76" t="n">
        <f aca="false">IF(ISERROR(VLOOKUP($P443,Member_Tab,4,FALSE())),0,(VLOOKUP($P443,Member_Tab,4,FALSE()) * 0.2 * AX$7) * (IF(AND(AX$5 &gt;= VLOOKUP($P443,Member_Tab,6,FALSE()), AX$5 &lt;= VLOOKUP($P443,Member_Tab,7,FALSE())),1,0))  )</f>
        <v>0</v>
      </c>
      <c r="AY443" s="76" t="n">
        <f aca="false">IF(ISERROR(VLOOKUP($P443,Member_Tab,4,FALSE())),0,(VLOOKUP($P443,Member_Tab,4,FALSE()) * 0.2 * AY$7) * (IF(AND(AY$5 &gt;= VLOOKUP($P443,Member_Tab,6,FALSE()), AY$5 &lt;= VLOOKUP($P443,Member_Tab,7,FALSE())),1,0))  )</f>
        <v>0</v>
      </c>
      <c r="AZ443" s="76" t="n">
        <f aca="false">IF(ISERROR(VLOOKUP($P443,Member_Tab,4,FALSE())),0,(VLOOKUP($P443,Member_Tab,4,FALSE()) * 0.2 * AZ$7) * (IF(AND(AZ$5 &gt;= VLOOKUP($P443,Member_Tab,6,FALSE()), AZ$5 &lt;= VLOOKUP($P443,Member_Tab,7,FALSE())),1,0))  )</f>
        <v>0</v>
      </c>
      <c r="BA443" s="76" t="n">
        <f aca="false">IF(ISERROR(VLOOKUP($P443,Member_Tab,4,FALSE())),0,(VLOOKUP($P443,Member_Tab,4,FALSE()) * 0.2 * BA$7) * (IF(AND(BA$5 &gt;= VLOOKUP($P443,Member_Tab,6,FALSE()), BA$5 &lt;= VLOOKUP($P443,Member_Tab,7,FALSE())),1,0))  )</f>
        <v>0</v>
      </c>
      <c r="BB443" s="76" t="n">
        <f aca="false">IF(ISERROR(VLOOKUP($P443,Member_Tab,4,FALSE())),0,(VLOOKUP($P443,Member_Tab,4,FALSE()) * 0.2 * BB$7) * (IF(AND(BB$5 &gt;= VLOOKUP($P443,Member_Tab,6,FALSE()), BB$5 &lt;= VLOOKUP($P443,Member_Tab,7,FALSE())),1,0))  )</f>
        <v>0</v>
      </c>
    </row>
    <row r="444" s="173" customFormat="true" ht="15" hidden="true" customHeight="false" outlineLevel="1" collapsed="false">
      <c r="E444" s="40"/>
      <c r="K444" s="40"/>
      <c r="L444" s="40"/>
      <c r="M444" s="40"/>
      <c r="N444" s="40"/>
      <c r="P444" s="177" t="n">
        <f aca="false">P307</f>
        <v>0</v>
      </c>
      <c r="Q444" s="40"/>
      <c r="R444" s="178"/>
      <c r="S444" s="76" t="n">
        <f aca="false">IF(ISERROR(VLOOKUP($P444,Member_Tab,4,FALSE())),0,(VLOOKUP($P444,Member_Tab,4,FALSE()) * 0.2 * S$7) * (IF(AND(S$5 &gt;= VLOOKUP($P444,Member_Tab,6,FALSE()), S$5 &lt;= VLOOKUP($P444,Member_Tab,7,FALSE())),1,0))  )</f>
        <v>0</v>
      </c>
      <c r="T444" s="76" t="n">
        <f aca="false">IF(ISERROR(VLOOKUP($P444,Member_Tab,4,FALSE())),0,(VLOOKUP($P444,Member_Tab,4,FALSE()) * 0.2 * T$7) * (IF(AND(T$5 &gt;= VLOOKUP($P444,Member_Tab,6,FALSE()), T$5 &lt;= VLOOKUP($P444,Member_Tab,7,FALSE())),1,0))  )</f>
        <v>0</v>
      </c>
      <c r="U444" s="76" t="n">
        <f aca="false">IF(ISERROR(VLOOKUP($P444,Member_Tab,4,FALSE())),0,(VLOOKUP($P444,Member_Tab,4,FALSE()) * 0.2 * U$7) * (IF(AND(U$5 &gt;= VLOOKUP($P444,Member_Tab,6,FALSE()), U$5 &lt;= VLOOKUP($P444,Member_Tab,7,FALSE())),1,0))  )</f>
        <v>0</v>
      </c>
      <c r="V444" s="76" t="n">
        <f aca="false">IF(ISERROR(VLOOKUP($P444,Member_Tab,4,FALSE())),0,(VLOOKUP($P444,Member_Tab,4,FALSE()) * 0.2 * V$7) * (IF(AND(V$5 &gt;= VLOOKUP($P444,Member_Tab,6,FALSE()), V$5 &lt;= VLOOKUP($P444,Member_Tab,7,FALSE())),1,0))  )</f>
        <v>0</v>
      </c>
      <c r="W444" s="76" t="n">
        <f aca="false">IF(ISERROR(VLOOKUP($P444,Member_Tab,4,FALSE())),0,(VLOOKUP($P444,Member_Tab,4,FALSE()) * 0.2 * W$7) * (IF(AND(W$5 &gt;= VLOOKUP($P444,Member_Tab,6,FALSE()), W$5 &lt;= VLOOKUP($P444,Member_Tab,7,FALSE())),1,0))  )</f>
        <v>0</v>
      </c>
      <c r="X444" s="76" t="n">
        <f aca="false">IF(ISERROR(VLOOKUP($P444,Member_Tab,4,FALSE())),0,(VLOOKUP($P444,Member_Tab,4,FALSE()) * 0.2 * X$7) * (IF(AND(X$5 &gt;= VLOOKUP($P444,Member_Tab,6,FALSE()), X$5 &lt;= VLOOKUP($P444,Member_Tab,7,FALSE())),1,0))  )</f>
        <v>0</v>
      </c>
      <c r="Y444" s="76" t="n">
        <f aca="false">IF(ISERROR(VLOOKUP($P444,Member_Tab,4,FALSE())),0,(VLOOKUP($P444,Member_Tab,4,FALSE()) * 0.2 * Y$7) * (IF(AND(Y$5 &gt;= VLOOKUP($P444,Member_Tab,6,FALSE()), Y$5 &lt;= VLOOKUP($P444,Member_Tab,7,FALSE())),1,0))  )</f>
        <v>0</v>
      </c>
      <c r="Z444" s="76" t="n">
        <f aca="false">IF(ISERROR(VLOOKUP($P444,Member_Tab,4,FALSE())),0,(VLOOKUP($P444,Member_Tab,4,FALSE()) * 0.2 * Z$7) * (IF(AND(Z$5 &gt;= VLOOKUP($P444,Member_Tab,6,FALSE()), Z$5 &lt;= VLOOKUP($P444,Member_Tab,7,FALSE())),1,0))  )</f>
        <v>0</v>
      </c>
      <c r="AA444" s="76" t="n">
        <f aca="false">IF(ISERROR(VLOOKUP($P444,Member_Tab,4,FALSE())),0,(VLOOKUP($P444,Member_Tab,4,FALSE()) * 0.2 * AA$7) * (IF(AND(AA$5 &gt;= VLOOKUP($P444,Member_Tab,6,FALSE()), AA$5 &lt;= VLOOKUP($P444,Member_Tab,7,FALSE())),1,0))  )</f>
        <v>0</v>
      </c>
      <c r="AB444" s="76" t="n">
        <f aca="false">IF(ISERROR(VLOOKUP($P444,Member_Tab,4,FALSE())),0,(VLOOKUP($P444,Member_Tab,4,FALSE()) * 0.2 * AB$7) * (IF(AND(AB$5 &gt;= VLOOKUP($P444,Member_Tab,6,FALSE()), AB$5 &lt;= VLOOKUP($P444,Member_Tab,7,FALSE())),1,0))  )</f>
        <v>0</v>
      </c>
      <c r="AC444" s="76" t="n">
        <f aca="false">IF(ISERROR(VLOOKUP($P444,Member_Tab,4,FALSE())),0,(VLOOKUP($P444,Member_Tab,4,FALSE()) * 0.2 * AC$7) * (IF(AND(AC$5 &gt;= VLOOKUP($P444,Member_Tab,6,FALSE()), AC$5 &lt;= VLOOKUP($P444,Member_Tab,7,FALSE())),1,0))  )</f>
        <v>0</v>
      </c>
      <c r="AD444" s="76" t="n">
        <f aca="false">IF(ISERROR(VLOOKUP($P444,Member_Tab,4,FALSE())),0,(VLOOKUP($P444,Member_Tab,4,FALSE()) * 0.2 * AD$7) * (IF(AND(AD$5 &gt;= VLOOKUP($P444,Member_Tab,6,FALSE()), AD$5 &lt;= VLOOKUP($P444,Member_Tab,7,FALSE())),1,0))  )</f>
        <v>0</v>
      </c>
      <c r="AE444" s="76" t="n">
        <f aca="false">IF(ISERROR(VLOOKUP($P444,Member_Tab,4,FALSE())),0,(VLOOKUP($P444,Member_Tab,4,FALSE()) * 0.2 * AE$7) * (IF(AND(AE$5 &gt;= VLOOKUP($P444,Member_Tab,6,FALSE()), AE$5 &lt;= VLOOKUP($P444,Member_Tab,7,FALSE())),1,0))  )</f>
        <v>0</v>
      </c>
      <c r="AF444" s="76" t="n">
        <f aca="false">IF(ISERROR(VLOOKUP($P444,Member_Tab,4,FALSE())),0,(VLOOKUP($P444,Member_Tab,4,FALSE()) * 0.2 * AF$7) * (IF(AND(AF$5 &gt;= VLOOKUP($P444,Member_Tab,6,FALSE()), AF$5 &lt;= VLOOKUP($P444,Member_Tab,7,FALSE())),1,0))  )</f>
        <v>0</v>
      </c>
      <c r="AG444" s="76" t="n">
        <f aca="false">IF(ISERROR(VLOOKUP($P444,Member_Tab,4,FALSE())),0,(VLOOKUP($P444,Member_Tab,4,FALSE()) * 0.2 * AG$7) * (IF(AND(AG$5 &gt;= VLOOKUP($P444,Member_Tab,6,FALSE()), AG$5 &lt;= VLOOKUP($P444,Member_Tab,7,FALSE())),1,0))  )</f>
        <v>0</v>
      </c>
      <c r="AH444" s="76" t="n">
        <f aca="false">IF(ISERROR(VLOOKUP($P444,Member_Tab,4,FALSE())),0,(VLOOKUP($P444,Member_Tab,4,FALSE()) * 0.2 * AH$7) * (IF(AND(AH$5 &gt;= VLOOKUP($P444,Member_Tab,6,FALSE()), AH$5 &lt;= VLOOKUP($P444,Member_Tab,7,FALSE())),1,0))  )</f>
        <v>0</v>
      </c>
      <c r="AI444" s="76" t="n">
        <f aca="false">IF(ISERROR(VLOOKUP($P444,Member_Tab,4,FALSE())),0,(VLOOKUP($P444,Member_Tab,4,FALSE()) * 0.2 * AI$7) * (IF(AND(AI$5 &gt;= VLOOKUP($P444,Member_Tab,6,FALSE()), AI$5 &lt;= VLOOKUP($P444,Member_Tab,7,FALSE())),1,0))  )</f>
        <v>0</v>
      </c>
      <c r="AJ444" s="76" t="n">
        <f aca="false">IF(ISERROR(VLOOKUP($P444,Member_Tab,4,FALSE())),0,(VLOOKUP($P444,Member_Tab,4,FALSE()) * 0.2 * AJ$7) * (IF(AND(AJ$5 &gt;= VLOOKUP($P444,Member_Tab,6,FALSE()), AJ$5 &lt;= VLOOKUP($P444,Member_Tab,7,FALSE())),1,0))  )</f>
        <v>0</v>
      </c>
      <c r="AK444" s="76" t="n">
        <f aca="false">IF(ISERROR(VLOOKUP($P444,Member_Tab,4,FALSE())),0,(VLOOKUP($P444,Member_Tab,4,FALSE()) * 0.2 * AK$7) * (IF(AND(AK$5 &gt;= VLOOKUP($P444,Member_Tab,6,FALSE()), AK$5 &lt;= VLOOKUP($P444,Member_Tab,7,FALSE())),1,0))  )</f>
        <v>0</v>
      </c>
      <c r="AL444" s="76" t="n">
        <f aca="false">IF(ISERROR(VLOOKUP($P444,Member_Tab,4,FALSE())),0,(VLOOKUP($P444,Member_Tab,4,FALSE()) * 0.2 * AL$7) * (IF(AND(AL$5 &gt;= VLOOKUP($P444,Member_Tab,6,FALSE()), AL$5 &lt;= VLOOKUP($P444,Member_Tab,7,FALSE())),1,0))  )</f>
        <v>0</v>
      </c>
      <c r="AM444" s="76" t="n">
        <f aca="false">IF(ISERROR(VLOOKUP($P444,Member_Tab,4,FALSE())),0,(VLOOKUP($P444,Member_Tab,4,FALSE()) * 0.2 * AM$7) * (IF(AND(AM$5 &gt;= VLOOKUP($P444,Member_Tab,6,FALSE()), AM$5 &lt;= VLOOKUP($P444,Member_Tab,7,FALSE())),1,0))  )</f>
        <v>0</v>
      </c>
      <c r="AN444" s="76" t="n">
        <f aca="false">IF(ISERROR(VLOOKUP($P444,Member_Tab,4,FALSE())),0,(VLOOKUP($P444,Member_Tab,4,FALSE()) * 0.2 * AN$7) * (IF(AND(AN$5 &gt;= VLOOKUP($P444,Member_Tab,6,FALSE()), AN$5 &lt;= VLOOKUP($P444,Member_Tab,7,FALSE())),1,0))  )</f>
        <v>0</v>
      </c>
      <c r="AO444" s="76" t="n">
        <f aca="false">IF(ISERROR(VLOOKUP($P444,Member_Tab,4,FALSE())),0,(VLOOKUP($P444,Member_Tab,4,FALSE()) * 0.2 * AO$7) * (IF(AND(AO$5 &gt;= VLOOKUP($P444,Member_Tab,6,FALSE()), AO$5 &lt;= VLOOKUP($P444,Member_Tab,7,FALSE())),1,0))  )</f>
        <v>0</v>
      </c>
      <c r="AP444" s="76" t="n">
        <f aca="false">IF(ISERROR(VLOOKUP($P444,Member_Tab,4,FALSE())),0,(VLOOKUP($P444,Member_Tab,4,FALSE()) * 0.2 * AP$7) * (IF(AND(AP$5 &gt;= VLOOKUP($P444,Member_Tab,6,FALSE()), AP$5 &lt;= VLOOKUP($P444,Member_Tab,7,FALSE())),1,0))  )</f>
        <v>0</v>
      </c>
      <c r="AQ444" s="76" t="n">
        <f aca="false">IF(ISERROR(VLOOKUP($P444,Member_Tab,4,FALSE())),0,(VLOOKUP($P444,Member_Tab,4,FALSE()) * 0.2 * AQ$7) * (IF(AND(AQ$5 &gt;= VLOOKUP($P444,Member_Tab,6,FALSE()), AQ$5 &lt;= VLOOKUP($P444,Member_Tab,7,FALSE())),1,0))  )</f>
        <v>0</v>
      </c>
      <c r="AR444" s="76" t="n">
        <f aca="false">IF(ISERROR(VLOOKUP($P444,Member_Tab,4,FALSE())),0,(VLOOKUP($P444,Member_Tab,4,FALSE()) * 0.2 * AR$7) * (IF(AND(AR$5 &gt;= VLOOKUP($P444,Member_Tab,6,FALSE()), AR$5 &lt;= VLOOKUP($P444,Member_Tab,7,FALSE())),1,0))  )</f>
        <v>0</v>
      </c>
      <c r="AS444" s="76" t="n">
        <f aca="false">IF(ISERROR(VLOOKUP($P444,Member_Tab,4,FALSE())),0,(VLOOKUP($P444,Member_Tab,4,FALSE()) * 0.2 * AS$7) * (IF(AND(AS$5 &gt;= VLOOKUP($P444,Member_Tab,6,FALSE()), AS$5 &lt;= VLOOKUP($P444,Member_Tab,7,FALSE())),1,0))  )</f>
        <v>0</v>
      </c>
      <c r="AT444" s="76" t="n">
        <f aca="false">IF(ISERROR(VLOOKUP($P444,Member_Tab,4,FALSE())),0,(VLOOKUP($P444,Member_Tab,4,FALSE()) * 0.2 * AT$7) * (IF(AND(AT$5 &gt;= VLOOKUP($P444,Member_Tab,6,FALSE()), AT$5 &lt;= VLOOKUP($P444,Member_Tab,7,FALSE())),1,0))  )</f>
        <v>0</v>
      </c>
      <c r="AU444" s="76" t="n">
        <f aca="false">IF(ISERROR(VLOOKUP($P444,Member_Tab,4,FALSE())),0,(VLOOKUP($P444,Member_Tab,4,FALSE()) * 0.2 * AU$7) * (IF(AND(AU$5 &gt;= VLOOKUP($P444,Member_Tab,6,FALSE()), AU$5 &lt;= VLOOKUP($P444,Member_Tab,7,FALSE())),1,0))  )</f>
        <v>0</v>
      </c>
      <c r="AV444" s="76" t="n">
        <f aca="false">IF(ISERROR(VLOOKUP($P444,Member_Tab,4,FALSE())),0,(VLOOKUP($P444,Member_Tab,4,FALSE()) * 0.2 * AV$7) * (IF(AND(AV$5 &gt;= VLOOKUP($P444,Member_Tab,6,FALSE()), AV$5 &lt;= VLOOKUP($P444,Member_Tab,7,FALSE())),1,0))  )</f>
        <v>0</v>
      </c>
      <c r="AW444" s="76" t="n">
        <f aca="false">IF(ISERROR(VLOOKUP($P444,Member_Tab,4,FALSE())),0,(VLOOKUP($P444,Member_Tab,4,FALSE()) * 0.2 * AW$7) * (IF(AND(AW$5 &gt;= VLOOKUP($P444,Member_Tab,6,FALSE()), AW$5 &lt;= VLOOKUP($P444,Member_Tab,7,FALSE())),1,0))  )</f>
        <v>0</v>
      </c>
      <c r="AX444" s="76" t="n">
        <f aca="false">IF(ISERROR(VLOOKUP($P444,Member_Tab,4,FALSE())),0,(VLOOKUP($P444,Member_Tab,4,FALSE()) * 0.2 * AX$7) * (IF(AND(AX$5 &gt;= VLOOKUP($P444,Member_Tab,6,FALSE()), AX$5 &lt;= VLOOKUP($P444,Member_Tab,7,FALSE())),1,0))  )</f>
        <v>0</v>
      </c>
      <c r="AY444" s="76" t="n">
        <f aca="false">IF(ISERROR(VLOOKUP($P444,Member_Tab,4,FALSE())),0,(VLOOKUP($P444,Member_Tab,4,FALSE()) * 0.2 * AY$7) * (IF(AND(AY$5 &gt;= VLOOKUP($P444,Member_Tab,6,FALSE()), AY$5 &lt;= VLOOKUP($P444,Member_Tab,7,FALSE())),1,0))  )</f>
        <v>0</v>
      </c>
      <c r="AZ444" s="76" t="n">
        <f aca="false">IF(ISERROR(VLOOKUP($P444,Member_Tab,4,FALSE())),0,(VLOOKUP($P444,Member_Tab,4,FALSE()) * 0.2 * AZ$7) * (IF(AND(AZ$5 &gt;= VLOOKUP($P444,Member_Tab,6,FALSE()), AZ$5 &lt;= VLOOKUP($P444,Member_Tab,7,FALSE())),1,0))  )</f>
        <v>0</v>
      </c>
      <c r="BA444" s="76" t="n">
        <f aca="false">IF(ISERROR(VLOOKUP($P444,Member_Tab,4,FALSE())),0,(VLOOKUP($P444,Member_Tab,4,FALSE()) * 0.2 * BA$7) * (IF(AND(BA$5 &gt;= VLOOKUP($P444,Member_Tab,6,FALSE()), BA$5 &lt;= VLOOKUP($P444,Member_Tab,7,FALSE())),1,0))  )</f>
        <v>0</v>
      </c>
      <c r="BB444" s="76" t="n">
        <f aca="false">IF(ISERROR(VLOOKUP($P444,Member_Tab,4,FALSE())),0,(VLOOKUP($P444,Member_Tab,4,FALSE()) * 0.2 * BB$7) * (IF(AND(BB$5 &gt;= VLOOKUP($P444,Member_Tab,6,FALSE()), BB$5 &lt;= VLOOKUP($P444,Member_Tab,7,FALSE())),1,0))  )</f>
        <v>0</v>
      </c>
    </row>
    <row r="445" s="173" customFormat="true" ht="15" hidden="true" customHeight="false" outlineLevel="1" collapsed="false">
      <c r="E445" s="40"/>
      <c r="K445" s="40"/>
      <c r="L445" s="40"/>
      <c r="M445" s="40"/>
      <c r="N445" s="40"/>
      <c r="P445" s="177" t="n">
        <f aca="false">P308</f>
        <v>0</v>
      </c>
      <c r="Q445" s="40"/>
      <c r="R445" s="178"/>
      <c r="S445" s="76" t="n">
        <f aca="false">IF(ISERROR(VLOOKUP($P445,Member_Tab,4,FALSE())),0,(VLOOKUP($P445,Member_Tab,4,FALSE()) * 0.2 * S$7) * (IF(AND(S$5 &gt;= VLOOKUP($P445,Member_Tab,6,FALSE()), S$5 &lt;= VLOOKUP($P445,Member_Tab,7,FALSE())),1,0))  )</f>
        <v>0</v>
      </c>
      <c r="T445" s="76" t="n">
        <f aca="false">IF(ISERROR(VLOOKUP($P445,Member_Tab,4,FALSE())),0,(VLOOKUP($P445,Member_Tab,4,FALSE()) * 0.2 * T$7) * (IF(AND(T$5 &gt;= VLOOKUP($P445,Member_Tab,6,FALSE()), T$5 &lt;= VLOOKUP($P445,Member_Tab,7,FALSE())),1,0))  )</f>
        <v>0</v>
      </c>
      <c r="U445" s="76" t="n">
        <f aca="false">IF(ISERROR(VLOOKUP($P445,Member_Tab,4,FALSE())),0,(VLOOKUP($P445,Member_Tab,4,FALSE()) * 0.2 * U$7) * (IF(AND(U$5 &gt;= VLOOKUP($P445,Member_Tab,6,FALSE()), U$5 &lt;= VLOOKUP($P445,Member_Tab,7,FALSE())),1,0))  )</f>
        <v>0</v>
      </c>
      <c r="V445" s="76" t="n">
        <f aca="false">IF(ISERROR(VLOOKUP($P445,Member_Tab,4,FALSE())),0,(VLOOKUP($P445,Member_Tab,4,FALSE()) * 0.2 * V$7) * (IF(AND(V$5 &gt;= VLOOKUP($P445,Member_Tab,6,FALSE()), V$5 &lt;= VLOOKUP($P445,Member_Tab,7,FALSE())),1,0))  )</f>
        <v>0</v>
      </c>
      <c r="W445" s="76" t="n">
        <f aca="false">IF(ISERROR(VLOOKUP($P445,Member_Tab,4,FALSE())),0,(VLOOKUP($P445,Member_Tab,4,FALSE()) * 0.2 * W$7) * (IF(AND(W$5 &gt;= VLOOKUP($P445,Member_Tab,6,FALSE()), W$5 &lt;= VLOOKUP($P445,Member_Tab,7,FALSE())),1,0))  )</f>
        <v>0</v>
      </c>
      <c r="X445" s="76" t="n">
        <f aca="false">IF(ISERROR(VLOOKUP($P445,Member_Tab,4,FALSE())),0,(VLOOKUP($P445,Member_Tab,4,FALSE()) * 0.2 * X$7) * (IF(AND(X$5 &gt;= VLOOKUP($P445,Member_Tab,6,FALSE()), X$5 &lt;= VLOOKUP($P445,Member_Tab,7,FALSE())),1,0))  )</f>
        <v>0</v>
      </c>
      <c r="Y445" s="76" t="n">
        <f aca="false">IF(ISERROR(VLOOKUP($P445,Member_Tab,4,FALSE())),0,(VLOOKUP($P445,Member_Tab,4,FALSE()) * 0.2 * Y$7) * (IF(AND(Y$5 &gt;= VLOOKUP($P445,Member_Tab,6,FALSE()), Y$5 &lt;= VLOOKUP($P445,Member_Tab,7,FALSE())),1,0))  )</f>
        <v>0</v>
      </c>
      <c r="Z445" s="76" t="n">
        <f aca="false">IF(ISERROR(VLOOKUP($P445,Member_Tab,4,FALSE())),0,(VLOOKUP($P445,Member_Tab,4,FALSE()) * 0.2 * Z$7) * (IF(AND(Z$5 &gt;= VLOOKUP($P445,Member_Tab,6,FALSE()), Z$5 &lt;= VLOOKUP($P445,Member_Tab,7,FALSE())),1,0))  )</f>
        <v>0</v>
      </c>
      <c r="AA445" s="76" t="n">
        <f aca="false">IF(ISERROR(VLOOKUP($P445,Member_Tab,4,FALSE())),0,(VLOOKUP($P445,Member_Tab,4,FALSE()) * 0.2 * AA$7) * (IF(AND(AA$5 &gt;= VLOOKUP($P445,Member_Tab,6,FALSE()), AA$5 &lt;= VLOOKUP($P445,Member_Tab,7,FALSE())),1,0))  )</f>
        <v>0</v>
      </c>
      <c r="AB445" s="76" t="n">
        <f aca="false">IF(ISERROR(VLOOKUP($P445,Member_Tab,4,FALSE())),0,(VLOOKUP($P445,Member_Tab,4,FALSE()) * 0.2 * AB$7) * (IF(AND(AB$5 &gt;= VLOOKUP($P445,Member_Tab,6,FALSE()), AB$5 &lt;= VLOOKUP($P445,Member_Tab,7,FALSE())),1,0))  )</f>
        <v>0</v>
      </c>
      <c r="AC445" s="76" t="n">
        <f aca="false">IF(ISERROR(VLOOKUP($P445,Member_Tab,4,FALSE())),0,(VLOOKUP($P445,Member_Tab,4,FALSE()) * 0.2 * AC$7) * (IF(AND(AC$5 &gt;= VLOOKUP($P445,Member_Tab,6,FALSE()), AC$5 &lt;= VLOOKUP($P445,Member_Tab,7,FALSE())),1,0))  )</f>
        <v>0</v>
      </c>
      <c r="AD445" s="76" t="n">
        <f aca="false">IF(ISERROR(VLOOKUP($P445,Member_Tab,4,FALSE())),0,(VLOOKUP($P445,Member_Tab,4,FALSE()) * 0.2 * AD$7) * (IF(AND(AD$5 &gt;= VLOOKUP($P445,Member_Tab,6,FALSE()), AD$5 &lt;= VLOOKUP($P445,Member_Tab,7,FALSE())),1,0))  )</f>
        <v>0</v>
      </c>
      <c r="AE445" s="76" t="n">
        <f aca="false">IF(ISERROR(VLOOKUP($P445,Member_Tab,4,FALSE())),0,(VLOOKUP($P445,Member_Tab,4,FALSE()) * 0.2 * AE$7) * (IF(AND(AE$5 &gt;= VLOOKUP($P445,Member_Tab,6,FALSE()), AE$5 &lt;= VLOOKUP($P445,Member_Tab,7,FALSE())),1,0))  )</f>
        <v>0</v>
      </c>
      <c r="AF445" s="76" t="n">
        <f aca="false">IF(ISERROR(VLOOKUP($P445,Member_Tab,4,FALSE())),0,(VLOOKUP($P445,Member_Tab,4,FALSE()) * 0.2 * AF$7) * (IF(AND(AF$5 &gt;= VLOOKUP($P445,Member_Tab,6,FALSE()), AF$5 &lt;= VLOOKUP($P445,Member_Tab,7,FALSE())),1,0))  )</f>
        <v>0</v>
      </c>
      <c r="AG445" s="76" t="n">
        <f aca="false">IF(ISERROR(VLOOKUP($P445,Member_Tab,4,FALSE())),0,(VLOOKUP($P445,Member_Tab,4,FALSE()) * 0.2 * AG$7) * (IF(AND(AG$5 &gt;= VLOOKUP($P445,Member_Tab,6,FALSE()), AG$5 &lt;= VLOOKUP($P445,Member_Tab,7,FALSE())),1,0))  )</f>
        <v>0</v>
      </c>
      <c r="AH445" s="76" t="n">
        <f aca="false">IF(ISERROR(VLOOKUP($P445,Member_Tab,4,FALSE())),0,(VLOOKUP($P445,Member_Tab,4,FALSE()) * 0.2 * AH$7) * (IF(AND(AH$5 &gt;= VLOOKUP($P445,Member_Tab,6,FALSE()), AH$5 &lt;= VLOOKUP($P445,Member_Tab,7,FALSE())),1,0))  )</f>
        <v>0</v>
      </c>
      <c r="AI445" s="76" t="n">
        <f aca="false">IF(ISERROR(VLOOKUP($P445,Member_Tab,4,FALSE())),0,(VLOOKUP($P445,Member_Tab,4,FALSE()) * 0.2 * AI$7) * (IF(AND(AI$5 &gt;= VLOOKUP($P445,Member_Tab,6,FALSE()), AI$5 &lt;= VLOOKUP($P445,Member_Tab,7,FALSE())),1,0))  )</f>
        <v>0</v>
      </c>
      <c r="AJ445" s="76" t="n">
        <f aca="false">IF(ISERROR(VLOOKUP($P445,Member_Tab,4,FALSE())),0,(VLOOKUP($P445,Member_Tab,4,FALSE()) * 0.2 * AJ$7) * (IF(AND(AJ$5 &gt;= VLOOKUP($P445,Member_Tab,6,FALSE()), AJ$5 &lt;= VLOOKUP($P445,Member_Tab,7,FALSE())),1,0))  )</f>
        <v>0</v>
      </c>
      <c r="AK445" s="76" t="n">
        <f aca="false">IF(ISERROR(VLOOKUP($P445,Member_Tab,4,FALSE())),0,(VLOOKUP($P445,Member_Tab,4,FALSE()) * 0.2 * AK$7) * (IF(AND(AK$5 &gt;= VLOOKUP($P445,Member_Tab,6,FALSE()), AK$5 &lt;= VLOOKUP($P445,Member_Tab,7,FALSE())),1,0))  )</f>
        <v>0</v>
      </c>
      <c r="AL445" s="76" t="n">
        <f aca="false">IF(ISERROR(VLOOKUP($P445,Member_Tab,4,FALSE())),0,(VLOOKUP($P445,Member_Tab,4,FALSE()) * 0.2 * AL$7) * (IF(AND(AL$5 &gt;= VLOOKUP($P445,Member_Tab,6,FALSE()), AL$5 &lt;= VLOOKUP($P445,Member_Tab,7,FALSE())),1,0))  )</f>
        <v>0</v>
      </c>
      <c r="AM445" s="76" t="n">
        <f aca="false">IF(ISERROR(VLOOKUP($P445,Member_Tab,4,FALSE())),0,(VLOOKUP($P445,Member_Tab,4,FALSE()) * 0.2 * AM$7) * (IF(AND(AM$5 &gt;= VLOOKUP($P445,Member_Tab,6,FALSE()), AM$5 &lt;= VLOOKUP($P445,Member_Tab,7,FALSE())),1,0))  )</f>
        <v>0</v>
      </c>
      <c r="AN445" s="76" t="n">
        <f aca="false">IF(ISERROR(VLOOKUP($P445,Member_Tab,4,FALSE())),0,(VLOOKUP($P445,Member_Tab,4,FALSE()) * 0.2 * AN$7) * (IF(AND(AN$5 &gt;= VLOOKUP($P445,Member_Tab,6,FALSE()), AN$5 &lt;= VLOOKUP($P445,Member_Tab,7,FALSE())),1,0))  )</f>
        <v>0</v>
      </c>
      <c r="AO445" s="76" t="n">
        <f aca="false">IF(ISERROR(VLOOKUP($P445,Member_Tab,4,FALSE())),0,(VLOOKUP($P445,Member_Tab,4,FALSE()) * 0.2 * AO$7) * (IF(AND(AO$5 &gt;= VLOOKUP($P445,Member_Tab,6,FALSE()), AO$5 &lt;= VLOOKUP($P445,Member_Tab,7,FALSE())),1,0))  )</f>
        <v>0</v>
      </c>
      <c r="AP445" s="76" t="n">
        <f aca="false">IF(ISERROR(VLOOKUP($P445,Member_Tab,4,FALSE())),0,(VLOOKUP($P445,Member_Tab,4,FALSE()) * 0.2 * AP$7) * (IF(AND(AP$5 &gt;= VLOOKUP($P445,Member_Tab,6,FALSE()), AP$5 &lt;= VLOOKUP($P445,Member_Tab,7,FALSE())),1,0))  )</f>
        <v>0</v>
      </c>
      <c r="AQ445" s="76" t="n">
        <f aca="false">IF(ISERROR(VLOOKUP($P445,Member_Tab,4,FALSE())),0,(VLOOKUP($P445,Member_Tab,4,FALSE()) * 0.2 * AQ$7) * (IF(AND(AQ$5 &gt;= VLOOKUP($P445,Member_Tab,6,FALSE()), AQ$5 &lt;= VLOOKUP($P445,Member_Tab,7,FALSE())),1,0))  )</f>
        <v>0</v>
      </c>
      <c r="AR445" s="76" t="n">
        <f aca="false">IF(ISERROR(VLOOKUP($P445,Member_Tab,4,FALSE())),0,(VLOOKUP($P445,Member_Tab,4,FALSE()) * 0.2 * AR$7) * (IF(AND(AR$5 &gt;= VLOOKUP($P445,Member_Tab,6,FALSE()), AR$5 &lt;= VLOOKUP($P445,Member_Tab,7,FALSE())),1,0))  )</f>
        <v>0</v>
      </c>
      <c r="AS445" s="76" t="n">
        <f aca="false">IF(ISERROR(VLOOKUP($P445,Member_Tab,4,FALSE())),0,(VLOOKUP($P445,Member_Tab,4,FALSE()) * 0.2 * AS$7) * (IF(AND(AS$5 &gt;= VLOOKUP($P445,Member_Tab,6,FALSE()), AS$5 &lt;= VLOOKUP($P445,Member_Tab,7,FALSE())),1,0))  )</f>
        <v>0</v>
      </c>
      <c r="AT445" s="76" t="n">
        <f aca="false">IF(ISERROR(VLOOKUP($P445,Member_Tab,4,FALSE())),0,(VLOOKUP($P445,Member_Tab,4,FALSE()) * 0.2 * AT$7) * (IF(AND(AT$5 &gt;= VLOOKUP($P445,Member_Tab,6,FALSE()), AT$5 &lt;= VLOOKUP($P445,Member_Tab,7,FALSE())),1,0))  )</f>
        <v>0</v>
      </c>
      <c r="AU445" s="76" t="n">
        <f aca="false">IF(ISERROR(VLOOKUP($P445,Member_Tab,4,FALSE())),0,(VLOOKUP($P445,Member_Tab,4,FALSE()) * 0.2 * AU$7) * (IF(AND(AU$5 &gt;= VLOOKUP($P445,Member_Tab,6,FALSE()), AU$5 &lt;= VLOOKUP($P445,Member_Tab,7,FALSE())),1,0))  )</f>
        <v>0</v>
      </c>
      <c r="AV445" s="76" t="n">
        <f aca="false">IF(ISERROR(VLOOKUP($P445,Member_Tab,4,FALSE())),0,(VLOOKUP($P445,Member_Tab,4,FALSE()) * 0.2 * AV$7) * (IF(AND(AV$5 &gt;= VLOOKUP($P445,Member_Tab,6,FALSE()), AV$5 &lt;= VLOOKUP($P445,Member_Tab,7,FALSE())),1,0))  )</f>
        <v>0</v>
      </c>
      <c r="AW445" s="76" t="n">
        <f aca="false">IF(ISERROR(VLOOKUP($P445,Member_Tab,4,FALSE())),0,(VLOOKUP($P445,Member_Tab,4,FALSE()) * 0.2 * AW$7) * (IF(AND(AW$5 &gt;= VLOOKUP($P445,Member_Tab,6,FALSE()), AW$5 &lt;= VLOOKUP($P445,Member_Tab,7,FALSE())),1,0))  )</f>
        <v>0</v>
      </c>
      <c r="AX445" s="76" t="n">
        <f aca="false">IF(ISERROR(VLOOKUP($P445,Member_Tab,4,FALSE())),0,(VLOOKUP($P445,Member_Tab,4,FALSE()) * 0.2 * AX$7) * (IF(AND(AX$5 &gt;= VLOOKUP($P445,Member_Tab,6,FALSE()), AX$5 &lt;= VLOOKUP($P445,Member_Tab,7,FALSE())),1,0))  )</f>
        <v>0</v>
      </c>
      <c r="AY445" s="76" t="n">
        <f aca="false">IF(ISERROR(VLOOKUP($P445,Member_Tab,4,FALSE())),0,(VLOOKUP($P445,Member_Tab,4,FALSE()) * 0.2 * AY$7) * (IF(AND(AY$5 &gt;= VLOOKUP($P445,Member_Tab,6,FALSE()), AY$5 &lt;= VLOOKUP($P445,Member_Tab,7,FALSE())),1,0))  )</f>
        <v>0</v>
      </c>
      <c r="AZ445" s="76" t="n">
        <f aca="false">IF(ISERROR(VLOOKUP($P445,Member_Tab,4,FALSE())),0,(VLOOKUP($P445,Member_Tab,4,FALSE()) * 0.2 * AZ$7) * (IF(AND(AZ$5 &gt;= VLOOKUP($P445,Member_Tab,6,FALSE()), AZ$5 &lt;= VLOOKUP($P445,Member_Tab,7,FALSE())),1,0))  )</f>
        <v>0</v>
      </c>
      <c r="BA445" s="76" t="n">
        <f aca="false">IF(ISERROR(VLOOKUP($P445,Member_Tab,4,FALSE())),0,(VLOOKUP($P445,Member_Tab,4,FALSE()) * 0.2 * BA$7) * (IF(AND(BA$5 &gt;= VLOOKUP($P445,Member_Tab,6,FALSE()), BA$5 &lt;= VLOOKUP($P445,Member_Tab,7,FALSE())),1,0))  )</f>
        <v>0</v>
      </c>
      <c r="BB445" s="76" t="n">
        <f aca="false">IF(ISERROR(VLOOKUP($P445,Member_Tab,4,FALSE())),0,(VLOOKUP($P445,Member_Tab,4,FALSE()) * 0.2 * BB$7) * (IF(AND(BB$5 &gt;= VLOOKUP($P445,Member_Tab,6,FALSE()), BB$5 &lt;= VLOOKUP($P445,Member_Tab,7,FALSE())),1,0))  )</f>
        <v>0</v>
      </c>
    </row>
    <row r="446" s="173" customFormat="true" ht="15" hidden="true" customHeight="false" outlineLevel="1" collapsed="false">
      <c r="E446" s="40"/>
      <c r="K446" s="40"/>
      <c r="L446" s="40"/>
      <c r="M446" s="40"/>
      <c r="N446" s="40"/>
      <c r="P446" s="177" t="n">
        <f aca="false">P309</f>
        <v>0</v>
      </c>
      <c r="Q446" s="40"/>
      <c r="R446" s="178"/>
      <c r="S446" s="76" t="n">
        <f aca="false">IF(ISERROR(VLOOKUP($P446,Member_Tab,4,FALSE())),0,(VLOOKUP($P446,Member_Tab,4,FALSE()) * 0.2 * S$7) * (IF(AND(S$5 &gt;= VLOOKUP($P446,Member_Tab,6,FALSE()), S$5 &lt;= VLOOKUP($P446,Member_Tab,7,FALSE())),1,0))  )</f>
        <v>0</v>
      </c>
      <c r="T446" s="76" t="n">
        <f aca="false">IF(ISERROR(VLOOKUP($P446,Member_Tab,4,FALSE())),0,(VLOOKUP($P446,Member_Tab,4,FALSE()) * 0.2 * T$7) * (IF(AND(T$5 &gt;= VLOOKUP($P446,Member_Tab,6,FALSE()), T$5 &lt;= VLOOKUP($P446,Member_Tab,7,FALSE())),1,0))  )</f>
        <v>0</v>
      </c>
      <c r="U446" s="76" t="n">
        <f aca="false">IF(ISERROR(VLOOKUP($P446,Member_Tab,4,FALSE())),0,(VLOOKUP($P446,Member_Tab,4,FALSE()) * 0.2 * U$7) * (IF(AND(U$5 &gt;= VLOOKUP($P446,Member_Tab,6,FALSE()), U$5 &lt;= VLOOKUP($P446,Member_Tab,7,FALSE())),1,0))  )</f>
        <v>0</v>
      </c>
      <c r="V446" s="76" t="n">
        <f aca="false">IF(ISERROR(VLOOKUP($P446,Member_Tab,4,FALSE())),0,(VLOOKUP($P446,Member_Tab,4,FALSE()) * 0.2 * V$7) * (IF(AND(V$5 &gt;= VLOOKUP($P446,Member_Tab,6,FALSE()), V$5 &lt;= VLOOKUP($P446,Member_Tab,7,FALSE())),1,0))  )</f>
        <v>0</v>
      </c>
      <c r="W446" s="76" t="n">
        <f aca="false">IF(ISERROR(VLOOKUP($P446,Member_Tab,4,FALSE())),0,(VLOOKUP($P446,Member_Tab,4,FALSE()) * 0.2 * W$7) * (IF(AND(W$5 &gt;= VLOOKUP($P446,Member_Tab,6,FALSE()), W$5 &lt;= VLOOKUP($P446,Member_Tab,7,FALSE())),1,0))  )</f>
        <v>0</v>
      </c>
      <c r="X446" s="76" t="n">
        <f aca="false">IF(ISERROR(VLOOKUP($P446,Member_Tab,4,FALSE())),0,(VLOOKUP($P446,Member_Tab,4,FALSE()) * 0.2 * X$7) * (IF(AND(X$5 &gt;= VLOOKUP($P446,Member_Tab,6,FALSE()), X$5 &lt;= VLOOKUP($P446,Member_Tab,7,FALSE())),1,0))  )</f>
        <v>0</v>
      </c>
      <c r="Y446" s="76" t="n">
        <f aca="false">IF(ISERROR(VLOOKUP($P446,Member_Tab,4,FALSE())),0,(VLOOKUP($P446,Member_Tab,4,FALSE()) * 0.2 * Y$7) * (IF(AND(Y$5 &gt;= VLOOKUP($P446,Member_Tab,6,FALSE()), Y$5 &lt;= VLOOKUP($P446,Member_Tab,7,FALSE())),1,0))  )</f>
        <v>0</v>
      </c>
      <c r="Z446" s="76" t="n">
        <f aca="false">IF(ISERROR(VLOOKUP($P446,Member_Tab,4,FALSE())),0,(VLOOKUP($P446,Member_Tab,4,FALSE()) * 0.2 * Z$7) * (IF(AND(Z$5 &gt;= VLOOKUP($P446,Member_Tab,6,FALSE()), Z$5 &lt;= VLOOKUP($P446,Member_Tab,7,FALSE())),1,0))  )</f>
        <v>0</v>
      </c>
      <c r="AA446" s="76" t="n">
        <f aca="false">IF(ISERROR(VLOOKUP($P446,Member_Tab,4,FALSE())),0,(VLOOKUP($P446,Member_Tab,4,FALSE()) * 0.2 * AA$7) * (IF(AND(AA$5 &gt;= VLOOKUP($P446,Member_Tab,6,FALSE()), AA$5 &lt;= VLOOKUP($P446,Member_Tab,7,FALSE())),1,0))  )</f>
        <v>0</v>
      </c>
      <c r="AB446" s="76" t="n">
        <f aca="false">IF(ISERROR(VLOOKUP($P446,Member_Tab,4,FALSE())),0,(VLOOKUP($P446,Member_Tab,4,FALSE()) * 0.2 * AB$7) * (IF(AND(AB$5 &gt;= VLOOKUP($P446,Member_Tab,6,FALSE()), AB$5 &lt;= VLOOKUP($P446,Member_Tab,7,FALSE())),1,0))  )</f>
        <v>0</v>
      </c>
      <c r="AC446" s="76" t="n">
        <f aca="false">IF(ISERROR(VLOOKUP($P446,Member_Tab,4,FALSE())),0,(VLOOKUP($P446,Member_Tab,4,FALSE()) * 0.2 * AC$7) * (IF(AND(AC$5 &gt;= VLOOKUP($P446,Member_Tab,6,FALSE()), AC$5 &lt;= VLOOKUP($P446,Member_Tab,7,FALSE())),1,0))  )</f>
        <v>0</v>
      </c>
      <c r="AD446" s="76" t="n">
        <f aca="false">IF(ISERROR(VLOOKUP($P446,Member_Tab,4,FALSE())),0,(VLOOKUP($P446,Member_Tab,4,FALSE()) * 0.2 * AD$7) * (IF(AND(AD$5 &gt;= VLOOKUP($P446,Member_Tab,6,FALSE()), AD$5 &lt;= VLOOKUP($P446,Member_Tab,7,FALSE())),1,0))  )</f>
        <v>0</v>
      </c>
      <c r="AE446" s="76" t="n">
        <f aca="false">IF(ISERROR(VLOOKUP($P446,Member_Tab,4,FALSE())),0,(VLOOKUP($P446,Member_Tab,4,FALSE()) * 0.2 * AE$7) * (IF(AND(AE$5 &gt;= VLOOKUP($P446,Member_Tab,6,FALSE()), AE$5 &lt;= VLOOKUP($P446,Member_Tab,7,FALSE())),1,0))  )</f>
        <v>0</v>
      </c>
      <c r="AF446" s="76" t="n">
        <f aca="false">IF(ISERROR(VLOOKUP($P446,Member_Tab,4,FALSE())),0,(VLOOKUP($P446,Member_Tab,4,FALSE()) * 0.2 * AF$7) * (IF(AND(AF$5 &gt;= VLOOKUP($P446,Member_Tab,6,FALSE()), AF$5 &lt;= VLOOKUP($P446,Member_Tab,7,FALSE())),1,0))  )</f>
        <v>0</v>
      </c>
      <c r="AG446" s="76" t="n">
        <f aca="false">IF(ISERROR(VLOOKUP($P446,Member_Tab,4,FALSE())),0,(VLOOKUP($P446,Member_Tab,4,FALSE()) * 0.2 * AG$7) * (IF(AND(AG$5 &gt;= VLOOKUP($P446,Member_Tab,6,FALSE()), AG$5 &lt;= VLOOKUP($P446,Member_Tab,7,FALSE())),1,0))  )</f>
        <v>0</v>
      </c>
      <c r="AH446" s="76" t="n">
        <f aca="false">IF(ISERROR(VLOOKUP($P446,Member_Tab,4,FALSE())),0,(VLOOKUP($P446,Member_Tab,4,FALSE()) * 0.2 * AH$7) * (IF(AND(AH$5 &gt;= VLOOKUP($P446,Member_Tab,6,FALSE()), AH$5 &lt;= VLOOKUP($P446,Member_Tab,7,FALSE())),1,0))  )</f>
        <v>0</v>
      </c>
      <c r="AI446" s="76" t="n">
        <f aca="false">IF(ISERROR(VLOOKUP($P446,Member_Tab,4,FALSE())),0,(VLOOKUP($P446,Member_Tab,4,FALSE()) * 0.2 * AI$7) * (IF(AND(AI$5 &gt;= VLOOKUP($P446,Member_Tab,6,FALSE()), AI$5 &lt;= VLOOKUP($P446,Member_Tab,7,FALSE())),1,0))  )</f>
        <v>0</v>
      </c>
      <c r="AJ446" s="76" t="n">
        <f aca="false">IF(ISERROR(VLOOKUP($P446,Member_Tab,4,FALSE())),0,(VLOOKUP($P446,Member_Tab,4,FALSE()) * 0.2 * AJ$7) * (IF(AND(AJ$5 &gt;= VLOOKUP($P446,Member_Tab,6,FALSE()), AJ$5 &lt;= VLOOKUP($P446,Member_Tab,7,FALSE())),1,0))  )</f>
        <v>0</v>
      </c>
      <c r="AK446" s="76" t="n">
        <f aca="false">IF(ISERROR(VLOOKUP($P446,Member_Tab,4,FALSE())),0,(VLOOKUP($P446,Member_Tab,4,FALSE()) * 0.2 * AK$7) * (IF(AND(AK$5 &gt;= VLOOKUP($P446,Member_Tab,6,FALSE()), AK$5 &lt;= VLOOKUP($P446,Member_Tab,7,FALSE())),1,0))  )</f>
        <v>0</v>
      </c>
      <c r="AL446" s="76" t="n">
        <f aca="false">IF(ISERROR(VLOOKUP($P446,Member_Tab,4,FALSE())),0,(VLOOKUP($P446,Member_Tab,4,FALSE()) * 0.2 * AL$7) * (IF(AND(AL$5 &gt;= VLOOKUP($P446,Member_Tab,6,FALSE()), AL$5 &lt;= VLOOKUP($P446,Member_Tab,7,FALSE())),1,0))  )</f>
        <v>0</v>
      </c>
      <c r="AM446" s="76" t="n">
        <f aca="false">IF(ISERROR(VLOOKUP($P446,Member_Tab,4,FALSE())),0,(VLOOKUP($P446,Member_Tab,4,FALSE()) * 0.2 * AM$7) * (IF(AND(AM$5 &gt;= VLOOKUP($P446,Member_Tab,6,FALSE()), AM$5 &lt;= VLOOKUP($P446,Member_Tab,7,FALSE())),1,0))  )</f>
        <v>0</v>
      </c>
      <c r="AN446" s="76" t="n">
        <f aca="false">IF(ISERROR(VLOOKUP($P446,Member_Tab,4,FALSE())),0,(VLOOKUP($P446,Member_Tab,4,FALSE()) * 0.2 * AN$7) * (IF(AND(AN$5 &gt;= VLOOKUP($P446,Member_Tab,6,FALSE()), AN$5 &lt;= VLOOKUP($P446,Member_Tab,7,FALSE())),1,0))  )</f>
        <v>0</v>
      </c>
      <c r="AO446" s="76" t="n">
        <f aca="false">IF(ISERROR(VLOOKUP($P446,Member_Tab,4,FALSE())),0,(VLOOKUP($P446,Member_Tab,4,FALSE()) * 0.2 * AO$7) * (IF(AND(AO$5 &gt;= VLOOKUP($P446,Member_Tab,6,FALSE()), AO$5 &lt;= VLOOKUP($P446,Member_Tab,7,FALSE())),1,0))  )</f>
        <v>0</v>
      </c>
      <c r="AP446" s="76" t="n">
        <f aca="false">IF(ISERROR(VLOOKUP($P446,Member_Tab,4,FALSE())),0,(VLOOKUP($P446,Member_Tab,4,FALSE()) * 0.2 * AP$7) * (IF(AND(AP$5 &gt;= VLOOKUP($P446,Member_Tab,6,FALSE()), AP$5 &lt;= VLOOKUP($P446,Member_Tab,7,FALSE())),1,0))  )</f>
        <v>0</v>
      </c>
      <c r="AQ446" s="76" t="n">
        <f aca="false">IF(ISERROR(VLOOKUP($P446,Member_Tab,4,FALSE())),0,(VLOOKUP($P446,Member_Tab,4,FALSE()) * 0.2 * AQ$7) * (IF(AND(AQ$5 &gt;= VLOOKUP($P446,Member_Tab,6,FALSE()), AQ$5 &lt;= VLOOKUP($P446,Member_Tab,7,FALSE())),1,0))  )</f>
        <v>0</v>
      </c>
      <c r="AR446" s="76" t="n">
        <f aca="false">IF(ISERROR(VLOOKUP($P446,Member_Tab,4,FALSE())),0,(VLOOKUP($P446,Member_Tab,4,FALSE()) * 0.2 * AR$7) * (IF(AND(AR$5 &gt;= VLOOKUP($P446,Member_Tab,6,FALSE()), AR$5 &lt;= VLOOKUP($P446,Member_Tab,7,FALSE())),1,0))  )</f>
        <v>0</v>
      </c>
      <c r="AS446" s="76" t="n">
        <f aca="false">IF(ISERROR(VLOOKUP($P446,Member_Tab,4,FALSE())),0,(VLOOKUP($P446,Member_Tab,4,FALSE()) * 0.2 * AS$7) * (IF(AND(AS$5 &gt;= VLOOKUP($P446,Member_Tab,6,FALSE()), AS$5 &lt;= VLOOKUP($P446,Member_Tab,7,FALSE())),1,0))  )</f>
        <v>0</v>
      </c>
      <c r="AT446" s="76" t="n">
        <f aca="false">IF(ISERROR(VLOOKUP($P446,Member_Tab,4,FALSE())),0,(VLOOKUP($P446,Member_Tab,4,FALSE()) * 0.2 * AT$7) * (IF(AND(AT$5 &gt;= VLOOKUP($P446,Member_Tab,6,FALSE()), AT$5 &lt;= VLOOKUP($P446,Member_Tab,7,FALSE())),1,0))  )</f>
        <v>0</v>
      </c>
      <c r="AU446" s="76" t="n">
        <f aca="false">IF(ISERROR(VLOOKUP($P446,Member_Tab,4,FALSE())),0,(VLOOKUP($P446,Member_Tab,4,FALSE()) * 0.2 * AU$7) * (IF(AND(AU$5 &gt;= VLOOKUP($P446,Member_Tab,6,FALSE()), AU$5 &lt;= VLOOKUP($P446,Member_Tab,7,FALSE())),1,0))  )</f>
        <v>0</v>
      </c>
      <c r="AV446" s="76" t="n">
        <f aca="false">IF(ISERROR(VLOOKUP($P446,Member_Tab,4,FALSE())),0,(VLOOKUP($P446,Member_Tab,4,FALSE()) * 0.2 * AV$7) * (IF(AND(AV$5 &gt;= VLOOKUP($P446,Member_Tab,6,FALSE()), AV$5 &lt;= VLOOKUP($P446,Member_Tab,7,FALSE())),1,0))  )</f>
        <v>0</v>
      </c>
      <c r="AW446" s="76" t="n">
        <f aca="false">IF(ISERROR(VLOOKUP($P446,Member_Tab,4,FALSE())),0,(VLOOKUP($P446,Member_Tab,4,FALSE()) * 0.2 * AW$7) * (IF(AND(AW$5 &gt;= VLOOKUP($P446,Member_Tab,6,FALSE()), AW$5 &lt;= VLOOKUP($P446,Member_Tab,7,FALSE())),1,0))  )</f>
        <v>0</v>
      </c>
      <c r="AX446" s="76" t="n">
        <f aca="false">IF(ISERROR(VLOOKUP($P446,Member_Tab,4,FALSE())),0,(VLOOKUP($P446,Member_Tab,4,FALSE()) * 0.2 * AX$7) * (IF(AND(AX$5 &gt;= VLOOKUP($P446,Member_Tab,6,FALSE()), AX$5 &lt;= VLOOKUP($P446,Member_Tab,7,FALSE())),1,0))  )</f>
        <v>0</v>
      </c>
      <c r="AY446" s="76" t="n">
        <f aca="false">IF(ISERROR(VLOOKUP($P446,Member_Tab,4,FALSE())),0,(VLOOKUP($P446,Member_Tab,4,FALSE()) * 0.2 * AY$7) * (IF(AND(AY$5 &gt;= VLOOKUP($P446,Member_Tab,6,FALSE()), AY$5 &lt;= VLOOKUP($P446,Member_Tab,7,FALSE())),1,0))  )</f>
        <v>0</v>
      </c>
      <c r="AZ446" s="76" t="n">
        <f aca="false">IF(ISERROR(VLOOKUP($P446,Member_Tab,4,FALSE())),0,(VLOOKUP($P446,Member_Tab,4,FALSE()) * 0.2 * AZ$7) * (IF(AND(AZ$5 &gt;= VLOOKUP($P446,Member_Tab,6,FALSE()), AZ$5 &lt;= VLOOKUP($P446,Member_Tab,7,FALSE())),1,0))  )</f>
        <v>0</v>
      </c>
      <c r="BA446" s="76" t="n">
        <f aca="false">IF(ISERROR(VLOOKUP($P446,Member_Tab,4,FALSE())),0,(VLOOKUP($P446,Member_Tab,4,FALSE()) * 0.2 * BA$7) * (IF(AND(BA$5 &gt;= VLOOKUP($P446,Member_Tab,6,FALSE()), BA$5 &lt;= VLOOKUP($P446,Member_Tab,7,FALSE())),1,0))  )</f>
        <v>0</v>
      </c>
      <c r="BB446" s="76" t="n">
        <f aca="false">IF(ISERROR(VLOOKUP($P446,Member_Tab,4,FALSE())),0,(VLOOKUP($P446,Member_Tab,4,FALSE()) * 0.2 * BB$7) * (IF(AND(BB$5 &gt;= VLOOKUP($P446,Member_Tab,6,FALSE()), BB$5 &lt;= VLOOKUP($P446,Member_Tab,7,FALSE())),1,0))  )</f>
        <v>0</v>
      </c>
    </row>
    <row r="447" s="173" customFormat="true" ht="15" hidden="true" customHeight="false" outlineLevel="1" collapsed="false">
      <c r="E447" s="40"/>
      <c r="K447" s="40"/>
      <c r="L447" s="40"/>
      <c r="M447" s="40"/>
      <c r="N447" s="40"/>
      <c r="P447" s="177" t="n">
        <f aca="false">P310</f>
        <v>0</v>
      </c>
      <c r="Q447" s="40"/>
      <c r="R447" s="178"/>
      <c r="S447" s="76" t="n">
        <f aca="false">IF(ISERROR(VLOOKUP($P447,Member_Tab,4,FALSE())),0,(VLOOKUP($P447,Member_Tab,4,FALSE()) * 0.2 * S$7) * (IF(AND(S$5 &gt;= VLOOKUP($P447,Member_Tab,6,FALSE()), S$5 &lt;= VLOOKUP($P447,Member_Tab,7,FALSE())),1,0))  )</f>
        <v>0</v>
      </c>
      <c r="T447" s="76" t="n">
        <f aca="false">IF(ISERROR(VLOOKUP($P447,Member_Tab,4,FALSE())),0,(VLOOKUP($P447,Member_Tab,4,FALSE()) * 0.2 * T$7) * (IF(AND(T$5 &gt;= VLOOKUP($P447,Member_Tab,6,FALSE()), T$5 &lt;= VLOOKUP($P447,Member_Tab,7,FALSE())),1,0))  )</f>
        <v>0</v>
      </c>
      <c r="U447" s="76" t="n">
        <f aca="false">IF(ISERROR(VLOOKUP($P447,Member_Tab,4,FALSE())),0,(VLOOKUP($P447,Member_Tab,4,FALSE()) * 0.2 * U$7) * (IF(AND(U$5 &gt;= VLOOKUP($P447,Member_Tab,6,FALSE()), U$5 &lt;= VLOOKUP($P447,Member_Tab,7,FALSE())),1,0))  )</f>
        <v>0</v>
      </c>
      <c r="V447" s="76" t="n">
        <f aca="false">IF(ISERROR(VLOOKUP($P447,Member_Tab,4,FALSE())),0,(VLOOKUP($P447,Member_Tab,4,FALSE()) * 0.2 * V$7) * (IF(AND(V$5 &gt;= VLOOKUP($P447,Member_Tab,6,FALSE()), V$5 &lt;= VLOOKUP($P447,Member_Tab,7,FALSE())),1,0))  )</f>
        <v>0</v>
      </c>
      <c r="W447" s="76" t="n">
        <f aca="false">IF(ISERROR(VLOOKUP($P447,Member_Tab,4,FALSE())),0,(VLOOKUP($P447,Member_Tab,4,FALSE()) * 0.2 * W$7) * (IF(AND(W$5 &gt;= VLOOKUP($P447,Member_Tab,6,FALSE()), W$5 &lt;= VLOOKUP($P447,Member_Tab,7,FALSE())),1,0))  )</f>
        <v>0</v>
      </c>
      <c r="X447" s="76" t="n">
        <f aca="false">IF(ISERROR(VLOOKUP($P447,Member_Tab,4,FALSE())),0,(VLOOKUP($P447,Member_Tab,4,FALSE()) * 0.2 * X$7) * (IF(AND(X$5 &gt;= VLOOKUP($P447,Member_Tab,6,FALSE()), X$5 &lt;= VLOOKUP($P447,Member_Tab,7,FALSE())),1,0))  )</f>
        <v>0</v>
      </c>
      <c r="Y447" s="76" t="n">
        <f aca="false">IF(ISERROR(VLOOKUP($P447,Member_Tab,4,FALSE())),0,(VLOOKUP($P447,Member_Tab,4,FALSE()) * 0.2 * Y$7) * (IF(AND(Y$5 &gt;= VLOOKUP($P447,Member_Tab,6,FALSE()), Y$5 &lt;= VLOOKUP($P447,Member_Tab,7,FALSE())),1,0))  )</f>
        <v>0</v>
      </c>
      <c r="Z447" s="76" t="n">
        <f aca="false">IF(ISERROR(VLOOKUP($P447,Member_Tab,4,FALSE())),0,(VLOOKUP($P447,Member_Tab,4,FALSE()) * 0.2 * Z$7) * (IF(AND(Z$5 &gt;= VLOOKUP($P447,Member_Tab,6,FALSE()), Z$5 &lt;= VLOOKUP($P447,Member_Tab,7,FALSE())),1,0))  )</f>
        <v>0</v>
      </c>
      <c r="AA447" s="76" t="n">
        <f aca="false">IF(ISERROR(VLOOKUP($P447,Member_Tab,4,FALSE())),0,(VLOOKUP($P447,Member_Tab,4,FALSE()) * 0.2 * AA$7) * (IF(AND(AA$5 &gt;= VLOOKUP($P447,Member_Tab,6,FALSE()), AA$5 &lt;= VLOOKUP($P447,Member_Tab,7,FALSE())),1,0))  )</f>
        <v>0</v>
      </c>
      <c r="AB447" s="76" t="n">
        <f aca="false">IF(ISERROR(VLOOKUP($P447,Member_Tab,4,FALSE())),0,(VLOOKUP($P447,Member_Tab,4,FALSE()) * 0.2 * AB$7) * (IF(AND(AB$5 &gt;= VLOOKUP($P447,Member_Tab,6,FALSE()), AB$5 &lt;= VLOOKUP($P447,Member_Tab,7,FALSE())),1,0))  )</f>
        <v>0</v>
      </c>
      <c r="AC447" s="76" t="n">
        <f aca="false">IF(ISERROR(VLOOKUP($P447,Member_Tab,4,FALSE())),0,(VLOOKUP($P447,Member_Tab,4,FALSE()) * 0.2 * AC$7) * (IF(AND(AC$5 &gt;= VLOOKUP($P447,Member_Tab,6,FALSE()), AC$5 &lt;= VLOOKUP($P447,Member_Tab,7,FALSE())),1,0))  )</f>
        <v>0</v>
      </c>
      <c r="AD447" s="76" t="n">
        <f aca="false">IF(ISERROR(VLOOKUP($P447,Member_Tab,4,FALSE())),0,(VLOOKUP($P447,Member_Tab,4,FALSE()) * 0.2 * AD$7) * (IF(AND(AD$5 &gt;= VLOOKUP($P447,Member_Tab,6,FALSE()), AD$5 &lt;= VLOOKUP($P447,Member_Tab,7,FALSE())),1,0))  )</f>
        <v>0</v>
      </c>
      <c r="AE447" s="76" t="n">
        <f aca="false">IF(ISERROR(VLOOKUP($P447,Member_Tab,4,FALSE())),0,(VLOOKUP($P447,Member_Tab,4,FALSE()) * 0.2 * AE$7) * (IF(AND(AE$5 &gt;= VLOOKUP($P447,Member_Tab,6,FALSE()), AE$5 &lt;= VLOOKUP($P447,Member_Tab,7,FALSE())),1,0))  )</f>
        <v>0</v>
      </c>
      <c r="AF447" s="76" t="n">
        <f aca="false">IF(ISERROR(VLOOKUP($P447,Member_Tab,4,FALSE())),0,(VLOOKUP($P447,Member_Tab,4,FALSE()) * 0.2 * AF$7) * (IF(AND(AF$5 &gt;= VLOOKUP($P447,Member_Tab,6,FALSE()), AF$5 &lt;= VLOOKUP($P447,Member_Tab,7,FALSE())),1,0))  )</f>
        <v>0</v>
      </c>
      <c r="AG447" s="76" t="n">
        <f aca="false">IF(ISERROR(VLOOKUP($P447,Member_Tab,4,FALSE())),0,(VLOOKUP($P447,Member_Tab,4,FALSE()) * 0.2 * AG$7) * (IF(AND(AG$5 &gt;= VLOOKUP($P447,Member_Tab,6,FALSE()), AG$5 &lt;= VLOOKUP($P447,Member_Tab,7,FALSE())),1,0))  )</f>
        <v>0</v>
      </c>
      <c r="AH447" s="76" t="n">
        <f aca="false">IF(ISERROR(VLOOKUP($P447,Member_Tab,4,FALSE())),0,(VLOOKUP($P447,Member_Tab,4,FALSE()) * 0.2 * AH$7) * (IF(AND(AH$5 &gt;= VLOOKUP($P447,Member_Tab,6,FALSE()), AH$5 &lt;= VLOOKUP($P447,Member_Tab,7,FALSE())),1,0))  )</f>
        <v>0</v>
      </c>
      <c r="AI447" s="76" t="n">
        <f aca="false">IF(ISERROR(VLOOKUP($P447,Member_Tab,4,FALSE())),0,(VLOOKUP($P447,Member_Tab,4,FALSE()) * 0.2 * AI$7) * (IF(AND(AI$5 &gt;= VLOOKUP($P447,Member_Tab,6,FALSE()), AI$5 &lt;= VLOOKUP($P447,Member_Tab,7,FALSE())),1,0))  )</f>
        <v>0</v>
      </c>
      <c r="AJ447" s="76" t="n">
        <f aca="false">IF(ISERROR(VLOOKUP($P447,Member_Tab,4,FALSE())),0,(VLOOKUP($P447,Member_Tab,4,FALSE()) * 0.2 * AJ$7) * (IF(AND(AJ$5 &gt;= VLOOKUP($P447,Member_Tab,6,FALSE()), AJ$5 &lt;= VLOOKUP($P447,Member_Tab,7,FALSE())),1,0))  )</f>
        <v>0</v>
      </c>
      <c r="AK447" s="76" t="n">
        <f aca="false">IF(ISERROR(VLOOKUP($P447,Member_Tab,4,FALSE())),0,(VLOOKUP($P447,Member_Tab,4,FALSE()) * 0.2 * AK$7) * (IF(AND(AK$5 &gt;= VLOOKUP($P447,Member_Tab,6,FALSE()), AK$5 &lt;= VLOOKUP($P447,Member_Tab,7,FALSE())),1,0))  )</f>
        <v>0</v>
      </c>
      <c r="AL447" s="76" t="n">
        <f aca="false">IF(ISERROR(VLOOKUP($P447,Member_Tab,4,FALSE())),0,(VLOOKUP($P447,Member_Tab,4,FALSE()) * 0.2 * AL$7) * (IF(AND(AL$5 &gt;= VLOOKUP($P447,Member_Tab,6,FALSE()), AL$5 &lt;= VLOOKUP($P447,Member_Tab,7,FALSE())),1,0))  )</f>
        <v>0</v>
      </c>
      <c r="AM447" s="76" t="n">
        <f aca="false">IF(ISERROR(VLOOKUP($P447,Member_Tab,4,FALSE())),0,(VLOOKUP($P447,Member_Tab,4,FALSE()) * 0.2 * AM$7) * (IF(AND(AM$5 &gt;= VLOOKUP($P447,Member_Tab,6,FALSE()), AM$5 &lt;= VLOOKUP($P447,Member_Tab,7,FALSE())),1,0))  )</f>
        <v>0</v>
      </c>
      <c r="AN447" s="76" t="n">
        <f aca="false">IF(ISERROR(VLOOKUP($P447,Member_Tab,4,FALSE())),0,(VLOOKUP($P447,Member_Tab,4,FALSE()) * 0.2 * AN$7) * (IF(AND(AN$5 &gt;= VLOOKUP($P447,Member_Tab,6,FALSE()), AN$5 &lt;= VLOOKUP($P447,Member_Tab,7,FALSE())),1,0))  )</f>
        <v>0</v>
      </c>
      <c r="AO447" s="76" t="n">
        <f aca="false">IF(ISERROR(VLOOKUP($P447,Member_Tab,4,FALSE())),0,(VLOOKUP($P447,Member_Tab,4,FALSE()) * 0.2 * AO$7) * (IF(AND(AO$5 &gt;= VLOOKUP($P447,Member_Tab,6,FALSE()), AO$5 &lt;= VLOOKUP($P447,Member_Tab,7,FALSE())),1,0))  )</f>
        <v>0</v>
      </c>
      <c r="AP447" s="76" t="n">
        <f aca="false">IF(ISERROR(VLOOKUP($P447,Member_Tab,4,FALSE())),0,(VLOOKUP($P447,Member_Tab,4,FALSE()) * 0.2 * AP$7) * (IF(AND(AP$5 &gt;= VLOOKUP($P447,Member_Tab,6,FALSE()), AP$5 &lt;= VLOOKUP($P447,Member_Tab,7,FALSE())),1,0))  )</f>
        <v>0</v>
      </c>
      <c r="AQ447" s="76" t="n">
        <f aca="false">IF(ISERROR(VLOOKUP($P447,Member_Tab,4,FALSE())),0,(VLOOKUP($P447,Member_Tab,4,FALSE()) * 0.2 * AQ$7) * (IF(AND(AQ$5 &gt;= VLOOKUP($P447,Member_Tab,6,FALSE()), AQ$5 &lt;= VLOOKUP($P447,Member_Tab,7,FALSE())),1,0))  )</f>
        <v>0</v>
      </c>
      <c r="AR447" s="76" t="n">
        <f aca="false">IF(ISERROR(VLOOKUP($P447,Member_Tab,4,FALSE())),0,(VLOOKUP($P447,Member_Tab,4,FALSE()) * 0.2 * AR$7) * (IF(AND(AR$5 &gt;= VLOOKUP($P447,Member_Tab,6,FALSE()), AR$5 &lt;= VLOOKUP($P447,Member_Tab,7,FALSE())),1,0))  )</f>
        <v>0</v>
      </c>
      <c r="AS447" s="76" t="n">
        <f aca="false">IF(ISERROR(VLOOKUP($P447,Member_Tab,4,FALSE())),0,(VLOOKUP($P447,Member_Tab,4,FALSE()) * 0.2 * AS$7) * (IF(AND(AS$5 &gt;= VLOOKUP($P447,Member_Tab,6,FALSE()), AS$5 &lt;= VLOOKUP($P447,Member_Tab,7,FALSE())),1,0))  )</f>
        <v>0</v>
      </c>
      <c r="AT447" s="76" t="n">
        <f aca="false">IF(ISERROR(VLOOKUP($P447,Member_Tab,4,FALSE())),0,(VLOOKUP($P447,Member_Tab,4,FALSE()) * 0.2 * AT$7) * (IF(AND(AT$5 &gt;= VLOOKUP($P447,Member_Tab,6,FALSE()), AT$5 &lt;= VLOOKUP($P447,Member_Tab,7,FALSE())),1,0))  )</f>
        <v>0</v>
      </c>
      <c r="AU447" s="76" t="n">
        <f aca="false">IF(ISERROR(VLOOKUP($P447,Member_Tab,4,FALSE())),0,(VLOOKUP($P447,Member_Tab,4,FALSE()) * 0.2 * AU$7) * (IF(AND(AU$5 &gt;= VLOOKUP($P447,Member_Tab,6,FALSE()), AU$5 &lt;= VLOOKUP($P447,Member_Tab,7,FALSE())),1,0))  )</f>
        <v>0</v>
      </c>
      <c r="AV447" s="76" t="n">
        <f aca="false">IF(ISERROR(VLOOKUP($P447,Member_Tab,4,FALSE())),0,(VLOOKUP($P447,Member_Tab,4,FALSE()) * 0.2 * AV$7) * (IF(AND(AV$5 &gt;= VLOOKUP($P447,Member_Tab,6,FALSE()), AV$5 &lt;= VLOOKUP($P447,Member_Tab,7,FALSE())),1,0))  )</f>
        <v>0</v>
      </c>
      <c r="AW447" s="76" t="n">
        <f aca="false">IF(ISERROR(VLOOKUP($P447,Member_Tab,4,FALSE())),0,(VLOOKUP($P447,Member_Tab,4,FALSE()) * 0.2 * AW$7) * (IF(AND(AW$5 &gt;= VLOOKUP($P447,Member_Tab,6,FALSE()), AW$5 &lt;= VLOOKUP($P447,Member_Tab,7,FALSE())),1,0))  )</f>
        <v>0</v>
      </c>
      <c r="AX447" s="76" t="n">
        <f aca="false">IF(ISERROR(VLOOKUP($P447,Member_Tab,4,FALSE())),0,(VLOOKUP($P447,Member_Tab,4,FALSE()) * 0.2 * AX$7) * (IF(AND(AX$5 &gt;= VLOOKUP($P447,Member_Tab,6,FALSE()), AX$5 &lt;= VLOOKUP($P447,Member_Tab,7,FALSE())),1,0))  )</f>
        <v>0</v>
      </c>
      <c r="AY447" s="76" t="n">
        <f aca="false">IF(ISERROR(VLOOKUP($P447,Member_Tab,4,FALSE())),0,(VLOOKUP($P447,Member_Tab,4,FALSE()) * 0.2 * AY$7) * (IF(AND(AY$5 &gt;= VLOOKUP($P447,Member_Tab,6,FALSE()), AY$5 &lt;= VLOOKUP($P447,Member_Tab,7,FALSE())),1,0))  )</f>
        <v>0</v>
      </c>
      <c r="AZ447" s="76" t="n">
        <f aca="false">IF(ISERROR(VLOOKUP($P447,Member_Tab,4,FALSE())),0,(VLOOKUP($P447,Member_Tab,4,FALSE()) * 0.2 * AZ$7) * (IF(AND(AZ$5 &gt;= VLOOKUP($P447,Member_Tab,6,FALSE()), AZ$5 &lt;= VLOOKUP($P447,Member_Tab,7,FALSE())),1,0))  )</f>
        <v>0</v>
      </c>
      <c r="BA447" s="76" t="n">
        <f aca="false">IF(ISERROR(VLOOKUP($P447,Member_Tab,4,FALSE())),0,(VLOOKUP($P447,Member_Tab,4,FALSE()) * 0.2 * BA$7) * (IF(AND(BA$5 &gt;= VLOOKUP($P447,Member_Tab,6,FALSE()), BA$5 &lt;= VLOOKUP($P447,Member_Tab,7,FALSE())),1,0))  )</f>
        <v>0</v>
      </c>
      <c r="BB447" s="76" t="n">
        <f aca="false">IF(ISERROR(VLOOKUP($P447,Member_Tab,4,FALSE())),0,(VLOOKUP($P447,Member_Tab,4,FALSE()) * 0.2 * BB$7) * (IF(AND(BB$5 &gt;= VLOOKUP($P447,Member_Tab,6,FALSE()), BB$5 &lt;= VLOOKUP($P447,Member_Tab,7,FALSE())),1,0))  )</f>
        <v>0</v>
      </c>
    </row>
    <row r="448" s="173" customFormat="true" ht="15" hidden="true" customHeight="false" outlineLevel="1" collapsed="false">
      <c r="E448" s="40"/>
      <c r="K448" s="40"/>
      <c r="L448" s="40"/>
      <c r="M448" s="40"/>
      <c r="N448" s="40"/>
      <c r="P448" s="177" t="n">
        <f aca="false">P311</f>
        <v>0</v>
      </c>
      <c r="Q448" s="40"/>
      <c r="R448" s="178"/>
      <c r="S448" s="76" t="n">
        <f aca="false">IF(ISERROR(VLOOKUP($P448,Member_Tab,4,FALSE())),0,(VLOOKUP($P448,Member_Tab,4,FALSE()) * 0.2 * S$7) * (IF(AND(S$5 &gt;= VLOOKUP($P448,Member_Tab,6,FALSE()), S$5 &lt;= VLOOKUP($P448,Member_Tab,7,FALSE())),1,0))  )</f>
        <v>0</v>
      </c>
      <c r="T448" s="76" t="n">
        <f aca="false">IF(ISERROR(VLOOKUP($P448,Member_Tab,4,FALSE())),0,(VLOOKUP($P448,Member_Tab,4,FALSE()) * 0.2 * T$7) * (IF(AND(T$5 &gt;= VLOOKUP($P448,Member_Tab,6,FALSE()), T$5 &lt;= VLOOKUP($P448,Member_Tab,7,FALSE())),1,0))  )</f>
        <v>0</v>
      </c>
      <c r="U448" s="76" t="n">
        <f aca="false">IF(ISERROR(VLOOKUP($P448,Member_Tab,4,FALSE())),0,(VLOOKUP($P448,Member_Tab,4,FALSE()) * 0.2 * U$7) * (IF(AND(U$5 &gt;= VLOOKUP($P448,Member_Tab,6,FALSE()), U$5 &lt;= VLOOKUP($P448,Member_Tab,7,FALSE())),1,0))  )</f>
        <v>0</v>
      </c>
      <c r="V448" s="76" t="n">
        <f aca="false">IF(ISERROR(VLOOKUP($P448,Member_Tab,4,FALSE())),0,(VLOOKUP($P448,Member_Tab,4,FALSE()) * 0.2 * V$7) * (IF(AND(V$5 &gt;= VLOOKUP($P448,Member_Tab,6,FALSE()), V$5 &lt;= VLOOKUP($P448,Member_Tab,7,FALSE())),1,0))  )</f>
        <v>0</v>
      </c>
      <c r="W448" s="76" t="n">
        <f aca="false">IF(ISERROR(VLOOKUP($P448,Member_Tab,4,FALSE())),0,(VLOOKUP($P448,Member_Tab,4,FALSE()) * 0.2 * W$7) * (IF(AND(W$5 &gt;= VLOOKUP($P448,Member_Tab,6,FALSE()), W$5 &lt;= VLOOKUP($P448,Member_Tab,7,FALSE())),1,0))  )</f>
        <v>0</v>
      </c>
      <c r="X448" s="76" t="n">
        <f aca="false">IF(ISERROR(VLOOKUP($P448,Member_Tab,4,FALSE())),0,(VLOOKUP($P448,Member_Tab,4,FALSE()) * 0.2 * X$7) * (IF(AND(X$5 &gt;= VLOOKUP($P448,Member_Tab,6,FALSE()), X$5 &lt;= VLOOKUP($P448,Member_Tab,7,FALSE())),1,0))  )</f>
        <v>0</v>
      </c>
      <c r="Y448" s="76" t="n">
        <f aca="false">IF(ISERROR(VLOOKUP($P448,Member_Tab,4,FALSE())),0,(VLOOKUP($P448,Member_Tab,4,FALSE()) * 0.2 * Y$7) * (IF(AND(Y$5 &gt;= VLOOKUP($P448,Member_Tab,6,FALSE()), Y$5 &lt;= VLOOKUP($P448,Member_Tab,7,FALSE())),1,0))  )</f>
        <v>0</v>
      </c>
      <c r="Z448" s="76" t="n">
        <f aca="false">IF(ISERROR(VLOOKUP($P448,Member_Tab,4,FALSE())),0,(VLOOKUP($P448,Member_Tab,4,FALSE()) * 0.2 * Z$7) * (IF(AND(Z$5 &gt;= VLOOKUP($P448,Member_Tab,6,FALSE()), Z$5 &lt;= VLOOKUP($P448,Member_Tab,7,FALSE())),1,0))  )</f>
        <v>0</v>
      </c>
      <c r="AA448" s="76" t="n">
        <f aca="false">IF(ISERROR(VLOOKUP($P448,Member_Tab,4,FALSE())),0,(VLOOKUP($P448,Member_Tab,4,FALSE()) * 0.2 * AA$7) * (IF(AND(AA$5 &gt;= VLOOKUP($P448,Member_Tab,6,FALSE()), AA$5 &lt;= VLOOKUP($P448,Member_Tab,7,FALSE())),1,0))  )</f>
        <v>0</v>
      </c>
      <c r="AB448" s="76" t="n">
        <f aca="false">IF(ISERROR(VLOOKUP($P448,Member_Tab,4,FALSE())),0,(VLOOKUP($P448,Member_Tab,4,FALSE()) * 0.2 * AB$7) * (IF(AND(AB$5 &gt;= VLOOKUP($P448,Member_Tab,6,FALSE()), AB$5 &lt;= VLOOKUP($P448,Member_Tab,7,FALSE())),1,0))  )</f>
        <v>0</v>
      </c>
      <c r="AC448" s="76" t="n">
        <f aca="false">IF(ISERROR(VLOOKUP($P448,Member_Tab,4,FALSE())),0,(VLOOKUP($P448,Member_Tab,4,FALSE()) * 0.2 * AC$7) * (IF(AND(AC$5 &gt;= VLOOKUP($P448,Member_Tab,6,FALSE()), AC$5 &lt;= VLOOKUP($P448,Member_Tab,7,FALSE())),1,0))  )</f>
        <v>0</v>
      </c>
      <c r="AD448" s="76" t="n">
        <f aca="false">IF(ISERROR(VLOOKUP($P448,Member_Tab,4,FALSE())),0,(VLOOKUP($P448,Member_Tab,4,FALSE()) * 0.2 * AD$7) * (IF(AND(AD$5 &gt;= VLOOKUP($P448,Member_Tab,6,FALSE()), AD$5 &lt;= VLOOKUP($P448,Member_Tab,7,FALSE())),1,0))  )</f>
        <v>0</v>
      </c>
      <c r="AE448" s="76" t="n">
        <f aca="false">IF(ISERROR(VLOOKUP($P448,Member_Tab,4,FALSE())),0,(VLOOKUP($P448,Member_Tab,4,FALSE()) * 0.2 * AE$7) * (IF(AND(AE$5 &gt;= VLOOKUP($P448,Member_Tab,6,FALSE()), AE$5 &lt;= VLOOKUP($P448,Member_Tab,7,FALSE())),1,0))  )</f>
        <v>0</v>
      </c>
      <c r="AF448" s="76" t="n">
        <f aca="false">IF(ISERROR(VLOOKUP($P448,Member_Tab,4,FALSE())),0,(VLOOKUP($P448,Member_Tab,4,FALSE()) * 0.2 * AF$7) * (IF(AND(AF$5 &gt;= VLOOKUP($P448,Member_Tab,6,FALSE()), AF$5 &lt;= VLOOKUP($P448,Member_Tab,7,FALSE())),1,0))  )</f>
        <v>0</v>
      </c>
      <c r="AG448" s="76" t="n">
        <f aca="false">IF(ISERROR(VLOOKUP($P448,Member_Tab,4,FALSE())),0,(VLOOKUP($P448,Member_Tab,4,FALSE()) * 0.2 * AG$7) * (IF(AND(AG$5 &gt;= VLOOKUP($P448,Member_Tab,6,FALSE()), AG$5 &lt;= VLOOKUP($P448,Member_Tab,7,FALSE())),1,0))  )</f>
        <v>0</v>
      </c>
      <c r="AH448" s="76" t="n">
        <f aca="false">IF(ISERROR(VLOOKUP($P448,Member_Tab,4,FALSE())),0,(VLOOKUP($P448,Member_Tab,4,FALSE()) * 0.2 * AH$7) * (IF(AND(AH$5 &gt;= VLOOKUP($P448,Member_Tab,6,FALSE()), AH$5 &lt;= VLOOKUP($P448,Member_Tab,7,FALSE())),1,0))  )</f>
        <v>0</v>
      </c>
      <c r="AI448" s="76" t="n">
        <f aca="false">IF(ISERROR(VLOOKUP($P448,Member_Tab,4,FALSE())),0,(VLOOKUP($P448,Member_Tab,4,FALSE()) * 0.2 * AI$7) * (IF(AND(AI$5 &gt;= VLOOKUP($P448,Member_Tab,6,FALSE()), AI$5 &lt;= VLOOKUP($P448,Member_Tab,7,FALSE())),1,0))  )</f>
        <v>0</v>
      </c>
      <c r="AJ448" s="76" t="n">
        <f aca="false">IF(ISERROR(VLOOKUP($P448,Member_Tab,4,FALSE())),0,(VLOOKUP($P448,Member_Tab,4,FALSE()) * 0.2 * AJ$7) * (IF(AND(AJ$5 &gt;= VLOOKUP($P448,Member_Tab,6,FALSE()), AJ$5 &lt;= VLOOKUP($P448,Member_Tab,7,FALSE())),1,0))  )</f>
        <v>0</v>
      </c>
      <c r="AK448" s="76" t="n">
        <f aca="false">IF(ISERROR(VLOOKUP($P448,Member_Tab,4,FALSE())),0,(VLOOKUP($P448,Member_Tab,4,FALSE()) * 0.2 * AK$7) * (IF(AND(AK$5 &gt;= VLOOKUP($P448,Member_Tab,6,FALSE()), AK$5 &lt;= VLOOKUP($P448,Member_Tab,7,FALSE())),1,0))  )</f>
        <v>0</v>
      </c>
      <c r="AL448" s="76" t="n">
        <f aca="false">IF(ISERROR(VLOOKUP($P448,Member_Tab,4,FALSE())),0,(VLOOKUP($P448,Member_Tab,4,FALSE()) * 0.2 * AL$7) * (IF(AND(AL$5 &gt;= VLOOKUP($P448,Member_Tab,6,FALSE()), AL$5 &lt;= VLOOKUP($P448,Member_Tab,7,FALSE())),1,0))  )</f>
        <v>0</v>
      </c>
      <c r="AM448" s="76" t="n">
        <f aca="false">IF(ISERROR(VLOOKUP($P448,Member_Tab,4,FALSE())),0,(VLOOKUP($P448,Member_Tab,4,FALSE()) * 0.2 * AM$7) * (IF(AND(AM$5 &gt;= VLOOKUP($P448,Member_Tab,6,FALSE()), AM$5 &lt;= VLOOKUP($P448,Member_Tab,7,FALSE())),1,0))  )</f>
        <v>0</v>
      </c>
      <c r="AN448" s="76" t="n">
        <f aca="false">IF(ISERROR(VLOOKUP($P448,Member_Tab,4,FALSE())),0,(VLOOKUP($P448,Member_Tab,4,FALSE()) * 0.2 * AN$7) * (IF(AND(AN$5 &gt;= VLOOKUP($P448,Member_Tab,6,FALSE()), AN$5 &lt;= VLOOKUP($P448,Member_Tab,7,FALSE())),1,0))  )</f>
        <v>0</v>
      </c>
      <c r="AO448" s="76" t="n">
        <f aca="false">IF(ISERROR(VLOOKUP($P448,Member_Tab,4,FALSE())),0,(VLOOKUP($P448,Member_Tab,4,FALSE()) * 0.2 * AO$7) * (IF(AND(AO$5 &gt;= VLOOKUP($P448,Member_Tab,6,FALSE()), AO$5 &lt;= VLOOKUP($P448,Member_Tab,7,FALSE())),1,0))  )</f>
        <v>0</v>
      </c>
      <c r="AP448" s="76" t="n">
        <f aca="false">IF(ISERROR(VLOOKUP($P448,Member_Tab,4,FALSE())),0,(VLOOKUP($P448,Member_Tab,4,FALSE()) * 0.2 * AP$7) * (IF(AND(AP$5 &gt;= VLOOKUP($P448,Member_Tab,6,FALSE()), AP$5 &lt;= VLOOKUP($P448,Member_Tab,7,FALSE())),1,0))  )</f>
        <v>0</v>
      </c>
      <c r="AQ448" s="76" t="n">
        <f aca="false">IF(ISERROR(VLOOKUP($P448,Member_Tab,4,FALSE())),0,(VLOOKUP($P448,Member_Tab,4,FALSE()) * 0.2 * AQ$7) * (IF(AND(AQ$5 &gt;= VLOOKUP($P448,Member_Tab,6,FALSE()), AQ$5 &lt;= VLOOKUP($P448,Member_Tab,7,FALSE())),1,0))  )</f>
        <v>0</v>
      </c>
      <c r="AR448" s="76" t="n">
        <f aca="false">IF(ISERROR(VLOOKUP($P448,Member_Tab,4,FALSE())),0,(VLOOKUP($P448,Member_Tab,4,FALSE()) * 0.2 * AR$7) * (IF(AND(AR$5 &gt;= VLOOKUP($P448,Member_Tab,6,FALSE()), AR$5 &lt;= VLOOKUP($P448,Member_Tab,7,FALSE())),1,0))  )</f>
        <v>0</v>
      </c>
      <c r="AS448" s="76" t="n">
        <f aca="false">IF(ISERROR(VLOOKUP($P448,Member_Tab,4,FALSE())),0,(VLOOKUP($P448,Member_Tab,4,FALSE()) * 0.2 * AS$7) * (IF(AND(AS$5 &gt;= VLOOKUP($P448,Member_Tab,6,FALSE()), AS$5 &lt;= VLOOKUP($P448,Member_Tab,7,FALSE())),1,0))  )</f>
        <v>0</v>
      </c>
      <c r="AT448" s="76" t="n">
        <f aca="false">IF(ISERROR(VLOOKUP($P448,Member_Tab,4,FALSE())),0,(VLOOKUP($P448,Member_Tab,4,FALSE()) * 0.2 * AT$7) * (IF(AND(AT$5 &gt;= VLOOKUP($P448,Member_Tab,6,FALSE()), AT$5 &lt;= VLOOKUP($P448,Member_Tab,7,FALSE())),1,0))  )</f>
        <v>0</v>
      </c>
      <c r="AU448" s="76" t="n">
        <f aca="false">IF(ISERROR(VLOOKUP($P448,Member_Tab,4,FALSE())),0,(VLOOKUP($P448,Member_Tab,4,FALSE()) * 0.2 * AU$7) * (IF(AND(AU$5 &gt;= VLOOKUP($P448,Member_Tab,6,FALSE()), AU$5 &lt;= VLOOKUP($P448,Member_Tab,7,FALSE())),1,0))  )</f>
        <v>0</v>
      </c>
      <c r="AV448" s="76" t="n">
        <f aca="false">IF(ISERROR(VLOOKUP($P448,Member_Tab,4,FALSE())),0,(VLOOKUP($P448,Member_Tab,4,FALSE()) * 0.2 * AV$7) * (IF(AND(AV$5 &gt;= VLOOKUP($P448,Member_Tab,6,FALSE()), AV$5 &lt;= VLOOKUP($P448,Member_Tab,7,FALSE())),1,0))  )</f>
        <v>0</v>
      </c>
      <c r="AW448" s="76" t="n">
        <f aca="false">IF(ISERROR(VLOOKUP($P448,Member_Tab,4,FALSE())),0,(VLOOKUP($P448,Member_Tab,4,FALSE()) * 0.2 * AW$7) * (IF(AND(AW$5 &gt;= VLOOKUP($P448,Member_Tab,6,FALSE()), AW$5 &lt;= VLOOKUP($P448,Member_Tab,7,FALSE())),1,0))  )</f>
        <v>0</v>
      </c>
      <c r="AX448" s="76" t="n">
        <f aca="false">IF(ISERROR(VLOOKUP($P448,Member_Tab,4,FALSE())),0,(VLOOKUP($P448,Member_Tab,4,FALSE()) * 0.2 * AX$7) * (IF(AND(AX$5 &gt;= VLOOKUP($P448,Member_Tab,6,FALSE()), AX$5 &lt;= VLOOKUP($P448,Member_Tab,7,FALSE())),1,0))  )</f>
        <v>0</v>
      </c>
      <c r="AY448" s="76" t="n">
        <f aca="false">IF(ISERROR(VLOOKUP($P448,Member_Tab,4,FALSE())),0,(VLOOKUP($P448,Member_Tab,4,FALSE()) * 0.2 * AY$7) * (IF(AND(AY$5 &gt;= VLOOKUP($P448,Member_Tab,6,FALSE()), AY$5 &lt;= VLOOKUP($P448,Member_Tab,7,FALSE())),1,0))  )</f>
        <v>0</v>
      </c>
      <c r="AZ448" s="76" t="n">
        <f aca="false">IF(ISERROR(VLOOKUP($P448,Member_Tab,4,FALSE())),0,(VLOOKUP($P448,Member_Tab,4,FALSE()) * 0.2 * AZ$7) * (IF(AND(AZ$5 &gt;= VLOOKUP($P448,Member_Tab,6,FALSE()), AZ$5 &lt;= VLOOKUP($P448,Member_Tab,7,FALSE())),1,0))  )</f>
        <v>0</v>
      </c>
      <c r="BA448" s="76" t="n">
        <f aca="false">IF(ISERROR(VLOOKUP($P448,Member_Tab,4,FALSE())),0,(VLOOKUP($P448,Member_Tab,4,FALSE()) * 0.2 * BA$7) * (IF(AND(BA$5 &gt;= VLOOKUP($P448,Member_Tab,6,FALSE()), BA$5 &lt;= VLOOKUP($P448,Member_Tab,7,FALSE())),1,0))  )</f>
        <v>0</v>
      </c>
      <c r="BB448" s="76" t="n">
        <f aca="false">IF(ISERROR(VLOOKUP($P448,Member_Tab,4,FALSE())),0,(VLOOKUP($P448,Member_Tab,4,FALSE()) * 0.2 * BB$7) * (IF(AND(BB$5 &gt;= VLOOKUP($P448,Member_Tab,6,FALSE()), BB$5 &lt;= VLOOKUP($P448,Member_Tab,7,FALSE())),1,0))  )</f>
        <v>0</v>
      </c>
    </row>
    <row r="449" s="173" customFormat="true" ht="15" hidden="true" customHeight="false" outlineLevel="1" collapsed="false">
      <c r="E449" s="40"/>
      <c r="K449" s="40"/>
      <c r="L449" s="40"/>
      <c r="M449" s="40"/>
      <c r="N449" s="40"/>
      <c r="P449" s="177" t="n">
        <f aca="false">P312</f>
        <v>0</v>
      </c>
      <c r="Q449" s="40"/>
      <c r="R449" s="178"/>
      <c r="S449" s="76" t="n">
        <f aca="false">IF(ISERROR(VLOOKUP($P449,Member_Tab,4,FALSE())),0,(VLOOKUP($P449,Member_Tab,4,FALSE()) * 0.2 * S$7) * (IF(AND(S$5 &gt;= VLOOKUP($P449,Member_Tab,6,FALSE()), S$5 &lt;= VLOOKUP($P449,Member_Tab,7,FALSE())),1,0))  )</f>
        <v>0</v>
      </c>
      <c r="T449" s="76" t="n">
        <f aca="false">IF(ISERROR(VLOOKUP($P449,Member_Tab,4,FALSE())),0,(VLOOKUP($P449,Member_Tab,4,FALSE()) * 0.2 * T$7) * (IF(AND(T$5 &gt;= VLOOKUP($P449,Member_Tab,6,FALSE()), T$5 &lt;= VLOOKUP($P449,Member_Tab,7,FALSE())),1,0))  )</f>
        <v>0</v>
      </c>
      <c r="U449" s="76" t="n">
        <f aca="false">IF(ISERROR(VLOOKUP($P449,Member_Tab,4,FALSE())),0,(VLOOKUP($P449,Member_Tab,4,FALSE()) * 0.2 * U$7) * (IF(AND(U$5 &gt;= VLOOKUP($P449,Member_Tab,6,FALSE()), U$5 &lt;= VLOOKUP($P449,Member_Tab,7,FALSE())),1,0))  )</f>
        <v>0</v>
      </c>
      <c r="V449" s="76" t="n">
        <f aca="false">IF(ISERROR(VLOOKUP($P449,Member_Tab,4,FALSE())),0,(VLOOKUP($P449,Member_Tab,4,FALSE()) * 0.2 * V$7) * (IF(AND(V$5 &gt;= VLOOKUP($P449,Member_Tab,6,FALSE()), V$5 &lt;= VLOOKUP($P449,Member_Tab,7,FALSE())),1,0))  )</f>
        <v>0</v>
      </c>
      <c r="W449" s="76" t="n">
        <f aca="false">IF(ISERROR(VLOOKUP($P449,Member_Tab,4,FALSE())),0,(VLOOKUP($P449,Member_Tab,4,FALSE()) * 0.2 * W$7) * (IF(AND(W$5 &gt;= VLOOKUP($P449,Member_Tab,6,FALSE()), W$5 &lt;= VLOOKUP($P449,Member_Tab,7,FALSE())),1,0))  )</f>
        <v>0</v>
      </c>
      <c r="X449" s="76" t="n">
        <f aca="false">IF(ISERROR(VLOOKUP($P449,Member_Tab,4,FALSE())),0,(VLOOKUP($P449,Member_Tab,4,FALSE()) * 0.2 * X$7) * (IF(AND(X$5 &gt;= VLOOKUP($P449,Member_Tab,6,FALSE()), X$5 &lt;= VLOOKUP($P449,Member_Tab,7,FALSE())),1,0))  )</f>
        <v>0</v>
      </c>
      <c r="Y449" s="76" t="n">
        <f aca="false">IF(ISERROR(VLOOKUP($P449,Member_Tab,4,FALSE())),0,(VLOOKUP($P449,Member_Tab,4,FALSE()) * 0.2 * Y$7) * (IF(AND(Y$5 &gt;= VLOOKUP($P449,Member_Tab,6,FALSE()), Y$5 &lt;= VLOOKUP($P449,Member_Tab,7,FALSE())),1,0))  )</f>
        <v>0</v>
      </c>
      <c r="Z449" s="76" t="n">
        <f aca="false">IF(ISERROR(VLOOKUP($P449,Member_Tab,4,FALSE())),0,(VLOOKUP($P449,Member_Tab,4,FALSE()) * 0.2 * Z$7) * (IF(AND(Z$5 &gt;= VLOOKUP($P449,Member_Tab,6,FALSE()), Z$5 &lt;= VLOOKUP($P449,Member_Tab,7,FALSE())),1,0))  )</f>
        <v>0</v>
      </c>
      <c r="AA449" s="76" t="n">
        <f aca="false">IF(ISERROR(VLOOKUP($P449,Member_Tab,4,FALSE())),0,(VLOOKUP($P449,Member_Tab,4,FALSE()) * 0.2 * AA$7) * (IF(AND(AA$5 &gt;= VLOOKUP($P449,Member_Tab,6,FALSE()), AA$5 &lt;= VLOOKUP($P449,Member_Tab,7,FALSE())),1,0))  )</f>
        <v>0</v>
      </c>
      <c r="AB449" s="76" t="n">
        <f aca="false">IF(ISERROR(VLOOKUP($P449,Member_Tab,4,FALSE())),0,(VLOOKUP($P449,Member_Tab,4,FALSE()) * 0.2 * AB$7) * (IF(AND(AB$5 &gt;= VLOOKUP($P449,Member_Tab,6,FALSE()), AB$5 &lt;= VLOOKUP($P449,Member_Tab,7,FALSE())),1,0))  )</f>
        <v>0</v>
      </c>
      <c r="AC449" s="76" t="n">
        <f aca="false">IF(ISERROR(VLOOKUP($P449,Member_Tab,4,FALSE())),0,(VLOOKUP($P449,Member_Tab,4,FALSE()) * 0.2 * AC$7) * (IF(AND(AC$5 &gt;= VLOOKUP($P449,Member_Tab,6,FALSE()), AC$5 &lt;= VLOOKUP($P449,Member_Tab,7,FALSE())),1,0))  )</f>
        <v>0</v>
      </c>
      <c r="AD449" s="76" t="n">
        <f aca="false">IF(ISERROR(VLOOKUP($P449,Member_Tab,4,FALSE())),0,(VLOOKUP($P449,Member_Tab,4,FALSE()) * 0.2 * AD$7) * (IF(AND(AD$5 &gt;= VLOOKUP($P449,Member_Tab,6,FALSE()), AD$5 &lt;= VLOOKUP($P449,Member_Tab,7,FALSE())),1,0))  )</f>
        <v>0</v>
      </c>
      <c r="AE449" s="76" t="n">
        <f aca="false">IF(ISERROR(VLOOKUP($P449,Member_Tab,4,FALSE())),0,(VLOOKUP($P449,Member_Tab,4,FALSE()) * 0.2 * AE$7) * (IF(AND(AE$5 &gt;= VLOOKUP($P449,Member_Tab,6,FALSE()), AE$5 &lt;= VLOOKUP($P449,Member_Tab,7,FALSE())),1,0))  )</f>
        <v>0</v>
      </c>
      <c r="AF449" s="76" t="n">
        <f aca="false">IF(ISERROR(VLOOKUP($P449,Member_Tab,4,FALSE())),0,(VLOOKUP($P449,Member_Tab,4,FALSE()) * 0.2 * AF$7) * (IF(AND(AF$5 &gt;= VLOOKUP($P449,Member_Tab,6,FALSE()), AF$5 &lt;= VLOOKUP($P449,Member_Tab,7,FALSE())),1,0))  )</f>
        <v>0</v>
      </c>
      <c r="AG449" s="76" t="n">
        <f aca="false">IF(ISERROR(VLOOKUP($P449,Member_Tab,4,FALSE())),0,(VLOOKUP($P449,Member_Tab,4,FALSE()) * 0.2 * AG$7) * (IF(AND(AG$5 &gt;= VLOOKUP($P449,Member_Tab,6,FALSE()), AG$5 &lt;= VLOOKUP($P449,Member_Tab,7,FALSE())),1,0))  )</f>
        <v>0</v>
      </c>
      <c r="AH449" s="76" t="n">
        <f aca="false">IF(ISERROR(VLOOKUP($P449,Member_Tab,4,FALSE())),0,(VLOOKUP($P449,Member_Tab,4,FALSE()) * 0.2 * AH$7) * (IF(AND(AH$5 &gt;= VLOOKUP($P449,Member_Tab,6,FALSE()), AH$5 &lt;= VLOOKUP($P449,Member_Tab,7,FALSE())),1,0))  )</f>
        <v>0</v>
      </c>
      <c r="AI449" s="76" t="n">
        <f aca="false">IF(ISERROR(VLOOKUP($P449,Member_Tab,4,FALSE())),0,(VLOOKUP($P449,Member_Tab,4,FALSE()) * 0.2 * AI$7) * (IF(AND(AI$5 &gt;= VLOOKUP($P449,Member_Tab,6,FALSE()), AI$5 &lt;= VLOOKUP($P449,Member_Tab,7,FALSE())),1,0))  )</f>
        <v>0</v>
      </c>
      <c r="AJ449" s="76" t="n">
        <f aca="false">IF(ISERROR(VLOOKUP($P449,Member_Tab,4,FALSE())),0,(VLOOKUP($P449,Member_Tab,4,FALSE()) * 0.2 * AJ$7) * (IF(AND(AJ$5 &gt;= VLOOKUP($P449,Member_Tab,6,FALSE()), AJ$5 &lt;= VLOOKUP($P449,Member_Tab,7,FALSE())),1,0))  )</f>
        <v>0</v>
      </c>
      <c r="AK449" s="76" t="n">
        <f aca="false">IF(ISERROR(VLOOKUP($P449,Member_Tab,4,FALSE())),0,(VLOOKUP($P449,Member_Tab,4,FALSE()) * 0.2 * AK$7) * (IF(AND(AK$5 &gt;= VLOOKUP($P449,Member_Tab,6,FALSE()), AK$5 &lt;= VLOOKUP($P449,Member_Tab,7,FALSE())),1,0))  )</f>
        <v>0</v>
      </c>
      <c r="AL449" s="76" t="n">
        <f aca="false">IF(ISERROR(VLOOKUP($P449,Member_Tab,4,FALSE())),0,(VLOOKUP($P449,Member_Tab,4,FALSE()) * 0.2 * AL$7) * (IF(AND(AL$5 &gt;= VLOOKUP($P449,Member_Tab,6,FALSE()), AL$5 &lt;= VLOOKUP($P449,Member_Tab,7,FALSE())),1,0))  )</f>
        <v>0</v>
      </c>
      <c r="AM449" s="76" t="n">
        <f aca="false">IF(ISERROR(VLOOKUP($P449,Member_Tab,4,FALSE())),0,(VLOOKUP($P449,Member_Tab,4,FALSE()) * 0.2 * AM$7) * (IF(AND(AM$5 &gt;= VLOOKUP($P449,Member_Tab,6,FALSE()), AM$5 &lt;= VLOOKUP($P449,Member_Tab,7,FALSE())),1,0))  )</f>
        <v>0</v>
      </c>
      <c r="AN449" s="76" t="n">
        <f aca="false">IF(ISERROR(VLOOKUP($P449,Member_Tab,4,FALSE())),0,(VLOOKUP($P449,Member_Tab,4,FALSE()) * 0.2 * AN$7) * (IF(AND(AN$5 &gt;= VLOOKUP($P449,Member_Tab,6,FALSE()), AN$5 &lt;= VLOOKUP($P449,Member_Tab,7,FALSE())),1,0))  )</f>
        <v>0</v>
      </c>
      <c r="AO449" s="76" t="n">
        <f aca="false">IF(ISERROR(VLOOKUP($P449,Member_Tab,4,FALSE())),0,(VLOOKUP($P449,Member_Tab,4,FALSE()) * 0.2 * AO$7) * (IF(AND(AO$5 &gt;= VLOOKUP($P449,Member_Tab,6,FALSE()), AO$5 &lt;= VLOOKUP($P449,Member_Tab,7,FALSE())),1,0))  )</f>
        <v>0</v>
      </c>
      <c r="AP449" s="76" t="n">
        <f aca="false">IF(ISERROR(VLOOKUP($P449,Member_Tab,4,FALSE())),0,(VLOOKUP($P449,Member_Tab,4,FALSE()) * 0.2 * AP$7) * (IF(AND(AP$5 &gt;= VLOOKUP($P449,Member_Tab,6,FALSE()), AP$5 &lt;= VLOOKUP($P449,Member_Tab,7,FALSE())),1,0))  )</f>
        <v>0</v>
      </c>
      <c r="AQ449" s="76" t="n">
        <f aca="false">IF(ISERROR(VLOOKUP($P449,Member_Tab,4,FALSE())),0,(VLOOKUP($P449,Member_Tab,4,FALSE()) * 0.2 * AQ$7) * (IF(AND(AQ$5 &gt;= VLOOKUP($P449,Member_Tab,6,FALSE()), AQ$5 &lt;= VLOOKUP($P449,Member_Tab,7,FALSE())),1,0))  )</f>
        <v>0</v>
      </c>
      <c r="AR449" s="76" t="n">
        <f aca="false">IF(ISERROR(VLOOKUP($P449,Member_Tab,4,FALSE())),0,(VLOOKUP($P449,Member_Tab,4,FALSE()) * 0.2 * AR$7) * (IF(AND(AR$5 &gt;= VLOOKUP($P449,Member_Tab,6,FALSE()), AR$5 &lt;= VLOOKUP($P449,Member_Tab,7,FALSE())),1,0))  )</f>
        <v>0</v>
      </c>
      <c r="AS449" s="76" t="n">
        <f aca="false">IF(ISERROR(VLOOKUP($P449,Member_Tab,4,FALSE())),0,(VLOOKUP($P449,Member_Tab,4,FALSE()) * 0.2 * AS$7) * (IF(AND(AS$5 &gt;= VLOOKUP($P449,Member_Tab,6,FALSE()), AS$5 &lt;= VLOOKUP($P449,Member_Tab,7,FALSE())),1,0))  )</f>
        <v>0</v>
      </c>
      <c r="AT449" s="76" t="n">
        <f aca="false">IF(ISERROR(VLOOKUP($P449,Member_Tab,4,FALSE())),0,(VLOOKUP($P449,Member_Tab,4,FALSE()) * 0.2 * AT$7) * (IF(AND(AT$5 &gt;= VLOOKUP($P449,Member_Tab,6,FALSE()), AT$5 &lt;= VLOOKUP($P449,Member_Tab,7,FALSE())),1,0))  )</f>
        <v>0</v>
      </c>
      <c r="AU449" s="76" t="n">
        <f aca="false">IF(ISERROR(VLOOKUP($P449,Member_Tab,4,FALSE())),0,(VLOOKUP($P449,Member_Tab,4,FALSE()) * 0.2 * AU$7) * (IF(AND(AU$5 &gt;= VLOOKUP($P449,Member_Tab,6,FALSE()), AU$5 &lt;= VLOOKUP($P449,Member_Tab,7,FALSE())),1,0))  )</f>
        <v>0</v>
      </c>
      <c r="AV449" s="76" t="n">
        <f aca="false">IF(ISERROR(VLOOKUP($P449,Member_Tab,4,FALSE())),0,(VLOOKUP($P449,Member_Tab,4,FALSE()) * 0.2 * AV$7) * (IF(AND(AV$5 &gt;= VLOOKUP($P449,Member_Tab,6,FALSE()), AV$5 &lt;= VLOOKUP($P449,Member_Tab,7,FALSE())),1,0))  )</f>
        <v>0</v>
      </c>
      <c r="AW449" s="76" t="n">
        <f aca="false">IF(ISERROR(VLOOKUP($P449,Member_Tab,4,FALSE())),0,(VLOOKUP($P449,Member_Tab,4,FALSE()) * 0.2 * AW$7) * (IF(AND(AW$5 &gt;= VLOOKUP($P449,Member_Tab,6,FALSE()), AW$5 &lt;= VLOOKUP($P449,Member_Tab,7,FALSE())),1,0))  )</f>
        <v>0</v>
      </c>
      <c r="AX449" s="76" t="n">
        <f aca="false">IF(ISERROR(VLOOKUP($P449,Member_Tab,4,FALSE())),0,(VLOOKUP($P449,Member_Tab,4,FALSE()) * 0.2 * AX$7) * (IF(AND(AX$5 &gt;= VLOOKUP($P449,Member_Tab,6,FALSE()), AX$5 &lt;= VLOOKUP($P449,Member_Tab,7,FALSE())),1,0))  )</f>
        <v>0</v>
      </c>
      <c r="AY449" s="76" t="n">
        <f aca="false">IF(ISERROR(VLOOKUP($P449,Member_Tab,4,FALSE())),0,(VLOOKUP($P449,Member_Tab,4,FALSE()) * 0.2 * AY$7) * (IF(AND(AY$5 &gt;= VLOOKUP($P449,Member_Tab,6,FALSE()), AY$5 &lt;= VLOOKUP($P449,Member_Tab,7,FALSE())),1,0))  )</f>
        <v>0</v>
      </c>
      <c r="AZ449" s="76" t="n">
        <f aca="false">IF(ISERROR(VLOOKUP($P449,Member_Tab,4,FALSE())),0,(VLOOKUP($P449,Member_Tab,4,FALSE()) * 0.2 * AZ$7) * (IF(AND(AZ$5 &gt;= VLOOKUP($P449,Member_Tab,6,FALSE()), AZ$5 &lt;= VLOOKUP($P449,Member_Tab,7,FALSE())),1,0))  )</f>
        <v>0</v>
      </c>
      <c r="BA449" s="76" t="n">
        <f aca="false">IF(ISERROR(VLOOKUP($P449,Member_Tab,4,FALSE())),0,(VLOOKUP($P449,Member_Tab,4,FALSE()) * 0.2 * BA$7) * (IF(AND(BA$5 &gt;= VLOOKUP($P449,Member_Tab,6,FALSE()), BA$5 &lt;= VLOOKUP($P449,Member_Tab,7,FALSE())),1,0))  )</f>
        <v>0</v>
      </c>
      <c r="BB449" s="76" t="n">
        <f aca="false">IF(ISERROR(VLOOKUP($P449,Member_Tab,4,FALSE())),0,(VLOOKUP($P449,Member_Tab,4,FALSE()) * 0.2 * BB$7) * (IF(AND(BB$5 &gt;= VLOOKUP($P449,Member_Tab,6,FALSE()), BB$5 &lt;= VLOOKUP($P449,Member_Tab,7,FALSE())),1,0))  )</f>
        <v>0</v>
      </c>
    </row>
    <row r="450" s="173" customFormat="true" ht="15" hidden="true" customHeight="false" outlineLevel="1" collapsed="false">
      <c r="E450" s="40"/>
      <c r="K450" s="40"/>
      <c r="L450" s="40"/>
      <c r="M450" s="40"/>
      <c r="N450" s="40"/>
      <c r="P450" s="177" t="n">
        <f aca="false">P313</f>
        <v>0</v>
      </c>
      <c r="Q450" s="40"/>
      <c r="R450" s="178"/>
      <c r="S450" s="76" t="n">
        <f aca="false">IF(ISERROR(VLOOKUP($P450,Member_Tab,4,FALSE())),0,(VLOOKUP($P450,Member_Tab,4,FALSE()) * 0.2 * S$7) * (IF(AND(S$5 &gt;= VLOOKUP($P450,Member_Tab,6,FALSE()), S$5 &lt;= VLOOKUP($P450,Member_Tab,7,FALSE())),1,0))  )</f>
        <v>0</v>
      </c>
      <c r="T450" s="76" t="n">
        <f aca="false">IF(ISERROR(VLOOKUP($P450,Member_Tab,4,FALSE())),0,(VLOOKUP($P450,Member_Tab,4,FALSE()) * 0.2 * T$7) * (IF(AND(T$5 &gt;= VLOOKUP($P450,Member_Tab,6,FALSE()), T$5 &lt;= VLOOKUP($P450,Member_Tab,7,FALSE())),1,0))  )</f>
        <v>0</v>
      </c>
      <c r="U450" s="76" t="n">
        <f aca="false">IF(ISERROR(VLOOKUP($P450,Member_Tab,4,FALSE())),0,(VLOOKUP($P450,Member_Tab,4,FALSE()) * 0.2 * U$7) * (IF(AND(U$5 &gt;= VLOOKUP($P450,Member_Tab,6,FALSE()), U$5 &lt;= VLOOKUP($P450,Member_Tab,7,FALSE())),1,0))  )</f>
        <v>0</v>
      </c>
      <c r="V450" s="76" t="n">
        <f aca="false">IF(ISERROR(VLOOKUP($P450,Member_Tab,4,FALSE())),0,(VLOOKUP($P450,Member_Tab,4,FALSE()) * 0.2 * V$7) * (IF(AND(V$5 &gt;= VLOOKUP($P450,Member_Tab,6,FALSE()), V$5 &lt;= VLOOKUP($P450,Member_Tab,7,FALSE())),1,0))  )</f>
        <v>0</v>
      </c>
      <c r="W450" s="76" t="n">
        <f aca="false">IF(ISERROR(VLOOKUP($P450,Member_Tab,4,FALSE())),0,(VLOOKUP($P450,Member_Tab,4,FALSE()) * 0.2 * W$7) * (IF(AND(W$5 &gt;= VLOOKUP($P450,Member_Tab,6,FALSE()), W$5 &lt;= VLOOKUP($P450,Member_Tab,7,FALSE())),1,0))  )</f>
        <v>0</v>
      </c>
      <c r="X450" s="76" t="n">
        <f aca="false">IF(ISERROR(VLOOKUP($P450,Member_Tab,4,FALSE())),0,(VLOOKUP($P450,Member_Tab,4,FALSE()) * 0.2 * X$7) * (IF(AND(X$5 &gt;= VLOOKUP($P450,Member_Tab,6,FALSE()), X$5 &lt;= VLOOKUP($P450,Member_Tab,7,FALSE())),1,0))  )</f>
        <v>0</v>
      </c>
      <c r="Y450" s="76" t="n">
        <f aca="false">IF(ISERROR(VLOOKUP($P450,Member_Tab,4,FALSE())),0,(VLOOKUP($P450,Member_Tab,4,FALSE()) * 0.2 * Y$7) * (IF(AND(Y$5 &gt;= VLOOKUP($P450,Member_Tab,6,FALSE()), Y$5 &lt;= VLOOKUP($P450,Member_Tab,7,FALSE())),1,0))  )</f>
        <v>0</v>
      </c>
      <c r="Z450" s="76" t="n">
        <f aca="false">IF(ISERROR(VLOOKUP($P450,Member_Tab,4,FALSE())),0,(VLOOKUP($P450,Member_Tab,4,FALSE()) * 0.2 * Z$7) * (IF(AND(Z$5 &gt;= VLOOKUP($P450,Member_Tab,6,FALSE()), Z$5 &lt;= VLOOKUP($P450,Member_Tab,7,FALSE())),1,0))  )</f>
        <v>0</v>
      </c>
      <c r="AA450" s="76" t="n">
        <f aca="false">IF(ISERROR(VLOOKUP($P450,Member_Tab,4,FALSE())),0,(VLOOKUP($P450,Member_Tab,4,FALSE()) * 0.2 * AA$7) * (IF(AND(AA$5 &gt;= VLOOKUP($P450,Member_Tab,6,FALSE()), AA$5 &lt;= VLOOKUP($P450,Member_Tab,7,FALSE())),1,0))  )</f>
        <v>0</v>
      </c>
      <c r="AB450" s="76" t="n">
        <f aca="false">IF(ISERROR(VLOOKUP($P450,Member_Tab,4,FALSE())),0,(VLOOKUP($P450,Member_Tab,4,FALSE()) * 0.2 * AB$7) * (IF(AND(AB$5 &gt;= VLOOKUP($P450,Member_Tab,6,FALSE()), AB$5 &lt;= VLOOKUP($P450,Member_Tab,7,FALSE())),1,0))  )</f>
        <v>0</v>
      </c>
      <c r="AC450" s="76" t="n">
        <f aca="false">IF(ISERROR(VLOOKUP($P450,Member_Tab,4,FALSE())),0,(VLOOKUP($P450,Member_Tab,4,FALSE()) * 0.2 * AC$7) * (IF(AND(AC$5 &gt;= VLOOKUP($P450,Member_Tab,6,FALSE()), AC$5 &lt;= VLOOKUP($P450,Member_Tab,7,FALSE())),1,0))  )</f>
        <v>0</v>
      </c>
      <c r="AD450" s="76" t="n">
        <f aca="false">IF(ISERROR(VLOOKUP($P450,Member_Tab,4,FALSE())),0,(VLOOKUP($P450,Member_Tab,4,FALSE()) * 0.2 * AD$7) * (IF(AND(AD$5 &gt;= VLOOKUP($P450,Member_Tab,6,FALSE()), AD$5 &lt;= VLOOKUP($P450,Member_Tab,7,FALSE())),1,0))  )</f>
        <v>0</v>
      </c>
      <c r="AE450" s="76" t="n">
        <f aca="false">IF(ISERROR(VLOOKUP($P450,Member_Tab,4,FALSE())),0,(VLOOKUP($P450,Member_Tab,4,FALSE()) * 0.2 * AE$7) * (IF(AND(AE$5 &gt;= VLOOKUP($P450,Member_Tab,6,FALSE()), AE$5 &lt;= VLOOKUP($P450,Member_Tab,7,FALSE())),1,0))  )</f>
        <v>0</v>
      </c>
      <c r="AF450" s="76" t="n">
        <f aca="false">IF(ISERROR(VLOOKUP($P450,Member_Tab,4,FALSE())),0,(VLOOKUP($P450,Member_Tab,4,FALSE()) * 0.2 * AF$7) * (IF(AND(AF$5 &gt;= VLOOKUP($P450,Member_Tab,6,FALSE()), AF$5 &lt;= VLOOKUP($P450,Member_Tab,7,FALSE())),1,0))  )</f>
        <v>0</v>
      </c>
      <c r="AG450" s="76" t="n">
        <f aca="false">IF(ISERROR(VLOOKUP($P450,Member_Tab,4,FALSE())),0,(VLOOKUP($P450,Member_Tab,4,FALSE()) * 0.2 * AG$7) * (IF(AND(AG$5 &gt;= VLOOKUP($P450,Member_Tab,6,FALSE()), AG$5 &lt;= VLOOKUP($P450,Member_Tab,7,FALSE())),1,0))  )</f>
        <v>0</v>
      </c>
      <c r="AH450" s="76" t="n">
        <f aca="false">IF(ISERROR(VLOOKUP($P450,Member_Tab,4,FALSE())),0,(VLOOKUP($P450,Member_Tab,4,FALSE()) * 0.2 * AH$7) * (IF(AND(AH$5 &gt;= VLOOKUP($P450,Member_Tab,6,FALSE()), AH$5 &lt;= VLOOKUP($P450,Member_Tab,7,FALSE())),1,0))  )</f>
        <v>0</v>
      </c>
      <c r="AI450" s="76" t="n">
        <f aca="false">IF(ISERROR(VLOOKUP($P450,Member_Tab,4,FALSE())),0,(VLOOKUP($P450,Member_Tab,4,FALSE()) * 0.2 * AI$7) * (IF(AND(AI$5 &gt;= VLOOKUP($P450,Member_Tab,6,FALSE()), AI$5 &lt;= VLOOKUP($P450,Member_Tab,7,FALSE())),1,0))  )</f>
        <v>0</v>
      </c>
      <c r="AJ450" s="76" t="n">
        <f aca="false">IF(ISERROR(VLOOKUP($P450,Member_Tab,4,FALSE())),0,(VLOOKUP($P450,Member_Tab,4,FALSE()) * 0.2 * AJ$7) * (IF(AND(AJ$5 &gt;= VLOOKUP($P450,Member_Tab,6,FALSE()), AJ$5 &lt;= VLOOKUP($P450,Member_Tab,7,FALSE())),1,0))  )</f>
        <v>0</v>
      </c>
      <c r="AK450" s="76" t="n">
        <f aca="false">IF(ISERROR(VLOOKUP($P450,Member_Tab,4,FALSE())),0,(VLOOKUP($P450,Member_Tab,4,FALSE()) * 0.2 * AK$7) * (IF(AND(AK$5 &gt;= VLOOKUP($P450,Member_Tab,6,FALSE()), AK$5 &lt;= VLOOKUP($P450,Member_Tab,7,FALSE())),1,0))  )</f>
        <v>0</v>
      </c>
      <c r="AL450" s="76" t="n">
        <f aca="false">IF(ISERROR(VLOOKUP($P450,Member_Tab,4,FALSE())),0,(VLOOKUP($P450,Member_Tab,4,FALSE()) * 0.2 * AL$7) * (IF(AND(AL$5 &gt;= VLOOKUP($P450,Member_Tab,6,FALSE()), AL$5 &lt;= VLOOKUP($P450,Member_Tab,7,FALSE())),1,0))  )</f>
        <v>0</v>
      </c>
      <c r="AM450" s="76" t="n">
        <f aca="false">IF(ISERROR(VLOOKUP($P450,Member_Tab,4,FALSE())),0,(VLOOKUP($P450,Member_Tab,4,FALSE()) * 0.2 * AM$7) * (IF(AND(AM$5 &gt;= VLOOKUP($P450,Member_Tab,6,FALSE()), AM$5 &lt;= VLOOKUP($P450,Member_Tab,7,FALSE())),1,0))  )</f>
        <v>0</v>
      </c>
      <c r="AN450" s="76" t="n">
        <f aca="false">IF(ISERROR(VLOOKUP($P450,Member_Tab,4,FALSE())),0,(VLOOKUP($P450,Member_Tab,4,FALSE()) * 0.2 * AN$7) * (IF(AND(AN$5 &gt;= VLOOKUP($P450,Member_Tab,6,FALSE()), AN$5 &lt;= VLOOKUP($P450,Member_Tab,7,FALSE())),1,0))  )</f>
        <v>0</v>
      </c>
      <c r="AO450" s="76" t="n">
        <f aca="false">IF(ISERROR(VLOOKUP($P450,Member_Tab,4,FALSE())),0,(VLOOKUP($P450,Member_Tab,4,FALSE()) * 0.2 * AO$7) * (IF(AND(AO$5 &gt;= VLOOKUP($P450,Member_Tab,6,FALSE()), AO$5 &lt;= VLOOKUP($P450,Member_Tab,7,FALSE())),1,0))  )</f>
        <v>0</v>
      </c>
      <c r="AP450" s="76" t="n">
        <f aca="false">IF(ISERROR(VLOOKUP($P450,Member_Tab,4,FALSE())),0,(VLOOKUP($P450,Member_Tab,4,FALSE()) * 0.2 * AP$7) * (IF(AND(AP$5 &gt;= VLOOKUP($P450,Member_Tab,6,FALSE()), AP$5 &lt;= VLOOKUP($P450,Member_Tab,7,FALSE())),1,0))  )</f>
        <v>0</v>
      </c>
      <c r="AQ450" s="76" t="n">
        <f aca="false">IF(ISERROR(VLOOKUP($P450,Member_Tab,4,FALSE())),0,(VLOOKUP($P450,Member_Tab,4,FALSE()) * 0.2 * AQ$7) * (IF(AND(AQ$5 &gt;= VLOOKUP($P450,Member_Tab,6,FALSE()), AQ$5 &lt;= VLOOKUP($P450,Member_Tab,7,FALSE())),1,0))  )</f>
        <v>0</v>
      </c>
      <c r="AR450" s="76" t="n">
        <f aca="false">IF(ISERROR(VLOOKUP($P450,Member_Tab,4,FALSE())),0,(VLOOKUP($P450,Member_Tab,4,FALSE()) * 0.2 * AR$7) * (IF(AND(AR$5 &gt;= VLOOKUP($P450,Member_Tab,6,FALSE()), AR$5 &lt;= VLOOKUP($P450,Member_Tab,7,FALSE())),1,0))  )</f>
        <v>0</v>
      </c>
      <c r="AS450" s="76" t="n">
        <f aca="false">IF(ISERROR(VLOOKUP($P450,Member_Tab,4,FALSE())),0,(VLOOKUP($P450,Member_Tab,4,FALSE()) * 0.2 * AS$7) * (IF(AND(AS$5 &gt;= VLOOKUP($P450,Member_Tab,6,FALSE()), AS$5 &lt;= VLOOKUP($P450,Member_Tab,7,FALSE())),1,0))  )</f>
        <v>0</v>
      </c>
      <c r="AT450" s="76" t="n">
        <f aca="false">IF(ISERROR(VLOOKUP($P450,Member_Tab,4,FALSE())),0,(VLOOKUP($P450,Member_Tab,4,FALSE()) * 0.2 * AT$7) * (IF(AND(AT$5 &gt;= VLOOKUP($P450,Member_Tab,6,FALSE()), AT$5 &lt;= VLOOKUP($P450,Member_Tab,7,FALSE())),1,0))  )</f>
        <v>0</v>
      </c>
      <c r="AU450" s="76" t="n">
        <f aca="false">IF(ISERROR(VLOOKUP($P450,Member_Tab,4,FALSE())),0,(VLOOKUP($P450,Member_Tab,4,FALSE()) * 0.2 * AU$7) * (IF(AND(AU$5 &gt;= VLOOKUP($P450,Member_Tab,6,FALSE()), AU$5 &lt;= VLOOKUP($P450,Member_Tab,7,FALSE())),1,0))  )</f>
        <v>0</v>
      </c>
      <c r="AV450" s="76" t="n">
        <f aca="false">IF(ISERROR(VLOOKUP($P450,Member_Tab,4,FALSE())),0,(VLOOKUP($P450,Member_Tab,4,FALSE()) * 0.2 * AV$7) * (IF(AND(AV$5 &gt;= VLOOKUP($P450,Member_Tab,6,FALSE()), AV$5 &lt;= VLOOKUP($P450,Member_Tab,7,FALSE())),1,0))  )</f>
        <v>0</v>
      </c>
      <c r="AW450" s="76" t="n">
        <f aca="false">IF(ISERROR(VLOOKUP($P450,Member_Tab,4,FALSE())),0,(VLOOKUP($P450,Member_Tab,4,FALSE()) * 0.2 * AW$7) * (IF(AND(AW$5 &gt;= VLOOKUP($P450,Member_Tab,6,FALSE()), AW$5 &lt;= VLOOKUP($P450,Member_Tab,7,FALSE())),1,0))  )</f>
        <v>0</v>
      </c>
      <c r="AX450" s="76" t="n">
        <f aca="false">IF(ISERROR(VLOOKUP($P450,Member_Tab,4,FALSE())),0,(VLOOKUP($P450,Member_Tab,4,FALSE()) * 0.2 * AX$7) * (IF(AND(AX$5 &gt;= VLOOKUP($P450,Member_Tab,6,FALSE()), AX$5 &lt;= VLOOKUP($P450,Member_Tab,7,FALSE())),1,0))  )</f>
        <v>0</v>
      </c>
      <c r="AY450" s="76" t="n">
        <f aca="false">IF(ISERROR(VLOOKUP($P450,Member_Tab,4,FALSE())),0,(VLOOKUP($P450,Member_Tab,4,FALSE()) * 0.2 * AY$7) * (IF(AND(AY$5 &gt;= VLOOKUP($P450,Member_Tab,6,FALSE()), AY$5 &lt;= VLOOKUP($P450,Member_Tab,7,FALSE())),1,0))  )</f>
        <v>0</v>
      </c>
      <c r="AZ450" s="76" t="n">
        <f aca="false">IF(ISERROR(VLOOKUP($P450,Member_Tab,4,FALSE())),0,(VLOOKUP($P450,Member_Tab,4,FALSE()) * 0.2 * AZ$7) * (IF(AND(AZ$5 &gt;= VLOOKUP($P450,Member_Tab,6,FALSE()), AZ$5 &lt;= VLOOKUP($P450,Member_Tab,7,FALSE())),1,0))  )</f>
        <v>0</v>
      </c>
      <c r="BA450" s="76" t="n">
        <f aca="false">IF(ISERROR(VLOOKUP($P450,Member_Tab,4,FALSE())),0,(VLOOKUP($P450,Member_Tab,4,FALSE()) * 0.2 * BA$7) * (IF(AND(BA$5 &gt;= VLOOKUP($P450,Member_Tab,6,FALSE()), BA$5 &lt;= VLOOKUP($P450,Member_Tab,7,FALSE())),1,0))  )</f>
        <v>0</v>
      </c>
      <c r="BB450" s="76" t="n">
        <f aca="false">IF(ISERROR(VLOOKUP($P450,Member_Tab,4,FALSE())),0,(VLOOKUP($P450,Member_Tab,4,FALSE()) * 0.2 * BB$7) * (IF(AND(BB$5 &gt;= VLOOKUP($P450,Member_Tab,6,FALSE()), BB$5 &lt;= VLOOKUP($P450,Member_Tab,7,FALSE())),1,0))  )</f>
        <v>0</v>
      </c>
    </row>
    <row r="451" s="173" customFormat="true" ht="15" hidden="true" customHeight="false" outlineLevel="1" collapsed="false">
      <c r="E451" s="40"/>
      <c r="K451" s="40"/>
      <c r="L451" s="40"/>
      <c r="M451" s="40"/>
      <c r="N451" s="40"/>
      <c r="P451" s="177" t="n">
        <f aca="false">P314</f>
        <v>0</v>
      </c>
      <c r="Q451" s="40"/>
      <c r="R451" s="178"/>
      <c r="S451" s="76" t="n">
        <f aca="false">IF(ISERROR(VLOOKUP($P451,Member_Tab,4,FALSE())),0,(VLOOKUP($P451,Member_Tab,4,FALSE()) * 0.2 * S$7) * (IF(AND(S$5 &gt;= VLOOKUP($P451,Member_Tab,6,FALSE()), S$5 &lt;= VLOOKUP($P451,Member_Tab,7,FALSE())),1,0))  )</f>
        <v>0</v>
      </c>
      <c r="T451" s="76" t="n">
        <f aca="false">IF(ISERROR(VLOOKUP($P451,Member_Tab,4,FALSE())),0,(VLOOKUP($P451,Member_Tab,4,FALSE()) * 0.2 * T$7) * (IF(AND(T$5 &gt;= VLOOKUP($P451,Member_Tab,6,FALSE()), T$5 &lt;= VLOOKUP($P451,Member_Tab,7,FALSE())),1,0))  )</f>
        <v>0</v>
      </c>
      <c r="U451" s="76" t="n">
        <f aca="false">IF(ISERROR(VLOOKUP($P451,Member_Tab,4,FALSE())),0,(VLOOKUP($P451,Member_Tab,4,FALSE()) * 0.2 * U$7) * (IF(AND(U$5 &gt;= VLOOKUP($P451,Member_Tab,6,FALSE()), U$5 &lt;= VLOOKUP($P451,Member_Tab,7,FALSE())),1,0))  )</f>
        <v>0</v>
      </c>
      <c r="V451" s="76" t="n">
        <f aca="false">IF(ISERROR(VLOOKUP($P451,Member_Tab,4,FALSE())),0,(VLOOKUP($P451,Member_Tab,4,FALSE()) * 0.2 * V$7) * (IF(AND(V$5 &gt;= VLOOKUP($P451,Member_Tab,6,FALSE()), V$5 &lt;= VLOOKUP($P451,Member_Tab,7,FALSE())),1,0))  )</f>
        <v>0</v>
      </c>
      <c r="W451" s="76" t="n">
        <f aca="false">IF(ISERROR(VLOOKUP($P451,Member_Tab,4,FALSE())),0,(VLOOKUP($P451,Member_Tab,4,FALSE()) * 0.2 * W$7) * (IF(AND(W$5 &gt;= VLOOKUP($P451,Member_Tab,6,FALSE()), W$5 &lt;= VLOOKUP($P451,Member_Tab,7,FALSE())),1,0))  )</f>
        <v>0</v>
      </c>
      <c r="X451" s="76" t="n">
        <f aca="false">IF(ISERROR(VLOOKUP($P451,Member_Tab,4,FALSE())),0,(VLOOKUP($P451,Member_Tab,4,FALSE()) * 0.2 * X$7) * (IF(AND(X$5 &gt;= VLOOKUP($P451,Member_Tab,6,FALSE()), X$5 &lt;= VLOOKUP($P451,Member_Tab,7,FALSE())),1,0))  )</f>
        <v>0</v>
      </c>
      <c r="Y451" s="76" t="n">
        <f aca="false">IF(ISERROR(VLOOKUP($P451,Member_Tab,4,FALSE())),0,(VLOOKUP($P451,Member_Tab,4,FALSE()) * 0.2 * Y$7) * (IF(AND(Y$5 &gt;= VLOOKUP($P451,Member_Tab,6,FALSE()), Y$5 &lt;= VLOOKUP($P451,Member_Tab,7,FALSE())),1,0))  )</f>
        <v>0</v>
      </c>
      <c r="Z451" s="76" t="n">
        <f aca="false">IF(ISERROR(VLOOKUP($P451,Member_Tab,4,FALSE())),0,(VLOOKUP($P451,Member_Tab,4,FALSE()) * 0.2 * Z$7) * (IF(AND(Z$5 &gt;= VLOOKUP($P451,Member_Tab,6,FALSE()), Z$5 &lt;= VLOOKUP($P451,Member_Tab,7,FALSE())),1,0))  )</f>
        <v>0</v>
      </c>
      <c r="AA451" s="76" t="n">
        <f aca="false">IF(ISERROR(VLOOKUP($P451,Member_Tab,4,FALSE())),0,(VLOOKUP($P451,Member_Tab,4,FALSE()) * 0.2 * AA$7) * (IF(AND(AA$5 &gt;= VLOOKUP($P451,Member_Tab,6,FALSE()), AA$5 &lt;= VLOOKUP($P451,Member_Tab,7,FALSE())),1,0))  )</f>
        <v>0</v>
      </c>
      <c r="AB451" s="76" t="n">
        <f aca="false">IF(ISERROR(VLOOKUP($P451,Member_Tab,4,FALSE())),0,(VLOOKUP($P451,Member_Tab,4,FALSE()) * 0.2 * AB$7) * (IF(AND(AB$5 &gt;= VLOOKUP($P451,Member_Tab,6,FALSE()), AB$5 &lt;= VLOOKUP($P451,Member_Tab,7,FALSE())),1,0))  )</f>
        <v>0</v>
      </c>
      <c r="AC451" s="76" t="n">
        <f aca="false">IF(ISERROR(VLOOKUP($P451,Member_Tab,4,FALSE())),0,(VLOOKUP($P451,Member_Tab,4,FALSE()) * 0.2 * AC$7) * (IF(AND(AC$5 &gt;= VLOOKUP($P451,Member_Tab,6,FALSE()), AC$5 &lt;= VLOOKUP($P451,Member_Tab,7,FALSE())),1,0))  )</f>
        <v>0</v>
      </c>
      <c r="AD451" s="76" t="n">
        <f aca="false">IF(ISERROR(VLOOKUP($P451,Member_Tab,4,FALSE())),0,(VLOOKUP($P451,Member_Tab,4,FALSE()) * 0.2 * AD$7) * (IF(AND(AD$5 &gt;= VLOOKUP($P451,Member_Tab,6,FALSE()), AD$5 &lt;= VLOOKUP($P451,Member_Tab,7,FALSE())),1,0))  )</f>
        <v>0</v>
      </c>
      <c r="AE451" s="76" t="n">
        <f aca="false">IF(ISERROR(VLOOKUP($P451,Member_Tab,4,FALSE())),0,(VLOOKUP($P451,Member_Tab,4,FALSE()) * 0.2 * AE$7) * (IF(AND(AE$5 &gt;= VLOOKUP($P451,Member_Tab,6,FALSE()), AE$5 &lt;= VLOOKUP($P451,Member_Tab,7,FALSE())),1,0))  )</f>
        <v>0</v>
      </c>
      <c r="AF451" s="76" t="n">
        <f aca="false">IF(ISERROR(VLOOKUP($P451,Member_Tab,4,FALSE())),0,(VLOOKUP($P451,Member_Tab,4,FALSE()) * 0.2 * AF$7) * (IF(AND(AF$5 &gt;= VLOOKUP($P451,Member_Tab,6,FALSE()), AF$5 &lt;= VLOOKUP($P451,Member_Tab,7,FALSE())),1,0))  )</f>
        <v>0</v>
      </c>
      <c r="AG451" s="76" t="n">
        <f aca="false">IF(ISERROR(VLOOKUP($P451,Member_Tab,4,FALSE())),0,(VLOOKUP($P451,Member_Tab,4,FALSE()) * 0.2 * AG$7) * (IF(AND(AG$5 &gt;= VLOOKUP($P451,Member_Tab,6,FALSE()), AG$5 &lt;= VLOOKUP($P451,Member_Tab,7,FALSE())),1,0))  )</f>
        <v>0</v>
      </c>
      <c r="AH451" s="76" t="n">
        <f aca="false">IF(ISERROR(VLOOKUP($P451,Member_Tab,4,FALSE())),0,(VLOOKUP($P451,Member_Tab,4,FALSE()) * 0.2 * AH$7) * (IF(AND(AH$5 &gt;= VLOOKUP($P451,Member_Tab,6,FALSE()), AH$5 &lt;= VLOOKUP($P451,Member_Tab,7,FALSE())),1,0))  )</f>
        <v>0</v>
      </c>
      <c r="AI451" s="76" t="n">
        <f aca="false">IF(ISERROR(VLOOKUP($P451,Member_Tab,4,FALSE())),0,(VLOOKUP($P451,Member_Tab,4,FALSE()) * 0.2 * AI$7) * (IF(AND(AI$5 &gt;= VLOOKUP($P451,Member_Tab,6,FALSE()), AI$5 &lt;= VLOOKUP($P451,Member_Tab,7,FALSE())),1,0))  )</f>
        <v>0</v>
      </c>
      <c r="AJ451" s="76" t="n">
        <f aca="false">IF(ISERROR(VLOOKUP($P451,Member_Tab,4,FALSE())),0,(VLOOKUP($P451,Member_Tab,4,FALSE()) * 0.2 * AJ$7) * (IF(AND(AJ$5 &gt;= VLOOKUP($P451,Member_Tab,6,FALSE()), AJ$5 &lt;= VLOOKUP($P451,Member_Tab,7,FALSE())),1,0))  )</f>
        <v>0</v>
      </c>
      <c r="AK451" s="76" t="n">
        <f aca="false">IF(ISERROR(VLOOKUP($P451,Member_Tab,4,FALSE())),0,(VLOOKUP($P451,Member_Tab,4,FALSE()) * 0.2 * AK$7) * (IF(AND(AK$5 &gt;= VLOOKUP($P451,Member_Tab,6,FALSE()), AK$5 &lt;= VLOOKUP($P451,Member_Tab,7,FALSE())),1,0))  )</f>
        <v>0</v>
      </c>
      <c r="AL451" s="76" t="n">
        <f aca="false">IF(ISERROR(VLOOKUP($P451,Member_Tab,4,FALSE())),0,(VLOOKUP($P451,Member_Tab,4,FALSE()) * 0.2 * AL$7) * (IF(AND(AL$5 &gt;= VLOOKUP($P451,Member_Tab,6,FALSE()), AL$5 &lt;= VLOOKUP($P451,Member_Tab,7,FALSE())),1,0))  )</f>
        <v>0</v>
      </c>
      <c r="AM451" s="76" t="n">
        <f aca="false">IF(ISERROR(VLOOKUP($P451,Member_Tab,4,FALSE())),0,(VLOOKUP($P451,Member_Tab,4,FALSE()) * 0.2 * AM$7) * (IF(AND(AM$5 &gt;= VLOOKUP($P451,Member_Tab,6,FALSE()), AM$5 &lt;= VLOOKUP($P451,Member_Tab,7,FALSE())),1,0))  )</f>
        <v>0</v>
      </c>
      <c r="AN451" s="76" t="n">
        <f aca="false">IF(ISERROR(VLOOKUP($P451,Member_Tab,4,FALSE())),0,(VLOOKUP($P451,Member_Tab,4,FALSE()) * 0.2 * AN$7) * (IF(AND(AN$5 &gt;= VLOOKUP($P451,Member_Tab,6,FALSE()), AN$5 &lt;= VLOOKUP($P451,Member_Tab,7,FALSE())),1,0))  )</f>
        <v>0</v>
      </c>
      <c r="AO451" s="76" t="n">
        <f aca="false">IF(ISERROR(VLOOKUP($P451,Member_Tab,4,FALSE())),0,(VLOOKUP($P451,Member_Tab,4,FALSE()) * 0.2 * AO$7) * (IF(AND(AO$5 &gt;= VLOOKUP($P451,Member_Tab,6,FALSE()), AO$5 &lt;= VLOOKUP($P451,Member_Tab,7,FALSE())),1,0))  )</f>
        <v>0</v>
      </c>
      <c r="AP451" s="76" t="n">
        <f aca="false">IF(ISERROR(VLOOKUP($P451,Member_Tab,4,FALSE())),0,(VLOOKUP($P451,Member_Tab,4,FALSE()) * 0.2 * AP$7) * (IF(AND(AP$5 &gt;= VLOOKUP($P451,Member_Tab,6,FALSE()), AP$5 &lt;= VLOOKUP($P451,Member_Tab,7,FALSE())),1,0))  )</f>
        <v>0</v>
      </c>
      <c r="AQ451" s="76" t="n">
        <f aca="false">IF(ISERROR(VLOOKUP($P451,Member_Tab,4,FALSE())),0,(VLOOKUP($P451,Member_Tab,4,FALSE()) * 0.2 * AQ$7) * (IF(AND(AQ$5 &gt;= VLOOKUP($P451,Member_Tab,6,FALSE()), AQ$5 &lt;= VLOOKUP($P451,Member_Tab,7,FALSE())),1,0))  )</f>
        <v>0</v>
      </c>
      <c r="AR451" s="76" t="n">
        <f aca="false">IF(ISERROR(VLOOKUP($P451,Member_Tab,4,FALSE())),0,(VLOOKUP($P451,Member_Tab,4,FALSE()) * 0.2 * AR$7) * (IF(AND(AR$5 &gt;= VLOOKUP($P451,Member_Tab,6,FALSE()), AR$5 &lt;= VLOOKUP($P451,Member_Tab,7,FALSE())),1,0))  )</f>
        <v>0</v>
      </c>
      <c r="AS451" s="76" t="n">
        <f aca="false">IF(ISERROR(VLOOKUP($P451,Member_Tab,4,FALSE())),0,(VLOOKUP($P451,Member_Tab,4,FALSE()) * 0.2 * AS$7) * (IF(AND(AS$5 &gt;= VLOOKUP($P451,Member_Tab,6,FALSE()), AS$5 &lt;= VLOOKUP($P451,Member_Tab,7,FALSE())),1,0))  )</f>
        <v>0</v>
      </c>
      <c r="AT451" s="76" t="n">
        <f aca="false">IF(ISERROR(VLOOKUP($P451,Member_Tab,4,FALSE())),0,(VLOOKUP($P451,Member_Tab,4,FALSE()) * 0.2 * AT$7) * (IF(AND(AT$5 &gt;= VLOOKUP($P451,Member_Tab,6,FALSE()), AT$5 &lt;= VLOOKUP($P451,Member_Tab,7,FALSE())),1,0))  )</f>
        <v>0</v>
      </c>
      <c r="AU451" s="76" t="n">
        <f aca="false">IF(ISERROR(VLOOKUP($P451,Member_Tab,4,FALSE())),0,(VLOOKUP($P451,Member_Tab,4,FALSE()) * 0.2 * AU$7) * (IF(AND(AU$5 &gt;= VLOOKUP($P451,Member_Tab,6,FALSE()), AU$5 &lt;= VLOOKUP($P451,Member_Tab,7,FALSE())),1,0))  )</f>
        <v>0</v>
      </c>
      <c r="AV451" s="76" t="n">
        <f aca="false">IF(ISERROR(VLOOKUP($P451,Member_Tab,4,FALSE())),0,(VLOOKUP($P451,Member_Tab,4,FALSE()) * 0.2 * AV$7) * (IF(AND(AV$5 &gt;= VLOOKUP($P451,Member_Tab,6,FALSE()), AV$5 &lt;= VLOOKUP($P451,Member_Tab,7,FALSE())),1,0))  )</f>
        <v>0</v>
      </c>
      <c r="AW451" s="76" t="n">
        <f aca="false">IF(ISERROR(VLOOKUP($P451,Member_Tab,4,FALSE())),0,(VLOOKUP($P451,Member_Tab,4,FALSE()) * 0.2 * AW$7) * (IF(AND(AW$5 &gt;= VLOOKUP($P451,Member_Tab,6,FALSE()), AW$5 &lt;= VLOOKUP($P451,Member_Tab,7,FALSE())),1,0))  )</f>
        <v>0</v>
      </c>
      <c r="AX451" s="76" t="n">
        <f aca="false">IF(ISERROR(VLOOKUP($P451,Member_Tab,4,FALSE())),0,(VLOOKUP($P451,Member_Tab,4,FALSE()) * 0.2 * AX$7) * (IF(AND(AX$5 &gt;= VLOOKUP($P451,Member_Tab,6,FALSE()), AX$5 &lt;= VLOOKUP($P451,Member_Tab,7,FALSE())),1,0))  )</f>
        <v>0</v>
      </c>
      <c r="AY451" s="76" t="n">
        <f aca="false">IF(ISERROR(VLOOKUP($P451,Member_Tab,4,FALSE())),0,(VLOOKUP($P451,Member_Tab,4,FALSE()) * 0.2 * AY$7) * (IF(AND(AY$5 &gt;= VLOOKUP($P451,Member_Tab,6,FALSE()), AY$5 &lt;= VLOOKUP($P451,Member_Tab,7,FALSE())),1,0))  )</f>
        <v>0</v>
      </c>
      <c r="AZ451" s="76" t="n">
        <f aca="false">IF(ISERROR(VLOOKUP($P451,Member_Tab,4,FALSE())),0,(VLOOKUP($P451,Member_Tab,4,FALSE()) * 0.2 * AZ$7) * (IF(AND(AZ$5 &gt;= VLOOKUP($P451,Member_Tab,6,FALSE()), AZ$5 &lt;= VLOOKUP($P451,Member_Tab,7,FALSE())),1,0))  )</f>
        <v>0</v>
      </c>
      <c r="BA451" s="76" t="n">
        <f aca="false">IF(ISERROR(VLOOKUP($P451,Member_Tab,4,FALSE())),0,(VLOOKUP($P451,Member_Tab,4,FALSE()) * 0.2 * BA$7) * (IF(AND(BA$5 &gt;= VLOOKUP($P451,Member_Tab,6,FALSE()), BA$5 &lt;= VLOOKUP($P451,Member_Tab,7,FALSE())),1,0))  )</f>
        <v>0</v>
      </c>
      <c r="BB451" s="76" t="n">
        <f aca="false">IF(ISERROR(VLOOKUP($P451,Member_Tab,4,FALSE())),0,(VLOOKUP($P451,Member_Tab,4,FALSE()) * 0.2 * BB$7) * (IF(AND(BB$5 &gt;= VLOOKUP($P451,Member_Tab,6,FALSE()), BB$5 &lt;= VLOOKUP($P451,Member_Tab,7,FALSE())),1,0))  )</f>
        <v>0</v>
      </c>
    </row>
    <row r="452" s="173" customFormat="true" ht="15" hidden="true" customHeight="false" outlineLevel="1" collapsed="false">
      <c r="E452" s="40"/>
      <c r="K452" s="40"/>
      <c r="L452" s="40"/>
      <c r="M452" s="40"/>
      <c r="N452" s="40"/>
      <c r="P452" s="177" t="n">
        <f aca="false">P315</f>
        <v>0</v>
      </c>
      <c r="Q452" s="40"/>
      <c r="R452" s="178"/>
      <c r="S452" s="76" t="n">
        <f aca="false">IF(ISERROR(VLOOKUP($P452,Member_Tab,4,FALSE())),0,(VLOOKUP($P452,Member_Tab,4,FALSE()) * 0.2 * S$7) * (IF(AND(S$5 &gt;= VLOOKUP($P452,Member_Tab,6,FALSE()), S$5 &lt;= VLOOKUP($P452,Member_Tab,7,FALSE())),1,0))  )</f>
        <v>0</v>
      </c>
      <c r="T452" s="76" t="n">
        <f aca="false">IF(ISERROR(VLOOKUP($P452,Member_Tab,4,FALSE())),0,(VLOOKUP($P452,Member_Tab,4,FALSE()) * 0.2 * T$7) * (IF(AND(T$5 &gt;= VLOOKUP($P452,Member_Tab,6,FALSE()), T$5 &lt;= VLOOKUP($P452,Member_Tab,7,FALSE())),1,0))  )</f>
        <v>0</v>
      </c>
      <c r="U452" s="76" t="n">
        <f aca="false">IF(ISERROR(VLOOKUP($P452,Member_Tab,4,FALSE())),0,(VLOOKUP($P452,Member_Tab,4,FALSE()) * 0.2 * U$7) * (IF(AND(U$5 &gt;= VLOOKUP($P452,Member_Tab,6,FALSE()), U$5 &lt;= VLOOKUP($P452,Member_Tab,7,FALSE())),1,0))  )</f>
        <v>0</v>
      </c>
      <c r="V452" s="76" t="n">
        <f aca="false">IF(ISERROR(VLOOKUP($P452,Member_Tab,4,FALSE())),0,(VLOOKUP($P452,Member_Tab,4,FALSE()) * 0.2 * V$7) * (IF(AND(V$5 &gt;= VLOOKUP($P452,Member_Tab,6,FALSE()), V$5 &lt;= VLOOKUP($P452,Member_Tab,7,FALSE())),1,0))  )</f>
        <v>0</v>
      </c>
      <c r="W452" s="76" t="n">
        <f aca="false">IF(ISERROR(VLOOKUP($P452,Member_Tab,4,FALSE())),0,(VLOOKUP($P452,Member_Tab,4,FALSE()) * 0.2 * W$7) * (IF(AND(W$5 &gt;= VLOOKUP($P452,Member_Tab,6,FALSE()), W$5 &lt;= VLOOKUP($P452,Member_Tab,7,FALSE())),1,0))  )</f>
        <v>0</v>
      </c>
      <c r="X452" s="76" t="n">
        <f aca="false">IF(ISERROR(VLOOKUP($P452,Member_Tab,4,FALSE())),0,(VLOOKUP($P452,Member_Tab,4,FALSE()) * 0.2 * X$7) * (IF(AND(X$5 &gt;= VLOOKUP($P452,Member_Tab,6,FALSE()), X$5 &lt;= VLOOKUP($P452,Member_Tab,7,FALSE())),1,0))  )</f>
        <v>0</v>
      </c>
      <c r="Y452" s="76" t="n">
        <f aca="false">IF(ISERROR(VLOOKUP($P452,Member_Tab,4,FALSE())),0,(VLOOKUP($P452,Member_Tab,4,FALSE()) * 0.2 * Y$7) * (IF(AND(Y$5 &gt;= VLOOKUP($P452,Member_Tab,6,FALSE()), Y$5 &lt;= VLOOKUP($P452,Member_Tab,7,FALSE())),1,0))  )</f>
        <v>0</v>
      </c>
      <c r="Z452" s="76" t="n">
        <f aca="false">IF(ISERROR(VLOOKUP($P452,Member_Tab,4,FALSE())),0,(VLOOKUP($P452,Member_Tab,4,FALSE()) * 0.2 * Z$7) * (IF(AND(Z$5 &gt;= VLOOKUP($P452,Member_Tab,6,FALSE()), Z$5 &lt;= VLOOKUP($P452,Member_Tab,7,FALSE())),1,0))  )</f>
        <v>0</v>
      </c>
      <c r="AA452" s="76" t="n">
        <f aca="false">IF(ISERROR(VLOOKUP($P452,Member_Tab,4,FALSE())),0,(VLOOKUP($P452,Member_Tab,4,FALSE()) * 0.2 * AA$7) * (IF(AND(AA$5 &gt;= VLOOKUP($P452,Member_Tab,6,FALSE()), AA$5 &lt;= VLOOKUP($P452,Member_Tab,7,FALSE())),1,0))  )</f>
        <v>0</v>
      </c>
      <c r="AB452" s="76" t="n">
        <f aca="false">IF(ISERROR(VLOOKUP($P452,Member_Tab,4,FALSE())),0,(VLOOKUP($P452,Member_Tab,4,FALSE()) * 0.2 * AB$7) * (IF(AND(AB$5 &gt;= VLOOKUP($P452,Member_Tab,6,FALSE()), AB$5 &lt;= VLOOKUP($P452,Member_Tab,7,FALSE())),1,0))  )</f>
        <v>0</v>
      </c>
      <c r="AC452" s="76" t="n">
        <f aca="false">IF(ISERROR(VLOOKUP($P452,Member_Tab,4,FALSE())),0,(VLOOKUP($P452,Member_Tab,4,FALSE()) * 0.2 * AC$7) * (IF(AND(AC$5 &gt;= VLOOKUP($P452,Member_Tab,6,FALSE()), AC$5 &lt;= VLOOKUP($P452,Member_Tab,7,FALSE())),1,0))  )</f>
        <v>0</v>
      </c>
      <c r="AD452" s="76" t="n">
        <f aca="false">IF(ISERROR(VLOOKUP($P452,Member_Tab,4,FALSE())),0,(VLOOKUP($P452,Member_Tab,4,FALSE()) * 0.2 * AD$7) * (IF(AND(AD$5 &gt;= VLOOKUP($P452,Member_Tab,6,FALSE()), AD$5 &lt;= VLOOKUP($P452,Member_Tab,7,FALSE())),1,0))  )</f>
        <v>0</v>
      </c>
      <c r="AE452" s="76" t="n">
        <f aca="false">IF(ISERROR(VLOOKUP($P452,Member_Tab,4,FALSE())),0,(VLOOKUP($P452,Member_Tab,4,FALSE()) * 0.2 * AE$7) * (IF(AND(AE$5 &gt;= VLOOKUP($P452,Member_Tab,6,FALSE()), AE$5 &lt;= VLOOKUP($P452,Member_Tab,7,FALSE())),1,0))  )</f>
        <v>0</v>
      </c>
      <c r="AF452" s="76" t="n">
        <f aca="false">IF(ISERROR(VLOOKUP($P452,Member_Tab,4,FALSE())),0,(VLOOKUP($P452,Member_Tab,4,FALSE()) * 0.2 * AF$7) * (IF(AND(AF$5 &gt;= VLOOKUP($P452,Member_Tab,6,FALSE()), AF$5 &lt;= VLOOKUP($P452,Member_Tab,7,FALSE())),1,0))  )</f>
        <v>0</v>
      </c>
      <c r="AG452" s="76" t="n">
        <f aca="false">IF(ISERROR(VLOOKUP($P452,Member_Tab,4,FALSE())),0,(VLOOKUP($P452,Member_Tab,4,FALSE()) * 0.2 * AG$7) * (IF(AND(AG$5 &gt;= VLOOKUP($P452,Member_Tab,6,FALSE()), AG$5 &lt;= VLOOKUP($P452,Member_Tab,7,FALSE())),1,0))  )</f>
        <v>0</v>
      </c>
      <c r="AH452" s="76" t="n">
        <f aca="false">IF(ISERROR(VLOOKUP($P452,Member_Tab,4,FALSE())),0,(VLOOKUP($P452,Member_Tab,4,FALSE()) * 0.2 * AH$7) * (IF(AND(AH$5 &gt;= VLOOKUP($P452,Member_Tab,6,FALSE()), AH$5 &lt;= VLOOKUP($P452,Member_Tab,7,FALSE())),1,0))  )</f>
        <v>0</v>
      </c>
      <c r="AI452" s="76" t="n">
        <f aca="false">IF(ISERROR(VLOOKUP($P452,Member_Tab,4,FALSE())),0,(VLOOKUP($P452,Member_Tab,4,FALSE()) * 0.2 * AI$7) * (IF(AND(AI$5 &gt;= VLOOKUP($P452,Member_Tab,6,FALSE()), AI$5 &lt;= VLOOKUP($P452,Member_Tab,7,FALSE())),1,0))  )</f>
        <v>0</v>
      </c>
      <c r="AJ452" s="76" t="n">
        <f aca="false">IF(ISERROR(VLOOKUP($P452,Member_Tab,4,FALSE())),0,(VLOOKUP($P452,Member_Tab,4,FALSE()) * 0.2 * AJ$7) * (IF(AND(AJ$5 &gt;= VLOOKUP($P452,Member_Tab,6,FALSE()), AJ$5 &lt;= VLOOKUP($P452,Member_Tab,7,FALSE())),1,0))  )</f>
        <v>0</v>
      </c>
      <c r="AK452" s="76" t="n">
        <f aca="false">IF(ISERROR(VLOOKUP($P452,Member_Tab,4,FALSE())),0,(VLOOKUP($P452,Member_Tab,4,FALSE()) * 0.2 * AK$7) * (IF(AND(AK$5 &gt;= VLOOKUP($P452,Member_Tab,6,FALSE()), AK$5 &lt;= VLOOKUP($P452,Member_Tab,7,FALSE())),1,0))  )</f>
        <v>0</v>
      </c>
      <c r="AL452" s="76" t="n">
        <f aca="false">IF(ISERROR(VLOOKUP($P452,Member_Tab,4,FALSE())),0,(VLOOKUP($P452,Member_Tab,4,FALSE()) * 0.2 * AL$7) * (IF(AND(AL$5 &gt;= VLOOKUP($P452,Member_Tab,6,FALSE()), AL$5 &lt;= VLOOKUP($P452,Member_Tab,7,FALSE())),1,0))  )</f>
        <v>0</v>
      </c>
      <c r="AM452" s="76" t="n">
        <f aca="false">IF(ISERROR(VLOOKUP($P452,Member_Tab,4,FALSE())),0,(VLOOKUP($P452,Member_Tab,4,FALSE()) * 0.2 * AM$7) * (IF(AND(AM$5 &gt;= VLOOKUP($P452,Member_Tab,6,FALSE()), AM$5 &lt;= VLOOKUP($P452,Member_Tab,7,FALSE())),1,0))  )</f>
        <v>0</v>
      </c>
      <c r="AN452" s="76" t="n">
        <f aca="false">IF(ISERROR(VLOOKUP($P452,Member_Tab,4,FALSE())),0,(VLOOKUP($P452,Member_Tab,4,FALSE()) * 0.2 * AN$7) * (IF(AND(AN$5 &gt;= VLOOKUP($P452,Member_Tab,6,FALSE()), AN$5 &lt;= VLOOKUP($P452,Member_Tab,7,FALSE())),1,0))  )</f>
        <v>0</v>
      </c>
      <c r="AO452" s="76" t="n">
        <f aca="false">IF(ISERROR(VLOOKUP($P452,Member_Tab,4,FALSE())),0,(VLOOKUP($P452,Member_Tab,4,FALSE()) * 0.2 * AO$7) * (IF(AND(AO$5 &gt;= VLOOKUP($P452,Member_Tab,6,FALSE()), AO$5 &lt;= VLOOKUP($P452,Member_Tab,7,FALSE())),1,0))  )</f>
        <v>0</v>
      </c>
      <c r="AP452" s="76" t="n">
        <f aca="false">IF(ISERROR(VLOOKUP($P452,Member_Tab,4,FALSE())),0,(VLOOKUP($P452,Member_Tab,4,FALSE()) * 0.2 * AP$7) * (IF(AND(AP$5 &gt;= VLOOKUP($P452,Member_Tab,6,FALSE()), AP$5 &lt;= VLOOKUP($P452,Member_Tab,7,FALSE())),1,0))  )</f>
        <v>0</v>
      </c>
      <c r="AQ452" s="76" t="n">
        <f aca="false">IF(ISERROR(VLOOKUP($P452,Member_Tab,4,FALSE())),0,(VLOOKUP($P452,Member_Tab,4,FALSE()) * 0.2 * AQ$7) * (IF(AND(AQ$5 &gt;= VLOOKUP($P452,Member_Tab,6,FALSE()), AQ$5 &lt;= VLOOKUP($P452,Member_Tab,7,FALSE())),1,0))  )</f>
        <v>0</v>
      </c>
      <c r="AR452" s="76" t="n">
        <f aca="false">IF(ISERROR(VLOOKUP($P452,Member_Tab,4,FALSE())),0,(VLOOKUP($P452,Member_Tab,4,FALSE()) * 0.2 * AR$7) * (IF(AND(AR$5 &gt;= VLOOKUP($P452,Member_Tab,6,FALSE()), AR$5 &lt;= VLOOKUP($P452,Member_Tab,7,FALSE())),1,0))  )</f>
        <v>0</v>
      </c>
      <c r="AS452" s="76" t="n">
        <f aca="false">IF(ISERROR(VLOOKUP($P452,Member_Tab,4,FALSE())),0,(VLOOKUP($P452,Member_Tab,4,FALSE()) * 0.2 * AS$7) * (IF(AND(AS$5 &gt;= VLOOKUP($P452,Member_Tab,6,FALSE()), AS$5 &lt;= VLOOKUP($P452,Member_Tab,7,FALSE())),1,0))  )</f>
        <v>0</v>
      </c>
      <c r="AT452" s="76" t="n">
        <f aca="false">IF(ISERROR(VLOOKUP($P452,Member_Tab,4,FALSE())),0,(VLOOKUP($P452,Member_Tab,4,FALSE()) * 0.2 * AT$7) * (IF(AND(AT$5 &gt;= VLOOKUP($P452,Member_Tab,6,FALSE()), AT$5 &lt;= VLOOKUP($P452,Member_Tab,7,FALSE())),1,0))  )</f>
        <v>0</v>
      </c>
      <c r="AU452" s="76" t="n">
        <f aca="false">IF(ISERROR(VLOOKUP($P452,Member_Tab,4,FALSE())),0,(VLOOKUP($P452,Member_Tab,4,FALSE()) * 0.2 * AU$7) * (IF(AND(AU$5 &gt;= VLOOKUP($P452,Member_Tab,6,FALSE()), AU$5 &lt;= VLOOKUP($P452,Member_Tab,7,FALSE())),1,0))  )</f>
        <v>0</v>
      </c>
      <c r="AV452" s="76" t="n">
        <f aca="false">IF(ISERROR(VLOOKUP($P452,Member_Tab,4,FALSE())),0,(VLOOKUP($P452,Member_Tab,4,FALSE()) * 0.2 * AV$7) * (IF(AND(AV$5 &gt;= VLOOKUP($P452,Member_Tab,6,FALSE()), AV$5 &lt;= VLOOKUP($P452,Member_Tab,7,FALSE())),1,0))  )</f>
        <v>0</v>
      </c>
      <c r="AW452" s="76" t="n">
        <f aca="false">IF(ISERROR(VLOOKUP($P452,Member_Tab,4,FALSE())),0,(VLOOKUP($P452,Member_Tab,4,FALSE()) * 0.2 * AW$7) * (IF(AND(AW$5 &gt;= VLOOKUP($P452,Member_Tab,6,FALSE()), AW$5 &lt;= VLOOKUP($P452,Member_Tab,7,FALSE())),1,0))  )</f>
        <v>0</v>
      </c>
      <c r="AX452" s="76" t="n">
        <f aca="false">IF(ISERROR(VLOOKUP($P452,Member_Tab,4,FALSE())),0,(VLOOKUP($P452,Member_Tab,4,FALSE()) * 0.2 * AX$7) * (IF(AND(AX$5 &gt;= VLOOKUP($P452,Member_Tab,6,FALSE()), AX$5 &lt;= VLOOKUP($P452,Member_Tab,7,FALSE())),1,0))  )</f>
        <v>0</v>
      </c>
      <c r="AY452" s="76" t="n">
        <f aca="false">IF(ISERROR(VLOOKUP($P452,Member_Tab,4,FALSE())),0,(VLOOKUP($P452,Member_Tab,4,FALSE()) * 0.2 * AY$7) * (IF(AND(AY$5 &gt;= VLOOKUP($P452,Member_Tab,6,FALSE()), AY$5 &lt;= VLOOKUP($P452,Member_Tab,7,FALSE())),1,0))  )</f>
        <v>0</v>
      </c>
      <c r="AZ452" s="76" t="n">
        <f aca="false">IF(ISERROR(VLOOKUP($P452,Member_Tab,4,FALSE())),0,(VLOOKUP($P452,Member_Tab,4,FALSE()) * 0.2 * AZ$7) * (IF(AND(AZ$5 &gt;= VLOOKUP($P452,Member_Tab,6,FALSE()), AZ$5 &lt;= VLOOKUP($P452,Member_Tab,7,FALSE())),1,0))  )</f>
        <v>0</v>
      </c>
      <c r="BA452" s="76" t="n">
        <f aca="false">IF(ISERROR(VLOOKUP($P452,Member_Tab,4,FALSE())),0,(VLOOKUP($P452,Member_Tab,4,FALSE()) * 0.2 * BA$7) * (IF(AND(BA$5 &gt;= VLOOKUP($P452,Member_Tab,6,FALSE()), BA$5 &lt;= VLOOKUP($P452,Member_Tab,7,FALSE())),1,0))  )</f>
        <v>0</v>
      </c>
      <c r="BB452" s="76" t="n">
        <f aca="false">IF(ISERROR(VLOOKUP($P452,Member_Tab,4,FALSE())),0,(VLOOKUP($P452,Member_Tab,4,FALSE()) * 0.2 * BB$7) * (IF(AND(BB$5 &gt;= VLOOKUP($P452,Member_Tab,6,FALSE()), BB$5 &lt;= VLOOKUP($P452,Member_Tab,7,FALSE())),1,0))  )</f>
        <v>0</v>
      </c>
    </row>
    <row r="453" s="173" customFormat="true" ht="15" hidden="true" customHeight="false" outlineLevel="1" collapsed="false">
      <c r="E453" s="40"/>
      <c r="K453" s="40"/>
      <c r="L453" s="40"/>
      <c r="M453" s="40"/>
      <c r="N453" s="40"/>
      <c r="P453" s="177" t="n">
        <f aca="false">P316</f>
        <v>0</v>
      </c>
      <c r="Q453" s="40"/>
      <c r="R453" s="178"/>
      <c r="S453" s="76" t="n">
        <f aca="false">IF(ISERROR(VLOOKUP($P453,Member_Tab,4,FALSE())),0,(VLOOKUP($P453,Member_Tab,4,FALSE()) * 0.2 * S$7) * (IF(AND(S$5 &gt;= VLOOKUP($P453,Member_Tab,6,FALSE()), S$5 &lt;= VLOOKUP($P453,Member_Tab,7,FALSE())),1,0))  )</f>
        <v>0</v>
      </c>
      <c r="T453" s="76" t="n">
        <f aca="false">IF(ISERROR(VLOOKUP($P453,Member_Tab,4,FALSE())),0,(VLOOKUP($P453,Member_Tab,4,FALSE()) * 0.2 * T$7) * (IF(AND(T$5 &gt;= VLOOKUP($P453,Member_Tab,6,FALSE()), T$5 &lt;= VLOOKUP($P453,Member_Tab,7,FALSE())),1,0))  )</f>
        <v>0</v>
      </c>
      <c r="U453" s="76" t="n">
        <f aca="false">IF(ISERROR(VLOOKUP($P453,Member_Tab,4,FALSE())),0,(VLOOKUP($P453,Member_Tab,4,FALSE()) * 0.2 * U$7) * (IF(AND(U$5 &gt;= VLOOKUP($P453,Member_Tab,6,FALSE()), U$5 &lt;= VLOOKUP($P453,Member_Tab,7,FALSE())),1,0))  )</f>
        <v>0</v>
      </c>
      <c r="V453" s="76" t="n">
        <f aca="false">IF(ISERROR(VLOOKUP($P453,Member_Tab,4,FALSE())),0,(VLOOKUP($P453,Member_Tab,4,FALSE()) * 0.2 * V$7) * (IF(AND(V$5 &gt;= VLOOKUP($P453,Member_Tab,6,FALSE()), V$5 &lt;= VLOOKUP($P453,Member_Tab,7,FALSE())),1,0))  )</f>
        <v>0</v>
      </c>
      <c r="W453" s="76" t="n">
        <f aca="false">IF(ISERROR(VLOOKUP($P453,Member_Tab,4,FALSE())),0,(VLOOKUP($P453,Member_Tab,4,FALSE()) * 0.2 * W$7) * (IF(AND(W$5 &gt;= VLOOKUP($P453,Member_Tab,6,FALSE()), W$5 &lt;= VLOOKUP($P453,Member_Tab,7,FALSE())),1,0))  )</f>
        <v>0</v>
      </c>
      <c r="X453" s="76" t="n">
        <f aca="false">IF(ISERROR(VLOOKUP($P453,Member_Tab,4,FALSE())),0,(VLOOKUP($P453,Member_Tab,4,FALSE()) * 0.2 * X$7) * (IF(AND(X$5 &gt;= VLOOKUP($P453,Member_Tab,6,FALSE()), X$5 &lt;= VLOOKUP($P453,Member_Tab,7,FALSE())),1,0))  )</f>
        <v>0</v>
      </c>
      <c r="Y453" s="76" t="n">
        <f aca="false">IF(ISERROR(VLOOKUP($P453,Member_Tab,4,FALSE())),0,(VLOOKUP($P453,Member_Tab,4,FALSE()) * 0.2 * Y$7) * (IF(AND(Y$5 &gt;= VLOOKUP($P453,Member_Tab,6,FALSE()), Y$5 &lt;= VLOOKUP($P453,Member_Tab,7,FALSE())),1,0))  )</f>
        <v>0</v>
      </c>
      <c r="Z453" s="76" t="n">
        <f aca="false">IF(ISERROR(VLOOKUP($P453,Member_Tab,4,FALSE())),0,(VLOOKUP($P453,Member_Tab,4,FALSE()) * 0.2 * Z$7) * (IF(AND(Z$5 &gt;= VLOOKUP($P453,Member_Tab,6,FALSE()), Z$5 &lt;= VLOOKUP($P453,Member_Tab,7,FALSE())),1,0))  )</f>
        <v>0</v>
      </c>
      <c r="AA453" s="76" t="n">
        <f aca="false">IF(ISERROR(VLOOKUP($P453,Member_Tab,4,FALSE())),0,(VLOOKUP($P453,Member_Tab,4,FALSE()) * 0.2 * AA$7) * (IF(AND(AA$5 &gt;= VLOOKUP($P453,Member_Tab,6,FALSE()), AA$5 &lt;= VLOOKUP($P453,Member_Tab,7,FALSE())),1,0))  )</f>
        <v>0</v>
      </c>
      <c r="AB453" s="76" t="n">
        <f aca="false">IF(ISERROR(VLOOKUP($P453,Member_Tab,4,FALSE())),0,(VLOOKUP($P453,Member_Tab,4,FALSE()) * 0.2 * AB$7) * (IF(AND(AB$5 &gt;= VLOOKUP($P453,Member_Tab,6,FALSE()), AB$5 &lt;= VLOOKUP($P453,Member_Tab,7,FALSE())),1,0))  )</f>
        <v>0</v>
      </c>
      <c r="AC453" s="76" t="n">
        <f aca="false">IF(ISERROR(VLOOKUP($P453,Member_Tab,4,FALSE())),0,(VLOOKUP($P453,Member_Tab,4,FALSE()) * 0.2 * AC$7) * (IF(AND(AC$5 &gt;= VLOOKUP($P453,Member_Tab,6,FALSE()), AC$5 &lt;= VLOOKUP($P453,Member_Tab,7,FALSE())),1,0))  )</f>
        <v>0</v>
      </c>
      <c r="AD453" s="76" t="n">
        <f aca="false">IF(ISERROR(VLOOKUP($P453,Member_Tab,4,FALSE())),0,(VLOOKUP($P453,Member_Tab,4,FALSE()) * 0.2 * AD$7) * (IF(AND(AD$5 &gt;= VLOOKUP($P453,Member_Tab,6,FALSE()), AD$5 &lt;= VLOOKUP($P453,Member_Tab,7,FALSE())),1,0))  )</f>
        <v>0</v>
      </c>
      <c r="AE453" s="76" t="n">
        <f aca="false">IF(ISERROR(VLOOKUP($P453,Member_Tab,4,FALSE())),0,(VLOOKUP($P453,Member_Tab,4,FALSE()) * 0.2 * AE$7) * (IF(AND(AE$5 &gt;= VLOOKUP($P453,Member_Tab,6,FALSE()), AE$5 &lt;= VLOOKUP($P453,Member_Tab,7,FALSE())),1,0))  )</f>
        <v>0</v>
      </c>
      <c r="AF453" s="76" t="n">
        <f aca="false">IF(ISERROR(VLOOKUP($P453,Member_Tab,4,FALSE())),0,(VLOOKUP($P453,Member_Tab,4,FALSE()) * 0.2 * AF$7) * (IF(AND(AF$5 &gt;= VLOOKUP($P453,Member_Tab,6,FALSE()), AF$5 &lt;= VLOOKUP($P453,Member_Tab,7,FALSE())),1,0))  )</f>
        <v>0</v>
      </c>
      <c r="AG453" s="76" t="n">
        <f aca="false">IF(ISERROR(VLOOKUP($P453,Member_Tab,4,FALSE())),0,(VLOOKUP($P453,Member_Tab,4,FALSE()) * 0.2 * AG$7) * (IF(AND(AG$5 &gt;= VLOOKUP($P453,Member_Tab,6,FALSE()), AG$5 &lt;= VLOOKUP($P453,Member_Tab,7,FALSE())),1,0))  )</f>
        <v>0</v>
      </c>
      <c r="AH453" s="76" t="n">
        <f aca="false">IF(ISERROR(VLOOKUP($P453,Member_Tab,4,FALSE())),0,(VLOOKUP($P453,Member_Tab,4,FALSE()) * 0.2 * AH$7) * (IF(AND(AH$5 &gt;= VLOOKUP($P453,Member_Tab,6,FALSE()), AH$5 &lt;= VLOOKUP($P453,Member_Tab,7,FALSE())),1,0))  )</f>
        <v>0</v>
      </c>
      <c r="AI453" s="76" t="n">
        <f aca="false">IF(ISERROR(VLOOKUP($P453,Member_Tab,4,FALSE())),0,(VLOOKUP($P453,Member_Tab,4,FALSE()) * 0.2 * AI$7) * (IF(AND(AI$5 &gt;= VLOOKUP($P453,Member_Tab,6,FALSE()), AI$5 &lt;= VLOOKUP($P453,Member_Tab,7,FALSE())),1,0))  )</f>
        <v>0</v>
      </c>
      <c r="AJ453" s="76" t="n">
        <f aca="false">IF(ISERROR(VLOOKUP($P453,Member_Tab,4,FALSE())),0,(VLOOKUP($P453,Member_Tab,4,FALSE()) * 0.2 * AJ$7) * (IF(AND(AJ$5 &gt;= VLOOKUP($P453,Member_Tab,6,FALSE()), AJ$5 &lt;= VLOOKUP($P453,Member_Tab,7,FALSE())),1,0))  )</f>
        <v>0</v>
      </c>
      <c r="AK453" s="76" t="n">
        <f aca="false">IF(ISERROR(VLOOKUP($P453,Member_Tab,4,FALSE())),0,(VLOOKUP($P453,Member_Tab,4,FALSE()) * 0.2 * AK$7) * (IF(AND(AK$5 &gt;= VLOOKUP($P453,Member_Tab,6,FALSE()), AK$5 &lt;= VLOOKUP($P453,Member_Tab,7,FALSE())),1,0))  )</f>
        <v>0</v>
      </c>
      <c r="AL453" s="76" t="n">
        <f aca="false">IF(ISERROR(VLOOKUP($P453,Member_Tab,4,FALSE())),0,(VLOOKUP($P453,Member_Tab,4,FALSE()) * 0.2 * AL$7) * (IF(AND(AL$5 &gt;= VLOOKUP($P453,Member_Tab,6,FALSE()), AL$5 &lt;= VLOOKUP($P453,Member_Tab,7,FALSE())),1,0))  )</f>
        <v>0</v>
      </c>
      <c r="AM453" s="76" t="n">
        <f aca="false">IF(ISERROR(VLOOKUP($P453,Member_Tab,4,FALSE())),0,(VLOOKUP($P453,Member_Tab,4,FALSE()) * 0.2 * AM$7) * (IF(AND(AM$5 &gt;= VLOOKUP($P453,Member_Tab,6,FALSE()), AM$5 &lt;= VLOOKUP($P453,Member_Tab,7,FALSE())),1,0))  )</f>
        <v>0</v>
      </c>
      <c r="AN453" s="76" t="n">
        <f aca="false">IF(ISERROR(VLOOKUP($P453,Member_Tab,4,FALSE())),0,(VLOOKUP($P453,Member_Tab,4,FALSE()) * 0.2 * AN$7) * (IF(AND(AN$5 &gt;= VLOOKUP($P453,Member_Tab,6,FALSE()), AN$5 &lt;= VLOOKUP($P453,Member_Tab,7,FALSE())),1,0))  )</f>
        <v>0</v>
      </c>
      <c r="AO453" s="76" t="n">
        <f aca="false">IF(ISERROR(VLOOKUP($P453,Member_Tab,4,FALSE())),0,(VLOOKUP($P453,Member_Tab,4,FALSE()) * 0.2 * AO$7) * (IF(AND(AO$5 &gt;= VLOOKUP($P453,Member_Tab,6,FALSE()), AO$5 &lt;= VLOOKUP($P453,Member_Tab,7,FALSE())),1,0))  )</f>
        <v>0</v>
      </c>
      <c r="AP453" s="76" t="n">
        <f aca="false">IF(ISERROR(VLOOKUP($P453,Member_Tab,4,FALSE())),0,(VLOOKUP($P453,Member_Tab,4,FALSE()) * 0.2 * AP$7) * (IF(AND(AP$5 &gt;= VLOOKUP($P453,Member_Tab,6,FALSE()), AP$5 &lt;= VLOOKUP($P453,Member_Tab,7,FALSE())),1,0))  )</f>
        <v>0</v>
      </c>
      <c r="AQ453" s="76" t="n">
        <f aca="false">IF(ISERROR(VLOOKUP($P453,Member_Tab,4,FALSE())),0,(VLOOKUP($P453,Member_Tab,4,FALSE()) * 0.2 * AQ$7) * (IF(AND(AQ$5 &gt;= VLOOKUP($P453,Member_Tab,6,FALSE()), AQ$5 &lt;= VLOOKUP($P453,Member_Tab,7,FALSE())),1,0))  )</f>
        <v>0</v>
      </c>
      <c r="AR453" s="76" t="n">
        <f aca="false">IF(ISERROR(VLOOKUP($P453,Member_Tab,4,FALSE())),0,(VLOOKUP($P453,Member_Tab,4,FALSE()) * 0.2 * AR$7) * (IF(AND(AR$5 &gt;= VLOOKUP($P453,Member_Tab,6,FALSE()), AR$5 &lt;= VLOOKUP($P453,Member_Tab,7,FALSE())),1,0))  )</f>
        <v>0</v>
      </c>
      <c r="AS453" s="76" t="n">
        <f aca="false">IF(ISERROR(VLOOKUP($P453,Member_Tab,4,FALSE())),0,(VLOOKUP($P453,Member_Tab,4,FALSE()) * 0.2 * AS$7) * (IF(AND(AS$5 &gt;= VLOOKUP($P453,Member_Tab,6,FALSE()), AS$5 &lt;= VLOOKUP($P453,Member_Tab,7,FALSE())),1,0))  )</f>
        <v>0</v>
      </c>
      <c r="AT453" s="76" t="n">
        <f aca="false">IF(ISERROR(VLOOKUP($P453,Member_Tab,4,FALSE())),0,(VLOOKUP($P453,Member_Tab,4,FALSE()) * 0.2 * AT$7) * (IF(AND(AT$5 &gt;= VLOOKUP($P453,Member_Tab,6,FALSE()), AT$5 &lt;= VLOOKUP($P453,Member_Tab,7,FALSE())),1,0))  )</f>
        <v>0</v>
      </c>
      <c r="AU453" s="76" t="n">
        <f aca="false">IF(ISERROR(VLOOKUP($P453,Member_Tab,4,FALSE())),0,(VLOOKUP($P453,Member_Tab,4,FALSE()) * 0.2 * AU$7) * (IF(AND(AU$5 &gt;= VLOOKUP($P453,Member_Tab,6,FALSE()), AU$5 &lt;= VLOOKUP($P453,Member_Tab,7,FALSE())),1,0))  )</f>
        <v>0</v>
      </c>
      <c r="AV453" s="76" t="n">
        <f aca="false">IF(ISERROR(VLOOKUP($P453,Member_Tab,4,FALSE())),0,(VLOOKUP($P453,Member_Tab,4,FALSE()) * 0.2 * AV$7) * (IF(AND(AV$5 &gt;= VLOOKUP($P453,Member_Tab,6,FALSE()), AV$5 &lt;= VLOOKUP($P453,Member_Tab,7,FALSE())),1,0))  )</f>
        <v>0</v>
      </c>
      <c r="AW453" s="76" t="n">
        <f aca="false">IF(ISERROR(VLOOKUP($P453,Member_Tab,4,FALSE())),0,(VLOOKUP($P453,Member_Tab,4,FALSE()) * 0.2 * AW$7) * (IF(AND(AW$5 &gt;= VLOOKUP($P453,Member_Tab,6,FALSE()), AW$5 &lt;= VLOOKUP($P453,Member_Tab,7,FALSE())),1,0))  )</f>
        <v>0</v>
      </c>
      <c r="AX453" s="76" t="n">
        <f aca="false">IF(ISERROR(VLOOKUP($P453,Member_Tab,4,FALSE())),0,(VLOOKUP($P453,Member_Tab,4,FALSE()) * 0.2 * AX$7) * (IF(AND(AX$5 &gt;= VLOOKUP($P453,Member_Tab,6,FALSE()), AX$5 &lt;= VLOOKUP($P453,Member_Tab,7,FALSE())),1,0))  )</f>
        <v>0</v>
      </c>
      <c r="AY453" s="76" t="n">
        <f aca="false">IF(ISERROR(VLOOKUP($P453,Member_Tab,4,FALSE())),0,(VLOOKUP($P453,Member_Tab,4,FALSE()) * 0.2 * AY$7) * (IF(AND(AY$5 &gt;= VLOOKUP($P453,Member_Tab,6,FALSE()), AY$5 &lt;= VLOOKUP($P453,Member_Tab,7,FALSE())),1,0))  )</f>
        <v>0</v>
      </c>
      <c r="AZ453" s="76" t="n">
        <f aca="false">IF(ISERROR(VLOOKUP($P453,Member_Tab,4,FALSE())),0,(VLOOKUP($P453,Member_Tab,4,FALSE()) * 0.2 * AZ$7) * (IF(AND(AZ$5 &gt;= VLOOKUP($P453,Member_Tab,6,FALSE()), AZ$5 &lt;= VLOOKUP($P453,Member_Tab,7,FALSE())),1,0))  )</f>
        <v>0</v>
      </c>
      <c r="BA453" s="76" t="n">
        <f aca="false">IF(ISERROR(VLOOKUP($P453,Member_Tab,4,FALSE())),0,(VLOOKUP($P453,Member_Tab,4,FALSE()) * 0.2 * BA$7) * (IF(AND(BA$5 &gt;= VLOOKUP($P453,Member_Tab,6,FALSE()), BA$5 &lt;= VLOOKUP($P453,Member_Tab,7,FALSE())),1,0))  )</f>
        <v>0</v>
      </c>
      <c r="BB453" s="76" t="n">
        <f aca="false">IF(ISERROR(VLOOKUP($P453,Member_Tab,4,FALSE())),0,(VLOOKUP($P453,Member_Tab,4,FALSE()) * 0.2 * BB$7) * (IF(AND(BB$5 &gt;= VLOOKUP($P453,Member_Tab,6,FALSE()), BB$5 &lt;= VLOOKUP($P453,Member_Tab,7,FALSE())),1,0))  )</f>
        <v>0</v>
      </c>
    </row>
    <row r="454" s="173" customFormat="true" ht="15" hidden="true" customHeight="false" outlineLevel="1" collapsed="false">
      <c r="E454" s="40"/>
      <c r="K454" s="40"/>
      <c r="L454" s="40"/>
      <c r="M454" s="40"/>
      <c r="N454" s="40"/>
      <c r="P454" s="177" t="n">
        <f aca="false">P317</f>
        <v>0</v>
      </c>
      <c r="Q454" s="40"/>
      <c r="R454" s="178"/>
      <c r="S454" s="76" t="n">
        <f aca="false">IF(ISERROR(VLOOKUP($P454,Member_Tab,4,FALSE())),0,(VLOOKUP($P454,Member_Tab,4,FALSE()) * 0.2 * S$7) * (IF(AND(S$5 &gt;= VLOOKUP($P454,Member_Tab,6,FALSE()), S$5 &lt;= VLOOKUP($P454,Member_Tab,7,FALSE())),1,0))  )</f>
        <v>0</v>
      </c>
      <c r="T454" s="76" t="n">
        <f aca="false">IF(ISERROR(VLOOKUP($P454,Member_Tab,4,FALSE())),0,(VLOOKUP($P454,Member_Tab,4,FALSE()) * 0.2 * T$7) * (IF(AND(T$5 &gt;= VLOOKUP($P454,Member_Tab,6,FALSE()), T$5 &lt;= VLOOKUP($P454,Member_Tab,7,FALSE())),1,0))  )</f>
        <v>0</v>
      </c>
      <c r="U454" s="76" t="n">
        <f aca="false">IF(ISERROR(VLOOKUP($P454,Member_Tab,4,FALSE())),0,(VLOOKUP($P454,Member_Tab,4,FALSE()) * 0.2 * U$7) * (IF(AND(U$5 &gt;= VLOOKUP($P454,Member_Tab,6,FALSE()), U$5 &lt;= VLOOKUP($P454,Member_Tab,7,FALSE())),1,0))  )</f>
        <v>0</v>
      </c>
      <c r="V454" s="76" t="n">
        <f aca="false">IF(ISERROR(VLOOKUP($P454,Member_Tab,4,FALSE())),0,(VLOOKUP($P454,Member_Tab,4,FALSE()) * 0.2 * V$7) * (IF(AND(V$5 &gt;= VLOOKUP($P454,Member_Tab,6,FALSE()), V$5 &lt;= VLOOKUP($P454,Member_Tab,7,FALSE())),1,0))  )</f>
        <v>0</v>
      </c>
      <c r="W454" s="76" t="n">
        <f aca="false">IF(ISERROR(VLOOKUP($P454,Member_Tab,4,FALSE())),0,(VLOOKUP($P454,Member_Tab,4,FALSE()) * 0.2 * W$7) * (IF(AND(W$5 &gt;= VLOOKUP($P454,Member_Tab,6,FALSE()), W$5 &lt;= VLOOKUP($P454,Member_Tab,7,FALSE())),1,0))  )</f>
        <v>0</v>
      </c>
      <c r="X454" s="76" t="n">
        <f aca="false">IF(ISERROR(VLOOKUP($P454,Member_Tab,4,FALSE())),0,(VLOOKUP($P454,Member_Tab,4,FALSE()) * 0.2 * X$7) * (IF(AND(X$5 &gt;= VLOOKUP($P454,Member_Tab,6,FALSE()), X$5 &lt;= VLOOKUP($P454,Member_Tab,7,FALSE())),1,0))  )</f>
        <v>0</v>
      </c>
      <c r="Y454" s="76" t="n">
        <f aca="false">IF(ISERROR(VLOOKUP($P454,Member_Tab,4,FALSE())),0,(VLOOKUP($P454,Member_Tab,4,FALSE()) * 0.2 * Y$7) * (IF(AND(Y$5 &gt;= VLOOKUP($P454,Member_Tab,6,FALSE()), Y$5 &lt;= VLOOKUP($P454,Member_Tab,7,FALSE())),1,0))  )</f>
        <v>0</v>
      </c>
      <c r="Z454" s="76" t="n">
        <f aca="false">IF(ISERROR(VLOOKUP($P454,Member_Tab,4,FALSE())),0,(VLOOKUP($P454,Member_Tab,4,FALSE()) * 0.2 * Z$7) * (IF(AND(Z$5 &gt;= VLOOKUP($P454,Member_Tab,6,FALSE()), Z$5 &lt;= VLOOKUP($P454,Member_Tab,7,FALSE())),1,0))  )</f>
        <v>0</v>
      </c>
      <c r="AA454" s="76" t="n">
        <f aca="false">IF(ISERROR(VLOOKUP($P454,Member_Tab,4,FALSE())),0,(VLOOKUP($P454,Member_Tab,4,FALSE()) * 0.2 * AA$7) * (IF(AND(AA$5 &gt;= VLOOKUP($P454,Member_Tab,6,FALSE()), AA$5 &lt;= VLOOKUP($P454,Member_Tab,7,FALSE())),1,0))  )</f>
        <v>0</v>
      </c>
      <c r="AB454" s="76" t="n">
        <f aca="false">IF(ISERROR(VLOOKUP($P454,Member_Tab,4,FALSE())),0,(VLOOKUP($P454,Member_Tab,4,FALSE()) * 0.2 * AB$7) * (IF(AND(AB$5 &gt;= VLOOKUP($P454,Member_Tab,6,FALSE()), AB$5 &lt;= VLOOKUP($P454,Member_Tab,7,FALSE())),1,0))  )</f>
        <v>0</v>
      </c>
      <c r="AC454" s="76" t="n">
        <f aca="false">IF(ISERROR(VLOOKUP($P454,Member_Tab,4,FALSE())),0,(VLOOKUP($P454,Member_Tab,4,FALSE()) * 0.2 * AC$7) * (IF(AND(AC$5 &gt;= VLOOKUP($P454,Member_Tab,6,FALSE()), AC$5 &lt;= VLOOKUP($P454,Member_Tab,7,FALSE())),1,0))  )</f>
        <v>0</v>
      </c>
      <c r="AD454" s="76" t="n">
        <f aca="false">IF(ISERROR(VLOOKUP($P454,Member_Tab,4,FALSE())),0,(VLOOKUP($P454,Member_Tab,4,FALSE()) * 0.2 * AD$7) * (IF(AND(AD$5 &gt;= VLOOKUP($P454,Member_Tab,6,FALSE()), AD$5 &lt;= VLOOKUP($P454,Member_Tab,7,FALSE())),1,0))  )</f>
        <v>0</v>
      </c>
      <c r="AE454" s="76" t="n">
        <f aca="false">IF(ISERROR(VLOOKUP($P454,Member_Tab,4,FALSE())),0,(VLOOKUP($P454,Member_Tab,4,FALSE()) * 0.2 * AE$7) * (IF(AND(AE$5 &gt;= VLOOKUP($P454,Member_Tab,6,FALSE()), AE$5 &lt;= VLOOKUP($P454,Member_Tab,7,FALSE())),1,0))  )</f>
        <v>0</v>
      </c>
      <c r="AF454" s="76" t="n">
        <f aca="false">IF(ISERROR(VLOOKUP($P454,Member_Tab,4,FALSE())),0,(VLOOKUP($P454,Member_Tab,4,FALSE()) * 0.2 * AF$7) * (IF(AND(AF$5 &gt;= VLOOKUP($P454,Member_Tab,6,FALSE()), AF$5 &lt;= VLOOKUP($P454,Member_Tab,7,FALSE())),1,0))  )</f>
        <v>0</v>
      </c>
      <c r="AG454" s="76" t="n">
        <f aca="false">IF(ISERROR(VLOOKUP($P454,Member_Tab,4,FALSE())),0,(VLOOKUP($P454,Member_Tab,4,FALSE()) * 0.2 * AG$7) * (IF(AND(AG$5 &gt;= VLOOKUP($P454,Member_Tab,6,FALSE()), AG$5 &lt;= VLOOKUP($P454,Member_Tab,7,FALSE())),1,0))  )</f>
        <v>0</v>
      </c>
      <c r="AH454" s="76" t="n">
        <f aca="false">IF(ISERROR(VLOOKUP($P454,Member_Tab,4,FALSE())),0,(VLOOKUP($P454,Member_Tab,4,FALSE()) * 0.2 * AH$7) * (IF(AND(AH$5 &gt;= VLOOKUP($P454,Member_Tab,6,FALSE()), AH$5 &lt;= VLOOKUP($P454,Member_Tab,7,FALSE())),1,0))  )</f>
        <v>0</v>
      </c>
      <c r="AI454" s="76" t="n">
        <f aca="false">IF(ISERROR(VLOOKUP($P454,Member_Tab,4,FALSE())),0,(VLOOKUP($P454,Member_Tab,4,FALSE()) * 0.2 * AI$7) * (IF(AND(AI$5 &gt;= VLOOKUP($P454,Member_Tab,6,FALSE()), AI$5 &lt;= VLOOKUP($P454,Member_Tab,7,FALSE())),1,0))  )</f>
        <v>0</v>
      </c>
      <c r="AJ454" s="76" t="n">
        <f aca="false">IF(ISERROR(VLOOKUP($P454,Member_Tab,4,FALSE())),0,(VLOOKUP($P454,Member_Tab,4,FALSE()) * 0.2 * AJ$7) * (IF(AND(AJ$5 &gt;= VLOOKUP($P454,Member_Tab,6,FALSE()), AJ$5 &lt;= VLOOKUP($P454,Member_Tab,7,FALSE())),1,0))  )</f>
        <v>0</v>
      </c>
      <c r="AK454" s="76" t="n">
        <f aca="false">IF(ISERROR(VLOOKUP($P454,Member_Tab,4,FALSE())),0,(VLOOKUP($P454,Member_Tab,4,FALSE()) * 0.2 * AK$7) * (IF(AND(AK$5 &gt;= VLOOKUP($P454,Member_Tab,6,FALSE()), AK$5 &lt;= VLOOKUP($P454,Member_Tab,7,FALSE())),1,0))  )</f>
        <v>0</v>
      </c>
      <c r="AL454" s="76" t="n">
        <f aca="false">IF(ISERROR(VLOOKUP($P454,Member_Tab,4,FALSE())),0,(VLOOKUP($P454,Member_Tab,4,FALSE()) * 0.2 * AL$7) * (IF(AND(AL$5 &gt;= VLOOKUP($P454,Member_Tab,6,FALSE()), AL$5 &lt;= VLOOKUP($P454,Member_Tab,7,FALSE())),1,0))  )</f>
        <v>0</v>
      </c>
      <c r="AM454" s="76" t="n">
        <f aca="false">IF(ISERROR(VLOOKUP($P454,Member_Tab,4,FALSE())),0,(VLOOKUP($P454,Member_Tab,4,FALSE()) * 0.2 * AM$7) * (IF(AND(AM$5 &gt;= VLOOKUP($P454,Member_Tab,6,FALSE()), AM$5 &lt;= VLOOKUP($P454,Member_Tab,7,FALSE())),1,0))  )</f>
        <v>0</v>
      </c>
      <c r="AN454" s="76" t="n">
        <f aca="false">IF(ISERROR(VLOOKUP($P454,Member_Tab,4,FALSE())),0,(VLOOKUP($P454,Member_Tab,4,FALSE()) * 0.2 * AN$7) * (IF(AND(AN$5 &gt;= VLOOKUP($P454,Member_Tab,6,FALSE()), AN$5 &lt;= VLOOKUP($P454,Member_Tab,7,FALSE())),1,0))  )</f>
        <v>0</v>
      </c>
      <c r="AO454" s="76" t="n">
        <f aca="false">IF(ISERROR(VLOOKUP($P454,Member_Tab,4,FALSE())),0,(VLOOKUP($P454,Member_Tab,4,FALSE()) * 0.2 * AO$7) * (IF(AND(AO$5 &gt;= VLOOKUP($P454,Member_Tab,6,FALSE()), AO$5 &lt;= VLOOKUP($P454,Member_Tab,7,FALSE())),1,0))  )</f>
        <v>0</v>
      </c>
      <c r="AP454" s="76" t="n">
        <f aca="false">IF(ISERROR(VLOOKUP($P454,Member_Tab,4,FALSE())),0,(VLOOKUP($P454,Member_Tab,4,FALSE()) * 0.2 * AP$7) * (IF(AND(AP$5 &gt;= VLOOKUP($P454,Member_Tab,6,FALSE()), AP$5 &lt;= VLOOKUP($P454,Member_Tab,7,FALSE())),1,0))  )</f>
        <v>0</v>
      </c>
      <c r="AQ454" s="76" t="n">
        <f aca="false">IF(ISERROR(VLOOKUP($P454,Member_Tab,4,FALSE())),0,(VLOOKUP($P454,Member_Tab,4,FALSE()) * 0.2 * AQ$7) * (IF(AND(AQ$5 &gt;= VLOOKUP($P454,Member_Tab,6,FALSE()), AQ$5 &lt;= VLOOKUP($P454,Member_Tab,7,FALSE())),1,0))  )</f>
        <v>0</v>
      </c>
      <c r="AR454" s="76" t="n">
        <f aca="false">IF(ISERROR(VLOOKUP($P454,Member_Tab,4,FALSE())),0,(VLOOKUP($P454,Member_Tab,4,FALSE()) * 0.2 * AR$7) * (IF(AND(AR$5 &gt;= VLOOKUP($P454,Member_Tab,6,FALSE()), AR$5 &lt;= VLOOKUP($P454,Member_Tab,7,FALSE())),1,0))  )</f>
        <v>0</v>
      </c>
      <c r="AS454" s="76" t="n">
        <f aca="false">IF(ISERROR(VLOOKUP($P454,Member_Tab,4,FALSE())),0,(VLOOKUP($P454,Member_Tab,4,FALSE()) * 0.2 * AS$7) * (IF(AND(AS$5 &gt;= VLOOKUP($P454,Member_Tab,6,FALSE()), AS$5 &lt;= VLOOKUP($P454,Member_Tab,7,FALSE())),1,0))  )</f>
        <v>0</v>
      </c>
      <c r="AT454" s="76" t="n">
        <f aca="false">IF(ISERROR(VLOOKUP($P454,Member_Tab,4,FALSE())),0,(VLOOKUP($P454,Member_Tab,4,FALSE()) * 0.2 * AT$7) * (IF(AND(AT$5 &gt;= VLOOKUP($P454,Member_Tab,6,FALSE()), AT$5 &lt;= VLOOKUP($P454,Member_Tab,7,FALSE())),1,0))  )</f>
        <v>0</v>
      </c>
      <c r="AU454" s="76" t="n">
        <f aca="false">IF(ISERROR(VLOOKUP($P454,Member_Tab,4,FALSE())),0,(VLOOKUP($P454,Member_Tab,4,FALSE()) * 0.2 * AU$7) * (IF(AND(AU$5 &gt;= VLOOKUP($P454,Member_Tab,6,FALSE()), AU$5 &lt;= VLOOKUP($P454,Member_Tab,7,FALSE())),1,0))  )</f>
        <v>0</v>
      </c>
      <c r="AV454" s="76" t="n">
        <f aca="false">IF(ISERROR(VLOOKUP($P454,Member_Tab,4,FALSE())),0,(VLOOKUP($P454,Member_Tab,4,FALSE()) * 0.2 * AV$7) * (IF(AND(AV$5 &gt;= VLOOKUP($P454,Member_Tab,6,FALSE()), AV$5 &lt;= VLOOKUP($P454,Member_Tab,7,FALSE())),1,0))  )</f>
        <v>0</v>
      </c>
      <c r="AW454" s="76" t="n">
        <f aca="false">IF(ISERROR(VLOOKUP($P454,Member_Tab,4,FALSE())),0,(VLOOKUP($P454,Member_Tab,4,FALSE()) * 0.2 * AW$7) * (IF(AND(AW$5 &gt;= VLOOKUP($P454,Member_Tab,6,FALSE()), AW$5 &lt;= VLOOKUP($P454,Member_Tab,7,FALSE())),1,0))  )</f>
        <v>0</v>
      </c>
      <c r="AX454" s="76" t="n">
        <f aca="false">IF(ISERROR(VLOOKUP($P454,Member_Tab,4,FALSE())),0,(VLOOKUP($P454,Member_Tab,4,FALSE()) * 0.2 * AX$7) * (IF(AND(AX$5 &gt;= VLOOKUP($P454,Member_Tab,6,FALSE()), AX$5 &lt;= VLOOKUP($P454,Member_Tab,7,FALSE())),1,0))  )</f>
        <v>0</v>
      </c>
      <c r="AY454" s="76" t="n">
        <f aca="false">IF(ISERROR(VLOOKUP($P454,Member_Tab,4,FALSE())),0,(VLOOKUP($P454,Member_Tab,4,FALSE()) * 0.2 * AY$7) * (IF(AND(AY$5 &gt;= VLOOKUP($P454,Member_Tab,6,FALSE()), AY$5 &lt;= VLOOKUP($P454,Member_Tab,7,FALSE())),1,0))  )</f>
        <v>0</v>
      </c>
      <c r="AZ454" s="76" t="n">
        <f aca="false">IF(ISERROR(VLOOKUP($P454,Member_Tab,4,FALSE())),0,(VLOOKUP($P454,Member_Tab,4,FALSE()) * 0.2 * AZ$7) * (IF(AND(AZ$5 &gt;= VLOOKUP($P454,Member_Tab,6,FALSE()), AZ$5 &lt;= VLOOKUP($P454,Member_Tab,7,FALSE())),1,0))  )</f>
        <v>0</v>
      </c>
      <c r="BA454" s="76" t="n">
        <f aca="false">IF(ISERROR(VLOOKUP($P454,Member_Tab,4,FALSE())),0,(VLOOKUP($P454,Member_Tab,4,FALSE()) * 0.2 * BA$7) * (IF(AND(BA$5 &gt;= VLOOKUP($P454,Member_Tab,6,FALSE()), BA$5 &lt;= VLOOKUP($P454,Member_Tab,7,FALSE())),1,0))  )</f>
        <v>0</v>
      </c>
      <c r="BB454" s="76" t="n">
        <f aca="false">IF(ISERROR(VLOOKUP($P454,Member_Tab,4,FALSE())),0,(VLOOKUP($P454,Member_Tab,4,FALSE()) * 0.2 * BB$7) * (IF(AND(BB$5 &gt;= VLOOKUP($P454,Member_Tab,6,FALSE()), BB$5 &lt;= VLOOKUP($P454,Member_Tab,7,FALSE())),1,0))  )</f>
        <v>0</v>
      </c>
    </row>
    <row r="455" s="173" customFormat="true" ht="15" hidden="true" customHeight="false" outlineLevel="1" collapsed="false">
      <c r="E455" s="40"/>
      <c r="K455" s="40"/>
      <c r="L455" s="40"/>
      <c r="M455" s="40"/>
      <c r="N455" s="40"/>
      <c r="P455" s="177" t="n">
        <f aca="false">P318</f>
        <v>0</v>
      </c>
      <c r="Q455" s="40"/>
      <c r="R455" s="178"/>
      <c r="S455" s="76" t="n">
        <f aca="false">IF(ISERROR(VLOOKUP($P455,Member_Tab,4,FALSE())),0,(VLOOKUP($P455,Member_Tab,4,FALSE()) * 0.2 * S$7) * (IF(AND(S$5 &gt;= VLOOKUP($P455,Member_Tab,6,FALSE()), S$5 &lt;= VLOOKUP($P455,Member_Tab,7,FALSE())),1,0))  )</f>
        <v>0</v>
      </c>
      <c r="T455" s="76" t="n">
        <f aca="false">IF(ISERROR(VLOOKUP($P455,Member_Tab,4,FALSE())),0,(VLOOKUP($P455,Member_Tab,4,FALSE()) * 0.2 * T$7) * (IF(AND(T$5 &gt;= VLOOKUP($P455,Member_Tab,6,FALSE()), T$5 &lt;= VLOOKUP($P455,Member_Tab,7,FALSE())),1,0))  )</f>
        <v>0</v>
      </c>
      <c r="U455" s="76" t="n">
        <f aca="false">IF(ISERROR(VLOOKUP($P455,Member_Tab,4,FALSE())),0,(VLOOKUP($P455,Member_Tab,4,FALSE()) * 0.2 * U$7) * (IF(AND(U$5 &gt;= VLOOKUP($P455,Member_Tab,6,FALSE()), U$5 &lt;= VLOOKUP($P455,Member_Tab,7,FALSE())),1,0))  )</f>
        <v>0</v>
      </c>
      <c r="V455" s="76" t="n">
        <f aca="false">IF(ISERROR(VLOOKUP($P455,Member_Tab,4,FALSE())),0,(VLOOKUP($P455,Member_Tab,4,FALSE()) * 0.2 * V$7) * (IF(AND(V$5 &gt;= VLOOKUP($P455,Member_Tab,6,FALSE()), V$5 &lt;= VLOOKUP($P455,Member_Tab,7,FALSE())),1,0))  )</f>
        <v>0</v>
      </c>
      <c r="W455" s="76" t="n">
        <f aca="false">IF(ISERROR(VLOOKUP($P455,Member_Tab,4,FALSE())),0,(VLOOKUP($P455,Member_Tab,4,FALSE()) * 0.2 * W$7) * (IF(AND(W$5 &gt;= VLOOKUP($P455,Member_Tab,6,FALSE()), W$5 &lt;= VLOOKUP($P455,Member_Tab,7,FALSE())),1,0))  )</f>
        <v>0</v>
      </c>
      <c r="X455" s="76" t="n">
        <f aca="false">IF(ISERROR(VLOOKUP($P455,Member_Tab,4,FALSE())),0,(VLOOKUP($P455,Member_Tab,4,FALSE()) * 0.2 * X$7) * (IF(AND(X$5 &gt;= VLOOKUP($P455,Member_Tab,6,FALSE()), X$5 &lt;= VLOOKUP($P455,Member_Tab,7,FALSE())),1,0))  )</f>
        <v>0</v>
      </c>
      <c r="Y455" s="76" t="n">
        <f aca="false">IF(ISERROR(VLOOKUP($P455,Member_Tab,4,FALSE())),0,(VLOOKUP($P455,Member_Tab,4,FALSE()) * 0.2 * Y$7) * (IF(AND(Y$5 &gt;= VLOOKUP($P455,Member_Tab,6,FALSE()), Y$5 &lt;= VLOOKUP($P455,Member_Tab,7,FALSE())),1,0))  )</f>
        <v>0</v>
      </c>
      <c r="Z455" s="76" t="n">
        <f aca="false">IF(ISERROR(VLOOKUP($P455,Member_Tab,4,FALSE())),0,(VLOOKUP($P455,Member_Tab,4,FALSE()) * 0.2 * Z$7) * (IF(AND(Z$5 &gt;= VLOOKUP($P455,Member_Tab,6,FALSE()), Z$5 &lt;= VLOOKUP($P455,Member_Tab,7,FALSE())),1,0))  )</f>
        <v>0</v>
      </c>
      <c r="AA455" s="76" t="n">
        <f aca="false">IF(ISERROR(VLOOKUP($P455,Member_Tab,4,FALSE())),0,(VLOOKUP($P455,Member_Tab,4,FALSE()) * 0.2 * AA$7) * (IF(AND(AA$5 &gt;= VLOOKUP($P455,Member_Tab,6,FALSE()), AA$5 &lt;= VLOOKUP($P455,Member_Tab,7,FALSE())),1,0))  )</f>
        <v>0</v>
      </c>
      <c r="AB455" s="76" t="n">
        <f aca="false">IF(ISERROR(VLOOKUP($P455,Member_Tab,4,FALSE())),0,(VLOOKUP($P455,Member_Tab,4,FALSE()) * 0.2 * AB$7) * (IF(AND(AB$5 &gt;= VLOOKUP($P455,Member_Tab,6,FALSE()), AB$5 &lt;= VLOOKUP($P455,Member_Tab,7,FALSE())),1,0))  )</f>
        <v>0</v>
      </c>
      <c r="AC455" s="76" t="n">
        <f aca="false">IF(ISERROR(VLOOKUP($P455,Member_Tab,4,FALSE())),0,(VLOOKUP($P455,Member_Tab,4,FALSE()) * 0.2 * AC$7) * (IF(AND(AC$5 &gt;= VLOOKUP($P455,Member_Tab,6,FALSE()), AC$5 &lt;= VLOOKUP($P455,Member_Tab,7,FALSE())),1,0))  )</f>
        <v>0</v>
      </c>
      <c r="AD455" s="76" t="n">
        <f aca="false">IF(ISERROR(VLOOKUP($P455,Member_Tab,4,FALSE())),0,(VLOOKUP($P455,Member_Tab,4,FALSE()) * 0.2 * AD$7) * (IF(AND(AD$5 &gt;= VLOOKUP($P455,Member_Tab,6,FALSE()), AD$5 &lt;= VLOOKUP($P455,Member_Tab,7,FALSE())),1,0))  )</f>
        <v>0</v>
      </c>
      <c r="AE455" s="76" t="n">
        <f aca="false">IF(ISERROR(VLOOKUP($P455,Member_Tab,4,FALSE())),0,(VLOOKUP($P455,Member_Tab,4,FALSE()) * 0.2 * AE$7) * (IF(AND(AE$5 &gt;= VLOOKUP($P455,Member_Tab,6,FALSE()), AE$5 &lt;= VLOOKUP($P455,Member_Tab,7,FALSE())),1,0))  )</f>
        <v>0</v>
      </c>
      <c r="AF455" s="76" t="n">
        <f aca="false">IF(ISERROR(VLOOKUP($P455,Member_Tab,4,FALSE())),0,(VLOOKUP($P455,Member_Tab,4,FALSE()) * 0.2 * AF$7) * (IF(AND(AF$5 &gt;= VLOOKUP($P455,Member_Tab,6,FALSE()), AF$5 &lt;= VLOOKUP($P455,Member_Tab,7,FALSE())),1,0))  )</f>
        <v>0</v>
      </c>
      <c r="AG455" s="76" t="n">
        <f aca="false">IF(ISERROR(VLOOKUP($P455,Member_Tab,4,FALSE())),0,(VLOOKUP($P455,Member_Tab,4,FALSE()) * 0.2 * AG$7) * (IF(AND(AG$5 &gt;= VLOOKUP($P455,Member_Tab,6,FALSE()), AG$5 &lt;= VLOOKUP($P455,Member_Tab,7,FALSE())),1,0))  )</f>
        <v>0</v>
      </c>
      <c r="AH455" s="76" t="n">
        <f aca="false">IF(ISERROR(VLOOKUP($P455,Member_Tab,4,FALSE())),0,(VLOOKUP($P455,Member_Tab,4,FALSE()) * 0.2 * AH$7) * (IF(AND(AH$5 &gt;= VLOOKUP($P455,Member_Tab,6,FALSE()), AH$5 &lt;= VLOOKUP($P455,Member_Tab,7,FALSE())),1,0))  )</f>
        <v>0</v>
      </c>
      <c r="AI455" s="76" t="n">
        <f aca="false">IF(ISERROR(VLOOKUP($P455,Member_Tab,4,FALSE())),0,(VLOOKUP($P455,Member_Tab,4,FALSE()) * 0.2 * AI$7) * (IF(AND(AI$5 &gt;= VLOOKUP($P455,Member_Tab,6,FALSE()), AI$5 &lt;= VLOOKUP($P455,Member_Tab,7,FALSE())),1,0))  )</f>
        <v>0</v>
      </c>
      <c r="AJ455" s="76" t="n">
        <f aca="false">IF(ISERROR(VLOOKUP($P455,Member_Tab,4,FALSE())),0,(VLOOKUP($P455,Member_Tab,4,FALSE()) * 0.2 * AJ$7) * (IF(AND(AJ$5 &gt;= VLOOKUP($P455,Member_Tab,6,FALSE()), AJ$5 &lt;= VLOOKUP($P455,Member_Tab,7,FALSE())),1,0))  )</f>
        <v>0</v>
      </c>
      <c r="AK455" s="76" t="n">
        <f aca="false">IF(ISERROR(VLOOKUP($P455,Member_Tab,4,FALSE())),0,(VLOOKUP($P455,Member_Tab,4,FALSE()) * 0.2 * AK$7) * (IF(AND(AK$5 &gt;= VLOOKUP($P455,Member_Tab,6,FALSE()), AK$5 &lt;= VLOOKUP($P455,Member_Tab,7,FALSE())),1,0))  )</f>
        <v>0</v>
      </c>
      <c r="AL455" s="76" t="n">
        <f aca="false">IF(ISERROR(VLOOKUP($P455,Member_Tab,4,FALSE())),0,(VLOOKUP($P455,Member_Tab,4,FALSE()) * 0.2 * AL$7) * (IF(AND(AL$5 &gt;= VLOOKUP($P455,Member_Tab,6,FALSE()), AL$5 &lt;= VLOOKUP($P455,Member_Tab,7,FALSE())),1,0))  )</f>
        <v>0</v>
      </c>
      <c r="AM455" s="76" t="n">
        <f aca="false">IF(ISERROR(VLOOKUP($P455,Member_Tab,4,FALSE())),0,(VLOOKUP($P455,Member_Tab,4,FALSE()) * 0.2 * AM$7) * (IF(AND(AM$5 &gt;= VLOOKUP($P455,Member_Tab,6,FALSE()), AM$5 &lt;= VLOOKUP($P455,Member_Tab,7,FALSE())),1,0))  )</f>
        <v>0</v>
      </c>
      <c r="AN455" s="76" t="n">
        <f aca="false">IF(ISERROR(VLOOKUP($P455,Member_Tab,4,FALSE())),0,(VLOOKUP($P455,Member_Tab,4,FALSE()) * 0.2 * AN$7) * (IF(AND(AN$5 &gt;= VLOOKUP($P455,Member_Tab,6,FALSE()), AN$5 &lt;= VLOOKUP($P455,Member_Tab,7,FALSE())),1,0))  )</f>
        <v>0</v>
      </c>
      <c r="AO455" s="76" t="n">
        <f aca="false">IF(ISERROR(VLOOKUP($P455,Member_Tab,4,FALSE())),0,(VLOOKUP($P455,Member_Tab,4,FALSE()) * 0.2 * AO$7) * (IF(AND(AO$5 &gt;= VLOOKUP($P455,Member_Tab,6,FALSE()), AO$5 &lt;= VLOOKUP($P455,Member_Tab,7,FALSE())),1,0))  )</f>
        <v>0</v>
      </c>
      <c r="AP455" s="76" t="n">
        <f aca="false">IF(ISERROR(VLOOKUP($P455,Member_Tab,4,FALSE())),0,(VLOOKUP($P455,Member_Tab,4,FALSE()) * 0.2 * AP$7) * (IF(AND(AP$5 &gt;= VLOOKUP($P455,Member_Tab,6,FALSE()), AP$5 &lt;= VLOOKUP($P455,Member_Tab,7,FALSE())),1,0))  )</f>
        <v>0</v>
      </c>
      <c r="AQ455" s="76" t="n">
        <f aca="false">IF(ISERROR(VLOOKUP($P455,Member_Tab,4,FALSE())),0,(VLOOKUP($P455,Member_Tab,4,FALSE()) * 0.2 * AQ$7) * (IF(AND(AQ$5 &gt;= VLOOKUP($P455,Member_Tab,6,FALSE()), AQ$5 &lt;= VLOOKUP($P455,Member_Tab,7,FALSE())),1,0))  )</f>
        <v>0</v>
      </c>
      <c r="AR455" s="76" t="n">
        <f aca="false">IF(ISERROR(VLOOKUP($P455,Member_Tab,4,FALSE())),0,(VLOOKUP($P455,Member_Tab,4,FALSE()) * 0.2 * AR$7) * (IF(AND(AR$5 &gt;= VLOOKUP($P455,Member_Tab,6,FALSE()), AR$5 &lt;= VLOOKUP($P455,Member_Tab,7,FALSE())),1,0))  )</f>
        <v>0</v>
      </c>
      <c r="AS455" s="76" t="n">
        <f aca="false">IF(ISERROR(VLOOKUP($P455,Member_Tab,4,FALSE())),0,(VLOOKUP($P455,Member_Tab,4,FALSE()) * 0.2 * AS$7) * (IF(AND(AS$5 &gt;= VLOOKUP($P455,Member_Tab,6,FALSE()), AS$5 &lt;= VLOOKUP($P455,Member_Tab,7,FALSE())),1,0))  )</f>
        <v>0</v>
      </c>
      <c r="AT455" s="76" t="n">
        <f aca="false">IF(ISERROR(VLOOKUP($P455,Member_Tab,4,FALSE())),0,(VLOOKUP($P455,Member_Tab,4,FALSE()) * 0.2 * AT$7) * (IF(AND(AT$5 &gt;= VLOOKUP($P455,Member_Tab,6,FALSE()), AT$5 &lt;= VLOOKUP($P455,Member_Tab,7,FALSE())),1,0))  )</f>
        <v>0</v>
      </c>
      <c r="AU455" s="76" t="n">
        <f aca="false">IF(ISERROR(VLOOKUP($P455,Member_Tab,4,FALSE())),0,(VLOOKUP($P455,Member_Tab,4,FALSE()) * 0.2 * AU$7) * (IF(AND(AU$5 &gt;= VLOOKUP($P455,Member_Tab,6,FALSE()), AU$5 &lt;= VLOOKUP($P455,Member_Tab,7,FALSE())),1,0))  )</f>
        <v>0</v>
      </c>
      <c r="AV455" s="76" t="n">
        <f aca="false">IF(ISERROR(VLOOKUP($P455,Member_Tab,4,FALSE())),0,(VLOOKUP($P455,Member_Tab,4,FALSE()) * 0.2 * AV$7) * (IF(AND(AV$5 &gt;= VLOOKUP($P455,Member_Tab,6,FALSE()), AV$5 &lt;= VLOOKUP($P455,Member_Tab,7,FALSE())),1,0))  )</f>
        <v>0</v>
      </c>
      <c r="AW455" s="76" t="n">
        <f aca="false">IF(ISERROR(VLOOKUP($P455,Member_Tab,4,FALSE())),0,(VLOOKUP($P455,Member_Tab,4,FALSE()) * 0.2 * AW$7) * (IF(AND(AW$5 &gt;= VLOOKUP($P455,Member_Tab,6,FALSE()), AW$5 &lt;= VLOOKUP($P455,Member_Tab,7,FALSE())),1,0))  )</f>
        <v>0</v>
      </c>
      <c r="AX455" s="76" t="n">
        <f aca="false">IF(ISERROR(VLOOKUP($P455,Member_Tab,4,FALSE())),0,(VLOOKUP($P455,Member_Tab,4,FALSE()) * 0.2 * AX$7) * (IF(AND(AX$5 &gt;= VLOOKUP($P455,Member_Tab,6,FALSE()), AX$5 &lt;= VLOOKUP($P455,Member_Tab,7,FALSE())),1,0))  )</f>
        <v>0</v>
      </c>
      <c r="AY455" s="76" t="n">
        <f aca="false">IF(ISERROR(VLOOKUP($P455,Member_Tab,4,FALSE())),0,(VLOOKUP($P455,Member_Tab,4,FALSE()) * 0.2 * AY$7) * (IF(AND(AY$5 &gt;= VLOOKUP($P455,Member_Tab,6,FALSE()), AY$5 &lt;= VLOOKUP($P455,Member_Tab,7,FALSE())),1,0))  )</f>
        <v>0</v>
      </c>
      <c r="AZ455" s="76" t="n">
        <f aca="false">IF(ISERROR(VLOOKUP($P455,Member_Tab,4,FALSE())),0,(VLOOKUP($P455,Member_Tab,4,FALSE()) * 0.2 * AZ$7) * (IF(AND(AZ$5 &gt;= VLOOKUP($P455,Member_Tab,6,FALSE()), AZ$5 &lt;= VLOOKUP($P455,Member_Tab,7,FALSE())),1,0))  )</f>
        <v>0</v>
      </c>
      <c r="BA455" s="76" t="n">
        <f aca="false">IF(ISERROR(VLOOKUP($P455,Member_Tab,4,FALSE())),0,(VLOOKUP($P455,Member_Tab,4,FALSE()) * 0.2 * BA$7) * (IF(AND(BA$5 &gt;= VLOOKUP($P455,Member_Tab,6,FALSE()), BA$5 &lt;= VLOOKUP($P455,Member_Tab,7,FALSE())),1,0))  )</f>
        <v>0</v>
      </c>
      <c r="BB455" s="76" t="n">
        <f aca="false">IF(ISERROR(VLOOKUP($P455,Member_Tab,4,FALSE())),0,(VLOOKUP($P455,Member_Tab,4,FALSE()) * 0.2 * BB$7) * (IF(AND(BB$5 &gt;= VLOOKUP($P455,Member_Tab,6,FALSE()), BB$5 &lt;= VLOOKUP($P455,Member_Tab,7,FALSE())),1,0))  )</f>
        <v>0</v>
      </c>
    </row>
    <row r="456" s="173" customFormat="true" ht="15" hidden="true" customHeight="false" outlineLevel="1" collapsed="false">
      <c r="E456" s="40"/>
      <c r="K456" s="40"/>
      <c r="L456" s="40"/>
      <c r="M456" s="40"/>
      <c r="N456" s="40"/>
      <c r="P456" s="177" t="n">
        <f aca="false">P319</f>
        <v>0</v>
      </c>
      <c r="Q456" s="40"/>
      <c r="R456" s="178"/>
      <c r="S456" s="76" t="n">
        <f aca="false">IF(ISERROR(VLOOKUP($P456,Member_Tab,4,FALSE())),0,(VLOOKUP($P456,Member_Tab,4,FALSE()) * 0.2 * S$7) * (IF(AND(S$5 &gt;= VLOOKUP($P456,Member_Tab,6,FALSE()), S$5 &lt;= VLOOKUP($P456,Member_Tab,7,FALSE())),1,0))  )</f>
        <v>0</v>
      </c>
      <c r="T456" s="76" t="n">
        <f aca="false">IF(ISERROR(VLOOKUP($P456,Member_Tab,4,FALSE())),0,(VLOOKUP($P456,Member_Tab,4,FALSE()) * 0.2 * T$7) * (IF(AND(T$5 &gt;= VLOOKUP($P456,Member_Tab,6,FALSE()), T$5 &lt;= VLOOKUP($P456,Member_Tab,7,FALSE())),1,0))  )</f>
        <v>0</v>
      </c>
      <c r="U456" s="76" t="n">
        <f aca="false">IF(ISERROR(VLOOKUP($P456,Member_Tab,4,FALSE())),0,(VLOOKUP($P456,Member_Tab,4,FALSE()) * 0.2 * U$7) * (IF(AND(U$5 &gt;= VLOOKUP($P456,Member_Tab,6,FALSE()), U$5 &lt;= VLOOKUP($P456,Member_Tab,7,FALSE())),1,0))  )</f>
        <v>0</v>
      </c>
      <c r="V456" s="76" t="n">
        <f aca="false">IF(ISERROR(VLOOKUP($P456,Member_Tab,4,FALSE())),0,(VLOOKUP($P456,Member_Tab,4,FALSE()) * 0.2 * V$7) * (IF(AND(V$5 &gt;= VLOOKUP($P456,Member_Tab,6,FALSE()), V$5 &lt;= VLOOKUP($P456,Member_Tab,7,FALSE())),1,0))  )</f>
        <v>0</v>
      </c>
      <c r="W456" s="76" t="n">
        <f aca="false">IF(ISERROR(VLOOKUP($P456,Member_Tab,4,FALSE())),0,(VLOOKUP($P456,Member_Tab,4,FALSE()) * 0.2 * W$7) * (IF(AND(W$5 &gt;= VLOOKUP($P456,Member_Tab,6,FALSE()), W$5 &lt;= VLOOKUP($P456,Member_Tab,7,FALSE())),1,0))  )</f>
        <v>0</v>
      </c>
      <c r="X456" s="76" t="n">
        <f aca="false">IF(ISERROR(VLOOKUP($P456,Member_Tab,4,FALSE())),0,(VLOOKUP($P456,Member_Tab,4,FALSE()) * 0.2 * X$7) * (IF(AND(X$5 &gt;= VLOOKUP($P456,Member_Tab,6,FALSE()), X$5 &lt;= VLOOKUP($P456,Member_Tab,7,FALSE())),1,0))  )</f>
        <v>0</v>
      </c>
      <c r="Y456" s="76" t="n">
        <f aca="false">IF(ISERROR(VLOOKUP($P456,Member_Tab,4,FALSE())),0,(VLOOKUP($P456,Member_Tab,4,FALSE()) * 0.2 * Y$7) * (IF(AND(Y$5 &gt;= VLOOKUP($P456,Member_Tab,6,FALSE()), Y$5 &lt;= VLOOKUP($P456,Member_Tab,7,FALSE())),1,0))  )</f>
        <v>0</v>
      </c>
      <c r="Z456" s="76" t="n">
        <f aca="false">IF(ISERROR(VLOOKUP($P456,Member_Tab,4,FALSE())),0,(VLOOKUP($P456,Member_Tab,4,FALSE()) * 0.2 * Z$7) * (IF(AND(Z$5 &gt;= VLOOKUP($P456,Member_Tab,6,FALSE()), Z$5 &lt;= VLOOKUP($P456,Member_Tab,7,FALSE())),1,0))  )</f>
        <v>0</v>
      </c>
      <c r="AA456" s="76" t="n">
        <f aca="false">IF(ISERROR(VLOOKUP($P456,Member_Tab,4,FALSE())),0,(VLOOKUP($P456,Member_Tab,4,FALSE()) * 0.2 * AA$7) * (IF(AND(AA$5 &gt;= VLOOKUP($P456,Member_Tab,6,FALSE()), AA$5 &lt;= VLOOKUP($P456,Member_Tab,7,FALSE())),1,0))  )</f>
        <v>0</v>
      </c>
      <c r="AB456" s="76" t="n">
        <f aca="false">IF(ISERROR(VLOOKUP($P456,Member_Tab,4,FALSE())),0,(VLOOKUP($P456,Member_Tab,4,FALSE()) * 0.2 * AB$7) * (IF(AND(AB$5 &gt;= VLOOKUP($P456,Member_Tab,6,FALSE()), AB$5 &lt;= VLOOKUP($P456,Member_Tab,7,FALSE())),1,0))  )</f>
        <v>0</v>
      </c>
      <c r="AC456" s="76" t="n">
        <f aca="false">IF(ISERROR(VLOOKUP($P456,Member_Tab,4,FALSE())),0,(VLOOKUP($P456,Member_Tab,4,FALSE()) * 0.2 * AC$7) * (IF(AND(AC$5 &gt;= VLOOKUP($P456,Member_Tab,6,FALSE()), AC$5 &lt;= VLOOKUP($P456,Member_Tab,7,FALSE())),1,0))  )</f>
        <v>0</v>
      </c>
      <c r="AD456" s="76" t="n">
        <f aca="false">IF(ISERROR(VLOOKUP($P456,Member_Tab,4,FALSE())),0,(VLOOKUP($P456,Member_Tab,4,FALSE()) * 0.2 * AD$7) * (IF(AND(AD$5 &gt;= VLOOKUP($P456,Member_Tab,6,FALSE()), AD$5 &lt;= VLOOKUP($P456,Member_Tab,7,FALSE())),1,0))  )</f>
        <v>0</v>
      </c>
      <c r="AE456" s="76" t="n">
        <f aca="false">IF(ISERROR(VLOOKUP($P456,Member_Tab,4,FALSE())),0,(VLOOKUP($P456,Member_Tab,4,FALSE()) * 0.2 * AE$7) * (IF(AND(AE$5 &gt;= VLOOKUP($P456,Member_Tab,6,FALSE()), AE$5 &lt;= VLOOKUP($P456,Member_Tab,7,FALSE())),1,0))  )</f>
        <v>0</v>
      </c>
      <c r="AF456" s="76" t="n">
        <f aca="false">IF(ISERROR(VLOOKUP($P456,Member_Tab,4,FALSE())),0,(VLOOKUP($P456,Member_Tab,4,FALSE()) * 0.2 * AF$7) * (IF(AND(AF$5 &gt;= VLOOKUP($P456,Member_Tab,6,FALSE()), AF$5 &lt;= VLOOKUP($P456,Member_Tab,7,FALSE())),1,0))  )</f>
        <v>0</v>
      </c>
      <c r="AG456" s="76" t="n">
        <f aca="false">IF(ISERROR(VLOOKUP($P456,Member_Tab,4,FALSE())),0,(VLOOKUP($P456,Member_Tab,4,FALSE()) * 0.2 * AG$7) * (IF(AND(AG$5 &gt;= VLOOKUP($P456,Member_Tab,6,FALSE()), AG$5 &lt;= VLOOKUP($P456,Member_Tab,7,FALSE())),1,0))  )</f>
        <v>0</v>
      </c>
      <c r="AH456" s="76" t="n">
        <f aca="false">IF(ISERROR(VLOOKUP($P456,Member_Tab,4,FALSE())),0,(VLOOKUP($P456,Member_Tab,4,FALSE()) * 0.2 * AH$7) * (IF(AND(AH$5 &gt;= VLOOKUP($P456,Member_Tab,6,FALSE()), AH$5 &lt;= VLOOKUP($P456,Member_Tab,7,FALSE())),1,0))  )</f>
        <v>0</v>
      </c>
      <c r="AI456" s="76" t="n">
        <f aca="false">IF(ISERROR(VLOOKUP($P456,Member_Tab,4,FALSE())),0,(VLOOKUP($P456,Member_Tab,4,FALSE()) * 0.2 * AI$7) * (IF(AND(AI$5 &gt;= VLOOKUP($P456,Member_Tab,6,FALSE()), AI$5 &lt;= VLOOKUP($P456,Member_Tab,7,FALSE())),1,0))  )</f>
        <v>0</v>
      </c>
      <c r="AJ456" s="76" t="n">
        <f aca="false">IF(ISERROR(VLOOKUP($P456,Member_Tab,4,FALSE())),0,(VLOOKUP($P456,Member_Tab,4,FALSE()) * 0.2 * AJ$7) * (IF(AND(AJ$5 &gt;= VLOOKUP($P456,Member_Tab,6,FALSE()), AJ$5 &lt;= VLOOKUP($P456,Member_Tab,7,FALSE())),1,0))  )</f>
        <v>0</v>
      </c>
      <c r="AK456" s="76" t="n">
        <f aca="false">IF(ISERROR(VLOOKUP($P456,Member_Tab,4,FALSE())),0,(VLOOKUP($P456,Member_Tab,4,FALSE()) * 0.2 * AK$7) * (IF(AND(AK$5 &gt;= VLOOKUP($P456,Member_Tab,6,FALSE()), AK$5 &lt;= VLOOKUP($P456,Member_Tab,7,FALSE())),1,0))  )</f>
        <v>0</v>
      </c>
      <c r="AL456" s="76" t="n">
        <f aca="false">IF(ISERROR(VLOOKUP($P456,Member_Tab,4,FALSE())),0,(VLOOKUP($P456,Member_Tab,4,FALSE()) * 0.2 * AL$7) * (IF(AND(AL$5 &gt;= VLOOKUP($P456,Member_Tab,6,FALSE()), AL$5 &lt;= VLOOKUP($P456,Member_Tab,7,FALSE())),1,0))  )</f>
        <v>0</v>
      </c>
      <c r="AM456" s="76" t="n">
        <f aca="false">IF(ISERROR(VLOOKUP($P456,Member_Tab,4,FALSE())),0,(VLOOKUP($P456,Member_Tab,4,FALSE()) * 0.2 * AM$7) * (IF(AND(AM$5 &gt;= VLOOKUP($P456,Member_Tab,6,FALSE()), AM$5 &lt;= VLOOKUP($P456,Member_Tab,7,FALSE())),1,0))  )</f>
        <v>0</v>
      </c>
      <c r="AN456" s="76" t="n">
        <f aca="false">IF(ISERROR(VLOOKUP($P456,Member_Tab,4,FALSE())),0,(VLOOKUP($P456,Member_Tab,4,FALSE()) * 0.2 * AN$7) * (IF(AND(AN$5 &gt;= VLOOKUP($P456,Member_Tab,6,FALSE()), AN$5 &lt;= VLOOKUP($P456,Member_Tab,7,FALSE())),1,0))  )</f>
        <v>0</v>
      </c>
      <c r="AO456" s="76" t="n">
        <f aca="false">IF(ISERROR(VLOOKUP($P456,Member_Tab,4,FALSE())),0,(VLOOKUP($P456,Member_Tab,4,FALSE()) * 0.2 * AO$7) * (IF(AND(AO$5 &gt;= VLOOKUP($P456,Member_Tab,6,FALSE()), AO$5 &lt;= VLOOKUP($P456,Member_Tab,7,FALSE())),1,0))  )</f>
        <v>0</v>
      </c>
      <c r="AP456" s="76" t="n">
        <f aca="false">IF(ISERROR(VLOOKUP($P456,Member_Tab,4,FALSE())),0,(VLOOKUP($P456,Member_Tab,4,FALSE()) * 0.2 * AP$7) * (IF(AND(AP$5 &gt;= VLOOKUP($P456,Member_Tab,6,FALSE()), AP$5 &lt;= VLOOKUP($P456,Member_Tab,7,FALSE())),1,0))  )</f>
        <v>0</v>
      </c>
      <c r="AQ456" s="76" t="n">
        <f aca="false">IF(ISERROR(VLOOKUP($P456,Member_Tab,4,FALSE())),0,(VLOOKUP($P456,Member_Tab,4,FALSE()) * 0.2 * AQ$7) * (IF(AND(AQ$5 &gt;= VLOOKUP($P456,Member_Tab,6,FALSE()), AQ$5 &lt;= VLOOKUP($P456,Member_Tab,7,FALSE())),1,0))  )</f>
        <v>0</v>
      </c>
      <c r="AR456" s="76" t="n">
        <f aca="false">IF(ISERROR(VLOOKUP($P456,Member_Tab,4,FALSE())),0,(VLOOKUP($P456,Member_Tab,4,FALSE()) * 0.2 * AR$7) * (IF(AND(AR$5 &gt;= VLOOKUP($P456,Member_Tab,6,FALSE()), AR$5 &lt;= VLOOKUP($P456,Member_Tab,7,FALSE())),1,0))  )</f>
        <v>0</v>
      </c>
      <c r="AS456" s="76" t="n">
        <f aca="false">IF(ISERROR(VLOOKUP($P456,Member_Tab,4,FALSE())),0,(VLOOKUP($P456,Member_Tab,4,FALSE()) * 0.2 * AS$7) * (IF(AND(AS$5 &gt;= VLOOKUP($P456,Member_Tab,6,FALSE()), AS$5 &lt;= VLOOKUP($P456,Member_Tab,7,FALSE())),1,0))  )</f>
        <v>0</v>
      </c>
      <c r="AT456" s="76" t="n">
        <f aca="false">IF(ISERROR(VLOOKUP($P456,Member_Tab,4,FALSE())),0,(VLOOKUP($P456,Member_Tab,4,FALSE()) * 0.2 * AT$7) * (IF(AND(AT$5 &gt;= VLOOKUP($P456,Member_Tab,6,FALSE()), AT$5 &lt;= VLOOKUP($P456,Member_Tab,7,FALSE())),1,0))  )</f>
        <v>0</v>
      </c>
      <c r="AU456" s="76" t="n">
        <f aca="false">IF(ISERROR(VLOOKUP($P456,Member_Tab,4,FALSE())),0,(VLOOKUP($P456,Member_Tab,4,FALSE()) * 0.2 * AU$7) * (IF(AND(AU$5 &gt;= VLOOKUP($P456,Member_Tab,6,FALSE()), AU$5 &lt;= VLOOKUP($P456,Member_Tab,7,FALSE())),1,0))  )</f>
        <v>0</v>
      </c>
      <c r="AV456" s="76" t="n">
        <f aca="false">IF(ISERROR(VLOOKUP($P456,Member_Tab,4,FALSE())),0,(VLOOKUP($P456,Member_Tab,4,FALSE()) * 0.2 * AV$7) * (IF(AND(AV$5 &gt;= VLOOKUP($P456,Member_Tab,6,FALSE()), AV$5 &lt;= VLOOKUP($P456,Member_Tab,7,FALSE())),1,0))  )</f>
        <v>0</v>
      </c>
      <c r="AW456" s="76" t="n">
        <f aca="false">IF(ISERROR(VLOOKUP($P456,Member_Tab,4,FALSE())),0,(VLOOKUP($P456,Member_Tab,4,FALSE()) * 0.2 * AW$7) * (IF(AND(AW$5 &gt;= VLOOKUP($P456,Member_Tab,6,FALSE()), AW$5 &lt;= VLOOKUP($P456,Member_Tab,7,FALSE())),1,0))  )</f>
        <v>0</v>
      </c>
      <c r="AX456" s="76" t="n">
        <f aca="false">IF(ISERROR(VLOOKUP($P456,Member_Tab,4,FALSE())),0,(VLOOKUP($P456,Member_Tab,4,FALSE()) * 0.2 * AX$7) * (IF(AND(AX$5 &gt;= VLOOKUP($P456,Member_Tab,6,FALSE()), AX$5 &lt;= VLOOKUP($P456,Member_Tab,7,FALSE())),1,0))  )</f>
        <v>0</v>
      </c>
      <c r="AY456" s="76" t="n">
        <f aca="false">IF(ISERROR(VLOOKUP($P456,Member_Tab,4,FALSE())),0,(VLOOKUP($P456,Member_Tab,4,FALSE()) * 0.2 * AY$7) * (IF(AND(AY$5 &gt;= VLOOKUP($P456,Member_Tab,6,FALSE()), AY$5 &lt;= VLOOKUP($P456,Member_Tab,7,FALSE())),1,0))  )</f>
        <v>0</v>
      </c>
      <c r="AZ456" s="76" t="n">
        <f aca="false">IF(ISERROR(VLOOKUP($P456,Member_Tab,4,FALSE())),0,(VLOOKUP($P456,Member_Tab,4,FALSE()) * 0.2 * AZ$7) * (IF(AND(AZ$5 &gt;= VLOOKUP($P456,Member_Tab,6,FALSE()), AZ$5 &lt;= VLOOKUP($P456,Member_Tab,7,FALSE())),1,0))  )</f>
        <v>0</v>
      </c>
      <c r="BA456" s="76" t="n">
        <f aca="false">IF(ISERROR(VLOOKUP($P456,Member_Tab,4,FALSE())),0,(VLOOKUP($P456,Member_Tab,4,FALSE()) * 0.2 * BA$7) * (IF(AND(BA$5 &gt;= VLOOKUP($P456,Member_Tab,6,FALSE()), BA$5 &lt;= VLOOKUP($P456,Member_Tab,7,FALSE())),1,0))  )</f>
        <v>0</v>
      </c>
      <c r="BB456" s="76" t="n">
        <f aca="false">IF(ISERROR(VLOOKUP($P456,Member_Tab,4,FALSE())),0,(VLOOKUP($P456,Member_Tab,4,FALSE()) * 0.2 * BB$7) * (IF(AND(BB$5 &gt;= VLOOKUP($P456,Member_Tab,6,FALSE()), BB$5 &lt;= VLOOKUP($P456,Member_Tab,7,FALSE())),1,0))  )</f>
        <v>0</v>
      </c>
    </row>
    <row r="457" s="173" customFormat="true" ht="15" hidden="true" customHeight="false" outlineLevel="1" collapsed="false">
      <c r="E457" s="40"/>
      <c r="K457" s="40"/>
      <c r="L457" s="40"/>
      <c r="M457" s="40"/>
      <c r="N457" s="40"/>
      <c r="P457" s="177" t="n">
        <f aca="false">P320</f>
        <v>0</v>
      </c>
      <c r="Q457" s="40"/>
      <c r="R457" s="178"/>
      <c r="S457" s="76" t="n">
        <f aca="false">IF(ISERROR(VLOOKUP($P457,Member_Tab,4,FALSE())),0,(VLOOKUP($P457,Member_Tab,4,FALSE()) * 0.2 * S$7) * (IF(AND(S$5 &gt;= VLOOKUP($P457,Member_Tab,6,FALSE()), S$5 &lt;= VLOOKUP($P457,Member_Tab,7,FALSE())),1,0))  )</f>
        <v>0</v>
      </c>
      <c r="T457" s="76" t="n">
        <f aca="false">IF(ISERROR(VLOOKUP($P457,Member_Tab,4,FALSE())),0,(VLOOKUP($P457,Member_Tab,4,FALSE()) * 0.2 * T$7) * (IF(AND(T$5 &gt;= VLOOKUP($P457,Member_Tab,6,FALSE()), T$5 &lt;= VLOOKUP($P457,Member_Tab,7,FALSE())),1,0))  )</f>
        <v>0</v>
      </c>
      <c r="U457" s="76" t="n">
        <f aca="false">IF(ISERROR(VLOOKUP($P457,Member_Tab,4,FALSE())),0,(VLOOKUP($P457,Member_Tab,4,FALSE()) * 0.2 * U$7) * (IF(AND(U$5 &gt;= VLOOKUP($P457,Member_Tab,6,FALSE()), U$5 &lt;= VLOOKUP($P457,Member_Tab,7,FALSE())),1,0))  )</f>
        <v>0</v>
      </c>
      <c r="V457" s="76" t="n">
        <f aca="false">IF(ISERROR(VLOOKUP($P457,Member_Tab,4,FALSE())),0,(VLOOKUP($P457,Member_Tab,4,FALSE()) * 0.2 * V$7) * (IF(AND(V$5 &gt;= VLOOKUP($P457,Member_Tab,6,FALSE()), V$5 &lt;= VLOOKUP($P457,Member_Tab,7,FALSE())),1,0))  )</f>
        <v>0</v>
      </c>
      <c r="W457" s="76" t="n">
        <f aca="false">IF(ISERROR(VLOOKUP($P457,Member_Tab,4,FALSE())),0,(VLOOKUP($P457,Member_Tab,4,FALSE()) * 0.2 * W$7) * (IF(AND(W$5 &gt;= VLOOKUP($P457,Member_Tab,6,FALSE()), W$5 &lt;= VLOOKUP($P457,Member_Tab,7,FALSE())),1,0))  )</f>
        <v>0</v>
      </c>
      <c r="X457" s="76" t="n">
        <f aca="false">IF(ISERROR(VLOOKUP($P457,Member_Tab,4,FALSE())),0,(VLOOKUP($P457,Member_Tab,4,FALSE()) * 0.2 * X$7) * (IF(AND(X$5 &gt;= VLOOKUP($P457,Member_Tab,6,FALSE()), X$5 &lt;= VLOOKUP($P457,Member_Tab,7,FALSE())),1,0))  )</f>
        <v>0</v>
      </c>
      <c r="Y457" s="76" t="n">
        <f aca="false">IF(ISERROR(VLOOKUP($P457,Member_Tab,4,FALSE())),0,(VLOOKUP($P457,Member_Tab,4,FALSE()) * 0.2 * Y$7) * (IF(AND(Y$5 &gt;= VLOOKUP($P457,Member_Tab,6,FALSE()), Y$5 &lt;= VLOOKUP($P457,Member_Tab,7,FALSE())),1,0))  )</f>
        <v>0</v>
      </c>
      <c r="Z457" s="76" t="n">
        <f aca="false">IF(ISERROR(VLOOKUP($P457,Member_Tab,4,FALSE())),0,(VLOOKUP($P457,Member_Tab,4,FALSE()) * 0.2 * Z$7) * (IF(AND(Z$5 &gt;= VLOOKUP($P457,Member_Tab,6,FALSE()), Z$5 &lt;= VLOOKUP($P457,Member_Tab,7,FALSE())),1,0))  )</f>
        <v>0</v>
      </c>
      <c r="AA457" s="76" t="n">
        <f aca="false">IF(ISERROR(VLOOKUP($P457,Member_Tab,4,FALSE())),0,(VLOOKUP($P457,Member_Tab,4,FALSE()) * 0.2 * AA$7) * (IF(AND(AA$5 &gt;= VLOOKUP($P457,Member_Tab,6,FALSE()), AA$5 &lt;= VLOOKUP($P457,Member_Tab,7,FALSE())),1,0))  )</f>
        <v>0</v>
      </c>
      <c r="AB457" s="76" t="n">
        <f aca="false">IF(ISERROR(VLOOKUP($P457,Member_Tab,4,FALSE())),0,(VLOOKUP($P457,Member_Tab,4,FALSE()) * 0.2 * AB$7) * (IF(AND(AB$5 &gt;= VLOOKUP($P457,Member_Tab,6,FALSE()), AB$5 &lt;= VLOOKUP($P457,Member_Tab,7,FALSE())),1,0))  )</f>
        <v>0</v>
      </c>
      <c r="AC457" s="76" t="n">
        <f aca="false">IF(ISERROR(VLOOKUP($P457,Member_Tab,4,FALSE())),0,(VLOOKUP($P457,Member_Tab,4,FALSE()) * 0.2 * AC$7) * (IF(AND(AC$5 &gt;= VLOOKUP($P457,Member_Tab,6,FALSE()), AC$5 &lt;= VLOOKUP($P457,Member_Tab,7,FALSE())),1,0))  )</f>
        <v>0</v>
      </c>
      <c r="AD457" s="76" t="n">
        <f aca="false">IF(ISERROR(VLOOKUP($P457,Member_Tab,4,FALSE())),0,(VLOOKUP($P457,Member_Tab,4,FALSE()) * 0.2 * AD$7) * (IF(AND(AD$5 &gt;= VLOOKUP($P457,Member_Tab,6,FALSE()), AD$5 &lt;= VLOOKUP($P457,Member_Tab,7,FALSE())),1,0))  )</f>
        <v>0</v>
      </c>
      <c r="AE457" s="76" t="n">
        <f aca="false">IF(ISERROR(VLOOKUP($P457,Member_Tab,4,FALSE())),0,(VLOOKUP($P457,Member_Tab,4,FALSE()) * 0.2 * AE$7) * (IF(AND(AE$5 &gt;= VLOOKUP($P457,Member_Tab,6,FALSE()), AE$5 &lt;= VLOOKUP($P457,Member_Tab,7,FALSE())),1,0))  )</f>
        <v>0</v>
      </c>
      <c r="AF457" s="76" t="n">
        <f aca="false">IF(ISERROR(VLOOKUP($P457,Member_Tab,4,FALSE())),0,(VLOOKUP($P457,Member_Tab,4,FALSE()) * 0.2 * AF$7) * (IF(AND(AF$5 &gt;= VLOOKUP($P457,Member_Tab,6,FALSE()), AF$5 &lt;= VLOOKUP($P457,Member_Tab,7,FALSE())),1,0))  )</f>
        <v>0</v>
      </c>
      <c r="AG457" s="76" t="n">
        <f aca="false">IF(ISERROR(VLOOKUP($P457,Member_Tab,4,FALSE())),0,(VLOOKUP($P457,Member_Tab,4,FALSE()) * 0.2 * AG$7) * (IF(AND(AG$5 &gt;= VLOOKUP($P457,Member_Tab,6,FALSE()), AG$5 &lt;= VLOOKUP($P457,Member_Tab,7,FALSE())),1,0))  )</f>
        <v>0</v>
      </c>
      <c r="AH457" s="76" t="n">
        <f aca="false">IF(ISERROR(VLOOKUP($P457,Member_Tab,4,FALSE())),0,(VLOOKUP($P457,Member_Tab,4,FALSE()) * 0.2 * AH$7) * (IF(AND(AH$5 &gt;= VLOOKUP($P457,Member_Tab,6,FALSE()), AH$5 &lt;= VLOOKUP($P457,Member_Tab,7,FALSE())),1,0))  )</f>
        <v>0</v>
      </c>
      <c r="AI457" s="76" t="n">
        <f aca="false">IF(ISERROR(VLOOKUP($P457,Member_Tab,4,FALSE())),0,(VLOOKUP($P457,Member_Tab,4,FALSE()) * 0.2 * AI$7) * (IF(AND(AI$5 &gt;= VLOOKUP($P457,Member_Tab,6,FALSE()), AI$5 &lt;= VLOOKUP($P457,Member_Tab,7,FALSE())),1,0))  )</f>
        <v>0</v>
      </c>
      <c r="AJ457" s="76" t="n">
        <f aca="false">IF(ISERROR(VLOOKUP($P457,Member_Tab,4,FALSE())),0,(VLOOKUP($P457,Member_Tab,4,FALSE()) * 0.2 * AJ$7) * (IF(AND(AJ$5 &gt;= VLOOKUP($P457,Member_Tab,6,FALSE()), AJ$5 &lt;= VLOOKUP($P457,Member_Tab,7,FALSE())),1,0))  )</f>
        <v>0</v>
      </c>
      <c r="AK457" s="76" t="n">
        <f aca="false">IF(ISERROR(VLOOKUP($P457,Member_Tab,4,FALSE())),0,(VLOOKUP($P457,Member_Tab,4,FALSE()) * 0.2 * AK$7) * (IF(AND(AK$5 &gt;= VLOOKUP($P457,Member_Tab,6,FALSE()), AK$5 &lt;= VLOOKUP($P457,Member_Tab,7,FALSE())),1,0))  )</f>
        <v>0</v>
      </c>
      <c r="AL457" s="76" t="n">
        <f aca="false">IF(ISERROR(VLOOKUP($P457,Member_Tab,4,FALSE())),0,(VLOOKUP($P457,Member_Tab,4,FALSE()) * 0.2 * AL$7) * (IF(AND(AL$5 &gt;= VLOOKUP($P457,Member_Tab,6,FALSE()), AL$5 &lt;= VLOOKUP($P457,Member_Tab,7,FALSE())),1,0))  )</f>
        <v>0</v>
      </c>
      <c r="AM457" s="76" t="n">
        <f aca="false">IF(ISERROR(VLOOKUP($P457,Member_Tab,4,FALSE())),0,(VLOOKUP($P457,Member_Tab,4,FALSE()) * 0.2 * AM$7) * (IF(AND(AM$5 &gt;= VLOOKUP($P457,Member_Tab,6,FALSE()), AM$5 &lt;= VLOOKUP($P457,Member_Tab,7,FALSE())),1,0))  )</f>
        <v>0</v>
      </c>
      <c r="AN457" s="76" t="n">
        <f aca="false">IF(ISERROR(VLOOKUP($P457,Member_Tab,4,FALSE())),0,(VLOOKUP($P457,Member_Tab,4,FALSE()) * 0.2 * AN$7) * (IF(AND(AN$5 &gt;= VLOOKUP($P457,Member_Tab,6,FALSE()), AN$5 &lt;= VLOOKUP($P457,Member_Tab,7,FALSE())),1,0))  )</f>
        <v>0</v>
      </c>
      <c r="AO457" s="76" t="n">
        <f aca="false">IF(ISERROR(VLOOKUP($P457,Member_Tab,4,FALSE())),0,(VLOOKUP($P457,Member_Tab,4,FALSE()) * 0.2 * AO$7) * (IF(AND(AO$5 &gt;= VLOOKUP($P457,Member_Tab,6,FALSE()), AO$5 &lt;= VLOOKUP($P457,Member_Tab,7,FALSE())),1,0))  )</f>
        <v>0</v>
      </c>
      <c r="AP457" s="76" t="n">
        <f aca="false">IF(ISERROR(VLOOKUP($P457,Member_Tab,4,FALSE())),0,(VLOOKUP($P457,Member_Tab,4,FALSE()) * 0.2 * AP$7) * (IF(AND(AP$5 &gt;= VLOOKUP($P457,Member_Tab,6,FALSE()), AP$5 &lt;= VLOOKUP($P457,Member_Tab,7,FALSE())),1,0))  )</f>
        <v>0</v>
      </c>
      <c r="AQ457" s="76" t="n">
        <f aca="false">IF(ISERROR(VLOOKUP($P457,Member_Tab,4,FALSE())),0,(VLOOKUP($P457,Member_Tab,4,FALSE()) * 0.2 * AQ$7) * (IF(AND(AQ$5 &gt;= VLOOKUP($P457,Member_Tab,6,FALSE()), AQ$5 &lt;= VLOOKUP($P457,Member_Tab,7,FALSE())),1,0))  )</f>
        <v>0</v>
      </c>
      <c r="AR457" s="76" t="n">
        <f aca="false">IF(ISERROR(VLOOKUP($P457,Member_Tab,4,FALSE())),0,(VLOOKUP($P457,Member_Tab,4,FALSE()) * 0.2 * AR$7) * (IF(AND(AR$5 &gt;= VLOOKUP($P457,Member_Tab,6,FALSE()), AR$5 &lt;= VLOOKUP($P457,Member_Tab,7,FALSE())),1,0))  )</f>
        <v>0</v>
      </c>
      <c r="AS457" s="76" t="n">
        <f aca="false">IF(ISERROR(VLOOKUP($P457,Member_Tab,4,FALSE())),0,(VLOOKUP($P457,Member_Tab,4,FALSE()) * 0.2 * AS$7) * (IF(AND(AS$5 &gt;= VLOOKUP($P457,Member_Tab,6,FALSE()), AS$5 &lt;= VLOOKUP($P457,Member_Tab,7,FALSE())),1,0))  )</f>
        <v>0</v>
      </c>
      <c r="AT457" s="76" t="n">
        <f aca="false">IF(ISERROR(VLOOKUP($P457,Member_Tab,4,FALSE())),0,(VLOOKUP($P457,Member_Tab,4,FALSE()) * 0.2 * AT$7) * (IF(AND(AT$5 &gt;= VLOOKUP($P457,Member_Tab,6,FALSE()), AT$5 &lt;= VLOOKUP($P457,Member_Tab,7,FALSE())),1,0))  )</f>
        <v>0</v>
      </c>
      <c r="AU457" s="76" t="n">
        <f aca="false">IF(ISERROR(VLOOKUP($P457,Member_Tab,4,FALSE())),0,(VLOOKUP($P457,Member_Tab,4,FALSE()) * 0.2 * AU$7) * (IF(AND(AU$5 &gt;= VLOOKUP($P457,Member_Tab,6,FALSE()), AU$5 &lt;= VLOOKUP($P457,Member_Tab,7,FALSE())),1,0))  )</f>
        <v>0</v>
      </c>
      <c r="AV457" s="76" t="n">
        <f aca="false">IF(ISERROR(VLOOKUP($P457,Member_Tab,4,FALSE())),0,(VLOOKUP($P457,Member_Tab,4,FALSE()) * 0.2 * AV$7) * (IF(AND(AV$5 &gt;= VLOOKUP($P457,Member_Tab,6,FALSE()), AV$5 &lt;= VLOOKUP($P457,Member_Tab,7,FALSE())),1,0))  )</f>
        <v>0</v>
      </c>
      <c r="AW457" s="76" t="n">
        <f aca="false">IF(ISERROR(VLOOKUP($P457,Member_Tab,4,FALSE())),0,(VLOOKUP($P457,Member_Tab,4,FALSE()) * 0.2 * AW$7) * (IF(AND(AW$5 &gt;= VLOOKUP($P457,Member_Tab,6,FALSE()), AW$5 &lt;= VLOOKUP($P457,Member_Tab,7,FALSE())),1,0))  )</f>
        <v>0</v>
      </c>
      <c r="AX457" s="76" t="n">
        <f aca="false">IF(ISERROR(VLOOKUP($P457,Member_Tab,4,FALSE())),0,(VLOOKUP($P457,Member_Tab,4,FALSE()) * 0.2 * AX$7) * (IF(AND(AX$5 &gt;= VLOOKUP($P457,Member_Tab,6,FALSE()), AX$5 &lt;= VLOOKUP($P457,Member_Tab,7,FALSE())),1,0))  )</f>
        <v>0</v>
      </c>
      <c r="AY457" s="76" t="n">
        <f aca="false">IF(ISERROR(VLOOKUP($P457,Member_Tab,4,FALSE())),0,(VLOOKUP($P457,Member_Tab,4,FALSE()) * 0.2 * AY$7) * (IF(AND(AY$5 &gt;= VLOOKUP($P457,Member_Tab,6,FALSE()), AY$5 &lt;= VLOOKUP($P457,Member_Tab,7,FALSE())),1,0))  )</f>
        <v>0</v>
      </c>
      <c r="AZ457" s="76" t="n">
        <f aca="false">IF(ISERROR(VLOOKUP($P457,Member_Tab,4,FALSE())),0,(VLOOKUP($P457,Member_Tab,4,FALSE()) * 0.2 * AZ$7) * (IF(AND(AZ$5 &gt;= VLOOKUP($P457,Member_Tab,6,FALSE()), AZ$5 &lt;= VLOOKUP($P457,Member_Tab,7,FALSE())),1,0))  )</f>
        <v>0</v>
      </c>
      <c r="BA457" s="76" t="n">
        <f aca="false">IF(ISERROR(VLOOKUP($P457,Member_Tab,4,FALSE())),0,(VLOOKUP($P457,Member_Tab,4,FALSE()) * 0.2 * BA$7) * (IF(AND(BA$5 &gt;= VLOOKUP($P457,Member_Tab,6,FALSE()), BA$5 &lt;= VLOOKUP($P457,Member_Tab,7,FALSE())),1,0))  )</f>
        <v>0</v>
      </c>
      <c r="BB457" s="76" t="n">
        <f aca="false">IF(ISERROR(VLOOKUP($P457,Member_Tab,4,FALSE())),0,(VLOOKUP($P457,Member_Tab,4,FALSE()) * 0.2 * BB$7) * (IF(AND(BB$5 &gt;= VLOOKUP($P457,Member_Tab,6,FALSE()), BB$5 &lt;= VLOOKUP($P457,Member_Tab,7,FALSE())),1,0))  )</f>
        <v>0</v>
      </c>
    </row>
    <row r="458" s="173" customFormat="true" ht="15" hidden="true" customHeight="false" outlineLevel="1" collapsed="false">
      <c r="E458" s="40"/>
      <c r="K458" s="40"/>
      <c r="L458" s="40"/>
      <c r="M458" s="40"/>
      <c r="N458" s="40"/>
      <c r="P458" s="177" t="n">
        <f aca="false">P321</f>
        <v>0</v>
      </c>
      <c r="Q458" s="40"/>
      <c r="R458" s="178"/>
      <c r="S458" s="76" t="n">
        <f aca="false">IF(ISERROR(VLOOKUP($P458,Member_Tab,4,FALSE())),0,(VLOOKUP($P458,Member_Tab,4,FALSE()) * 0.2 * S$7) * (IF(AND(S$5 &gt;= VLOOKUP($P458,Member_Tab,6,FALSE()), S$5 &lt;= VLOOKUP($P458,Member_Tab,7,FALSE())),1,0))  )</f>
        <v>0</v>
      </c>
      <c r="T458" s="76" t="n">
        <f aca="false">IF(ISERROR(VLOOKUP($P458,Member_Tab,4,FALSE())),0,(VLOOKUP($P458,Member_Tab,4,FALSE()) * 0.2 * T$7) * (IF(AND(T$5 &gt;= VLOOKUP($P458,Member_Tab,6,FALSE()), T$5 &lt;= VLOOKUP($P458,Member_Tab,7,FALSE())),1,0))  )</f>
        <v>0</v>
      </c>
      <c r="U458" s="76" t="n">
        <f aca="false">IF(ISERROR(VLOOKUP($P458,Member_Tab,4,FALSE())),0,(VLOOKUP($P458,Member_Tab,4,FALSE()) * 0.2 * U$7) * (IF(AND(U$5 &gt;= VLOOKUP($P458,Member_Tab,6,FALSE()), U$5 &lt;= VLOOKUP($P458,Member_Tab,7,FALSE())),1,0))  )</f>
        <v>0</v>
      </c>
      <c r="V458" s="76" t="n">
        <f aca="false">IF(ISERROR(VLOOKUP($P458,Member_Tab,4,FALSE())),0,(VLOOKUP($P458,Member_Tab,4,FALSE()) * 0.2 * V$7) * (IF(AND(V$5 &gt;= VLOOKUP($P458,Member_Tab,6,FALSE()), V$5 &lt;= VLOOKUP($P458,Member_Tab,7,FALSE())),1,0))  )</f>
        <v>0</v>
      </c>
      <c r="W458" s="76" t="n">
        <f aca="false">IF(ISERROR(VLOOKUP($P458,Member_Tab,4,FALSE())),0,(VLOOKUP($P458,Member_Tab,4,FALSE()) * 0.2 * W$7) * (IF(AND(W$5 &gt;= VLOOKUP($P458,Member_Tab,6,FALSE()), W$5 &lt;= VLOOKUP($P458,Member_Tab,7,FALSE())),1,0))  )</f>
        <v>0</v>
      </c>
      <c r="X458" s="76" t="n">
        <f aca="false">IF(ISERROR(VLOOKUP($P458,Member_Tab,4,FALSE())),0,(VLOOKUP($P458,Member_Tab,4,FALSE()) * 0.2 * X$7) * (IF(AND(X$5 &gt;= VLOOKUP($P458,Member_Tab,6,FALSE()), X$5 &lt;= VLOOKUP($P458,Member_Tab,7,FALSE())),1,0))  )</f>
        <v>0</v>
      </c>
      <c r="Y458" s="76" t="n">
        <f aca="false">IF(ISERROR(VLOOKUP($P458,Member_Tab,4,FALSE())),0,(VLOOKUP($P458,Member_Tab,4,FALSE()) * 0.2 * Y$7) * (IF(AND(Y$5 &gt;= VLOOKUP($P458,Member_Tab,6,FALSE()), Y$5 &lt;= VLOOKUP($P458,Member_Tab,7,FALSE())),1,0))  )</f>
        <v>0</v>
      </c>
      <c r="Z458" s="76" t="n">
        <f aca="false">IF(ISERROR(VLOOKUP($P458,Member_Tab,4,FALSE())),0,(VLOOKUP($P458,Member_Tab,4,FALSE()) * 0.2 * Z$7) * (IF(AND(Z$5 &gt;= VLOOKUP($P458,Member_Tab,6,FALSE()), Z$5 &lt;= VLOOKUP($P458,Member_Tab,7,FALSE())),1,0))  )</f>
        <v>0</v>
      </c>
      <c r="AA458" s="76" t="n">
        <f aca="false">IF(ISERROR(VLOOKUP($P458,Member_Tab,4,FALSE())),0,(VLOOKUP($P458,Member_Tab,4,FALSE()) * 0.2 * AA$7) * (IF(AND(AA$5 &gt;= VLOOKUP($P458,Member_Tab,6,FALSE()), AA$5 &lt;= VLOOKUP($P458,Member_Tab,7,FALSE())),1,0))  )</f>
        <v>0</v>
      </c>
      <c r="AB458" s="76" t="n">
        <f aca="false">IF(ISERROR(VLOOKUP($P458,Member_Tab,4,FALSE())),0,(VLOOKUP($P458,Member_Tab,4,FALSE()) * 0.2 * AB$7) * (IF(AND(AB$5 &gt;= VLOOKUP($P458,Member_Tab,6,FALSE()), AB$5 &lt;= VLOOKUP($P458,Member_Tab,7,FALSE())),1,0))  )</f>
        <v>0</v>
      </c>
      <c r="AC458" s="76" t="n">
        <f aca="false">IF(ISERROR(VLOOKUP($P458,Member_Tab,4,FALSE())),0,(VLOOKUP($P458,Member_Tab,4,FALSE()) * 0.2 * AC$7) * (IF(AND(AC$5 &gt;= VLOOKUP($P458,Member_Tab,6,FALSE()), AC$5 &lt;= VLOOKUP($P458,Member_Tab,7,FALSE())),1,0))  )</f>
        <v>0</v>
      </c>
      <c r="AD458" s="76" t="n">
        <f aca="false">IF(ISERROR(VLOOKUP($P458,Member_Tab,4,FALSE())),0,(VLOOKUP($P458,Member_Tab,4,FALSE()) * 0.2 * AD$7) * (IF(AND(AD$5 &gt;= VLOOKUP($P458,Member_Tab,6,FALSE()), AD$5 &lt;= VLOOKUP($P458,Member_Tab,7,FALSE())),1,0))  )</f>
        <v>0</v>
      </c>
      <c r="AE458" s="76" t="n">
        <f aca="false">IF(ISERROR(VLOOKUP($P458,Member_Tab,4,FALSE())),0,(VLOOKUP($P458,Member_Tab,4,FALSE()) * 0.2 * AE$7) * (IF(AND(AE$5 &gt;= VLOOKUP($P458,Member_Tab,6,FALSE()), AE$5 &lt;= VLOOKUP($P458,Member_Tab,7,FALSE())),1,0))  )</f>
        <v>0</v>
      </c>
      <c r="AF458" s="76" t="n">
        <f aca="false">IF(ISERROR(VLOOKUP($P458,Member_Tab,4,FALSE())),0,(VLOOKUP($P458,Member_Tab,4,FALSE()) * 0.2 * AF$7) * (IF(AND(AF$5 &gt;= VLOOKUP($P458,Member_Tab,6,FALSE()), AF$5 &lt;= VLOOKUP($P458,Member_Tab,7,FALSE())),1,0))  )</f>
        <v>0</v>
      </c>
      <c r="AG458" s="76" t="n">
        <f aca="false">IF(ISERROR(VLOOKUP($P458,Member_Tab,4,FALSE())),0,(VLOOKUP($P458,Member_Tab,4,FALSE()) * 0.2 * AG$7) * (IF(AND(AG$5 &gt;= VLOOKUP($P458,Member_Tab,6,FALSE()), AG$5 &lt;= VLOOKUP($P458,Member_Tab,7,FALSE())),1,0))  )</f>
        <v>0</v>
      </c>
      <c r="AH458" s="76" t="n">
        <f aca="false">IF(ISERROR(VLOOKUP($P458,Member_Tab,4,FALSE())),0,(VLOOKUP($P458,Member_Tab,4,FALSE()) * 0.2 * AH$7) * (IF(AND(AH$5 &gt;= VLOOKUP($P458,Member_Tab,6,FALSE()), AH$5 &lt;= VLOOKUP($P458,Member_Tab,7,FALSE())),1,0))  )</f>
        <v>0</v>
      </c>
      <c r="AI458" s="76" t="n">
        <f aca="false">IF(ISERROR(VLOOKUP($P458,Member_Tab,4,FALSE())),0,(VLOOKUP($P458,Member_Tab,4,FALSE()) * 0.2 * AI$7) * (IF(AND(AI$5 &gt;= VLOOKUP($P458,Member_Tab,6,FALSE()), AI$5 &lt;= VLOOKUP($P458,Member_Tab,7,FALSE())),1,0))  )</f>
        <v>0</v>
      </c>
      <c r="AJ458" s="76" t="n">
        <f aca="false">IF(ISERROR(VLOOKUP($P458,Member_Tab,4,FALSE())),0,(VLOOKUP($P458,Member_Tab,4,FALSE()) * 0.2 * AJ$7) * (IF(AND(AJ$5 &gt;= VLOOKUP($P458,Member_Tab,6,FALSE()), AJ$5 &lt;= VLOOKUP($P458,Member_Tab,7,FALSE())),1,0))  )</f>
        <v>0</v>
      </c>
      <c r="AK458" s="76" t="n">
        <f aca="false">IF(ISERROR(VLOOKUP($P458,Member_Tab,4,FALSE())),0,(VLOOKUP($P458,Member_Tab,4,FALSE()) * 0.2 * AK$7) * (IF(AND(AK$5 &gt;= VLOOKUP($P458,Member_Tab,6,FALSE()), AK$5 &lt;= VLOOKUP($P458,Member_Tab,7,FALSE())),1,0))  )</f>
        <v>0</v>
      </c>
      <c r="AL458" s="76" t="n">
        <f aca="false">IF(ISERROR(VLOOKUP($P458,Member_Tab,4,FALSE())),0,(VLOOKUP($P458,Member_Tab,4,FALSE()) * 0.2 * AL$7) * (IF(AND(AL$5 &gt;= VLOOKUP($P458,Member_Tab,6,FALSE()), AL$5 &lt;= VLOOKUP($P458,Member_Tab,7,FALSE())),1,0))  )</f>
        <v>0</v>
      </c>
      <c r="AM458" s="76" t="n">
        <f aca="false">IF(ISERROR(VLOOKUP($P458,Member_Tab,4,FALSE())),0,(VLOOKUP($P458,Member_Tab,4,FALSE()) * 0.2 * AM$7) * (IF(AND(AM$5 &gt;= VLOOKUP($P458,Member_Tab,6,FALSE()), AM$5 &lt;= VLOOKUP($P458,Member_Tab,7,FALSE())),1,0))  )</f>
        <v>0</v>
      </c>
      <c r="AN458" s="76" t="n">
        <f aca="false">IF(ISERROR(VLOOKUP($P458,Member_Tab,4,FALSE())),0,(VLOOKUP($P458,Member_Tab,4,FALSE()) * 0.2 * AN$7) * (IF(AND(AN$5 &gt;= VLOOKUP($P458,Member_Tab,6,FALSE()), AN$5 &lt;= VLOOKUP($P458,Member_Tab,7,FALSE())),1,0))  )</f>
        <v>0</v>
      </c>
      <c r="AO458" s="76" t="n">
        <f aca="false">IF(ISERROR(VLOOKUP($P458,Member_Tab,4,FALSE())),0,(VLOOKUP($P458,Member_Tab,4,FALSE()) * 0.2 * AO$7) * (IF(AND(AO$5 &gt;= VLOOKUP($P458,Member_Tab,6,FALSE()), AO$5 &lt;= VLOOKUP($P458,Member_Tab,7,FALSE())),1,0))  )</f>
        <v>0</v>
      </c>
      <c r="AP458" s="76" t="n">
        <f aca="false">IF(ISERROR(VLOOKUP($P458,Member_Tab,4,FALSE())),0,(VLOOKUP($P458,Member_Tab,4,FALSE()) * 0.2 * AP$7) * (IF(AND(AP$5 &gt;= VLOOKUP($P458,Member_Tab,6,FALSE()), AP$5 &lt;= VLOOKUP($P458,Member_Tab,7,FALSE())),1,0))  )</f>
        <v>0</v>
      </c>
      <c r="AQ458" s="76" t="n">
        <f aca="false">IF(ISERROR(VLOOKUP($P458,Member_Tab,4,FALSE())),0,(VLOOKUP($P458,Member_Tab,4,FALSE()) * 0.2 * AQ$7) * (IF(AND(AQ$5 &gt;= VLOOKUP($P458,Member_Tab,6,FALSE()), AQ$5 &lt;= VLOOKUP($P458,Member_Tab,7,FALSE())),1,0))  )</f>
        <v>0</v>
      </c>
      <c r="AR458" s="76" t="n">
        <f aca="false">IF(ISERROR(VLOOKUP($P458,Member_Tab,4,FALSE())),0,(VLOOKUP($P458,Member_Tab,4,FALSE()) * 0.2 * AR$7) * (IF(AND(AR$5 &gt;= VLOOKUP($P458,Member_Tab,6,FALSE()), AR$5 &lt;= VLOOKUP($P458,Member_Tab,7,FALSE())),1,0))  )</f>
        <v>0</v>
      </c>
      <c r="AS458" s="76" t="n">
        <f aca="false">IF(ISERROR(VLOOKUP($P458,Member_Tab,4,FALSE())),0,(VLOOKUP($P458,Member_Tab,4,FALSE()) * 0.2 * AS$7) * (IF(AND(AS$5 &gt;= VLOOKUP($P458,Member_Tab,6,FALSE()), AS$5 &lt;= VLOOKUP($P458,Member_Tab,7,FALSE())),1,0))  )</f>
        <v>0</v>
      </c>
      <c r="AT458" s="76" t="n">
        <f aca="false">IF(ISERROR(VLOOKUP($P458,Member_Tab,4,FALSE())),0,(VLOOKUP($P458,Member_Tab,4,FALSE()) * 0.2 * AT$7) * (IF(AND(AT$5 &gt;= VLOOKUP($P458,Member_Tab,6,FALSE()), AT$5 &lt;= VLOOKUP($P458,Member_Tab,7,FALSE())),1,0))  )</f>
        <v>0</v>
      </c>
      <c r="AU458" s="76" t="n">
        <f aca="false">IF(ISERROR(VLOOKUP($P458,Member_Tab,4,FALSE())),0,(VLOOKUP($P458,Member_Tab,4,FALSE()) * 0.2 * AU$7) * (IF(AND(AU$5 &gt;= VLOOKUP($P458,Member_Tab,6,FALSE()), AU$5 &lt;= VLOOKUP($P458,Member_Tab,7,FALSE())),1,0))  )</f>
        <v>0</v>
      </c>
      <c r="AV458" s="76" t="n">
        <f aca="false">IF(ISERROR(VLOOKUP($P458,Member_Tab,4,FALSE())),0,(VLOOKUP($P458,Member_Tab,4,FALSE()) * 0.2 * AV$7) * (IF(AND(AV$5 &gt;= VLOOKUP($P458,Member_Tab,6,FALSE()), AV$5 &lt;= VLOOKUP($P458,Member_Tab,7,FALSE())),1,0))  )</f>
        <v>0</v>
      </c>
      <c r="AW458" s="76" t="n">
        <f aca="false">IF(ISERROR(VLOOKUP($P458,Member_Tab,4,FALSE())),0,(VLOOKUP($P458,Member_Tab,4,FALSE()) * 0.2 * AW$7) * (IF(AND(AW$5 &gt;= VLOOKUP($P458,Member_Tab,6,FALSE()), AW$5 &lt;= VLOOKUP($P458,Member_Tab,7,FALSE())),1,0))  )</f>
        <v>0</v>
      </c>
      <c r="AX458" s="76" t="n">
        <f aca="false">IF(ISERROR(VLOOKUP($P458,Member_Tab,4,FALSE())),0,(VLOOKUP($P458,Member_Tab,4,FALSE()) * 0.2 * AX$7) * (IF(AND(AX$5 &gt;= VLOOKUP($P458,Member_Tab,6,FALSE()), AX$5 &lt;= VLOOKUP($P458,Member_Tab,7,FALSE())),1,0))  )</f>
        <v>0</v>
      </c>
      <c r="AY458" s="76" t="n">
        <f aca="false">IF(ISERROR(VLOOKUP($P458,Member_Tab,4,FALSE())),0,(VLOOKUP($P458,Member_Tab,4,FALSE()) * 0.2 * AY$7) * (IF(AND(AY$5 &gt;= VLOOKUP($P458,Member_Tab,6,FALSE()), AY$5 &lt;= VLOOKUP($P458,Member_Tab,7,FALSE())),1,0))  )</f>
        <v>0</v>
      </c>
      <c r="AZ458" s="76" t="n">
        <f aca="false">IF(ISERROR(VLOOKUP($P458,Member_Tab,4,FALSE())),0,(VLOOKUP($P458,Member_Tab,4,FALSE()) * 0.2 * AZ$7) * (IF(AND(AZ$5 &gt;= VLOOKUP($P458,Member_Tab,6,FALSE()), AZ$5 &lt;= VLOOKUP($P458,Member_Tab,7,FALSE())),1,0))  )</f>
        <v>0</v>
      </c>
      <c r="BA458" s="76" t="n">
        <f aca="false">IF(ISERROR(VLOOKUP($P458,Member_Tab,4,FALSE())),0,(VLOOKUP($P458,Member_Tab,4,FALSE()) * 0.2 * BA$7) * (IF(AND(BA$5 &gt;= VLOOKUP($P458,Member_Tab,6,FALSE()), BA$5 &lt;= VLOOKUP($P458,Member_Tab,7,FALSE())),1,0))  )</f>
        <v>0</v>
      </c>
      <c r="BB458" s="76" t="n">
        <f aca="false">IF(ISERROR(VLOOKUP($P458,Member_Tab,4,FALSE())),0,(VLOOKUP($P458,Member_Tab,4,FALSE()) * 0.2 * BB$7) * (IF(AND(BB$5 &gt;= VLOOKUP($P458,Member_Tab,6,FALSE()), BB$5 &lt;= VLOOKUP($P458,Member_Tab,7,FALSE())),1,0))  )</f>
        <v>0</v>
      </c>
    </row>
    <row r="459" s="173" customFormat="true" ht="15" hidden="true" customHeight="false" outlineLevel="1" collapsed="false">
      <c r="E459" s="40"/>
      <c r="K459" s="40"/>
      <c r="L459" s="40"/>
      <c r="M459" s="40"/>
      <c r="N459" s="40"/>
      <c r="P459" s="177" t="n">
        <f aca="false">P322</f>
        <v>0</v>
      </c>
      <c r="Q459" s="40"/>
      <c r="R459" s="178"/>
      <c r="S459" s="76" t="n">
        <f aca="false">IF(ISERROR(VLOOKUP($P459,Member_Tab,4,FALSE())),0,(VLOOKUP($P459,Member_Tab,4,FALSE()) * 0.2 * S$7) * (IF(AND(S$5 &gt;= VLOOKUP($P459,Member_Tab,6,FALSE()), S$5 &lt;= VLOOKUP($P459,Member_Tab,7,FALSE())),1,0))  )</f>
        <v>0</v>
      </c>
      <c r="T459" s="76" t="n">
        <f aca="false">IF(ISERROR(VLOOKUP($P459,Member_Tab,4,FALSE())),0,(VLOOKUP($P459,Member_Tab,4,FALSE()) * 0.2 * T$7) * (IF(AND(T$5 &gt;= VLOOKUP($P459,Member_Tab,6,FALSE()), T$5 &lt;= VLOOKUP($P459,Member_Tab,7,FALSE())),1,0))  )</f>
        <v>0</v>
      </c>
      <c r="U459" s="76" t="n">
        <f aca="false">IF(ISERROR(VLOOKUP($P459,Member_Tab,4,FALSE())),0,(VLOOKUP($P459,Member_Tab,4,FALSE()) * 0.2 * U$7) * (IF(AND(U$5 &gt;= VLOOKUP($P459,Member_Tab,6,FALSE()), U$5 &lt;= VLOOKUP($P459,Member_Tab,7,FALSE())),1,0))  )</f>
        <v>0</v>
      </c>
      <c r="V459" s="76" t="n">
        <f aca="false">IF(ISERROR(VLOOKUP($P459,Member_Tab,4,FALSE())),0,(VLOOKUP($P459,Member_Tab,4,FALSE()) * 0.2 * V$7) * (IF(AND(V$5 &gt;= VLOOKUP($P459,Member_Tab,6,FALSE()), V$5 &lt;= VLOOKUP($P459,Member_Tab,7,FALSE())),1,0))  )</f>
        <v>0</v>
      </c>
      <c r="W459" s="76" t="n">
        <f aca="false">IF(ISERROR(VLOOKUP($P459,Member_Tab,4,FALSE())),0,(VLOOKUP($P459,Member_Tab,4,FALSE()) * 0.2 * W$7) * (IF(AND(W$5 &gt;= VLOOKUP($P459,Member_Tab,6,FALSE()), W$5 &lt;= VLOOKUP($P459,Member_Tab,7,FALSE())),1,0))  )</f>
        <v>0</v>
      </c>
      <c r="X459" s="76" t="n">
        <f aca="false">IF(ISERROR(VLOOKUP($P459,Member_Tab,4,FALSE())),0,(VLOOKUP($P459,Member_Tab,4,FALSE()) * 0.2 * X$7) * (IF(AND(X$5 &gt;= VLOOKUP($P459,Member_Tab,6,FALSE()), X$5 &lt;= VLOOKUP($P459,Member_Tab,7,FALSE())),1,0))  )</f>
        <v>0</v>
      </c>
      <c r="Y459" s="76" t="n">
        <f aca="false">IF(ISERROR(VLOOKUP($P459,Member_Tab,4,FALSE())),0,(VLOOKUP($P459,Member_Tab,4,FALSE()) * 0.2 * Y$7) * (IF(AND(Y$5 &gt;= VLOOKUP($P459,Member_Tab,6,FALSE()), Y$5 &lt;= VLOOKUP($P459,Member_Tab,7,FALSE())),1,0))  )</f>
        <v>0</v>
      </c>
      <c r="Z459" s="76" t="n">
        <f aca="false">IF(ISERROR(VLOOKUP($P459,Member_Tab,4,FALSE())),0,(VLOOKUP($P459,Member_Tab,4,FALSE()) * 0.2 * Z$7) * (IF(AND(Z$5 &gt;= VLOOKUP($P459,Member_Tab,6,FALSE()), Z$5 &lt;= VLOOKUP($P459,Member_Tab,7,FALSE())),1,0))  )</f>
        <v>0</v>
      </c>
      <c r="AA459" s="76" t="n">
        <f aca="false">IF(ISERROR(VLOOKUP($P459,Member_Tab,4,FALSE())),0,(VLOOKUP($P459,Member_Tab,4,FALSE()) * 0.2 * AA$7) * (IF(AND(AA$5 &gt;= VLOOKUP($P459,Member_Tab,6,FALSE()), AA$5 &lt;= VLOOKUP($P459,Member_Tab,7,FALSE())),1,0))  )</f>
        <v>0</v>
      </c>
      <c r="AB459" s="76" t="n">
        <f aca="false">IF(ISERROR(VLOOKUP($P459,Member_Tab,4,FALSE())),0,(VLOOKUP($P459,Member_Tab,4,FALSE()) * 0.2 * AB$7) * (IF(AND(AB$5 &gt;= VLOOKUP($P459,Member_Tab,6,FALSE()), AB$5 &lt;= VLOOKUP($P459,Member_Tab,7,FALSE())),1,0))  )</f>
        <v>0</v>
      </c>
      <c r="AC459" s="76" t="n">
        <f aca="false">IF(ISERROR(VLOOKUP($P459,Member_Tab,4,FALSE())),0,(VLOOKUP($P459,Member_Tab,4,FALSE()) * 0.2 * AC$7) * (IF(AND(AC$5 &gt;= VLOOKUP($P459,Member_Tab,6,FALSE()), AC$5 &lt;= VLOOKUP($P459,Member_Tab,7,FALSE())),1,0))  )</f>
        <v>0</v>
      </c>
      <c r="AD459" s="76" t="n">
        <f aca="false">IF(ISERROR(VLOOKUP($P459,Member_Tab,4,FALSE())),0,(VLOOKUP($P459,Member_Tab,4,FALSE()) * 0.2 * AD$7) * (IF(AND(AD$5 &gt;= VLOOKUP($P459,Member_Tab,6,FALSE()), AD$5 &lt;= VLOOKUP($P459,Member_Tab,7,FALSE())),1,0))  )</f>
        <v>0</v>
      </c>
      <c r="AE459" s="76" t="n">
        <f aca="false">IF(ISERROR(VLOOKUP($P459,Member_Tab,4,FALSE())),0,(VLOOKUP($P459,Member_Tab,4,FALSE()) * 0.2 * AE$7) * (IF(AND(AE$5 &gt;= VLOOKUP($P459,Member_Tab,6,FALSE()), AE$5 &lt;= VLOOKUP($P459,Member_Tab,7,FALSE())),1,0))  )</f>
        <v>0</v>
      </c>
      <c r="AF459" s="76" t="n">
        <f aca="false">IF(ISERROR(VLOOKUP($P459,Member_Tab,4,FALSE())),0,(VLOOKUP($P459,Member_Tab,4,FALSE()) * 0.2 * AF$7) * (IF(AND(AF$5 &gt;= VLOOKUP($P459,Member_Tab,6,FALSE()), AF$5 &lt;= VLOOKUP($P459,Member_Tab,7,FALSE())),1,0))  )</f>
        <v>0</v>
      </c>
      <c r="AG459" s="76" t="n">
        <f aca="false">IF(ISERROR(VLOOKUP($P459,Member_Tab,4,FALSE())),0,(VLOOKUP($P459,Member_Tab,4,FALSE()) * 0.2 * AG$7) * (IF(AND(AG$5 &gt;= VLOOKUP($P459,Member_Tab,6,FALSE()), AG$5 &lt;= VLOOKUP($P459,Member_Tab,7,FALSE())),1,0))  )</f>
        <v>0</v>
      </c>
      <c r="AH459" s="76" t="n">
        <f aca="false">IF(ISERROR(VLOOKUP($P459,Member_Tab,4,FALSE())),0,(VLOOKUP($P459,Member_Tab,4,FALSE()) * 0.2 * AH$7) * (IF(AND(AH$5 &gt;= VLOOKUP($P459,Member_Tab,6,FALSE()), AH$5 &lt;= VLOOKUP($P459,Member_Tab,7,FALSE())),1,0))  )</f>
        <v>0</v>
      </c>
      <c r="AI459" s="76" t="n">
        <f aca="false">IF(ISERROR(VLOOKUP($P459,Member_Tab,4,FALSE())),0,(VLOOKUP($P459,Member_Tab,4,FALSE()) * 0.2 * AI$7) * (IF(AND(AI$5 &gt;= VLOOKUP($P459,Member_Tab,6,FALSE()), AI$5 &lt;= VLOOKUP($P459,Member_Tab,7,FALSE())),1,0))  )</f>
        <v>0</v>
      </c>
      <c r="AJ459" s="76" t="n">
        <f aca="false">IF(ISERROR(VLOOKUP($P459,Member_Tab,4,FALSE())),0,(VLOOKUP($P459,Member_Tab,4,FALSE()) * 0.2 * AJ$7) * (IF(AND(AJ$5 &gt;= VLOOKUP($P459,Member_Tab,6,FALSE()), AJ$5 &lt;= VLOOKUP($P459,Member_Tab,7,FALSE())),1,0))  )</f>
        <v>0</v>
      </c>
      <c r="AK459" s="76" t="n">
        <f aca="false">IF(ISERROR(VLOOKUP($P459,Member_Tab,4,FALSE())),0,(VLOOKUP($P459,Member_Tab,4,FALSE()) * 0.2 * AK$7) * (IF(AND(AK$5 &gt;= VLOOKUP($P459,Member_Tab,6,FALSE()), AK$5 &lt;= VLOOKUP($P459,Member_Tab,7,FALSE())),1,0))  )</f>
        <v>0</v>
      </c>
      <c r="AL459" s="76" t="n">
        <f aca="false">IF(ISERROR(VLOOKUP($P459,Member_Tab,4,FALSE())),0,(VLOOKUP($P459,Member_Tab,4,FALSE()) * 0.2 * AL$7) * (IF(AND(AL$5 &gt;= VLOOKUP($P459,Member_Tab,6,FALSE()), AL$5 &lt;= VLOOKUP($P459,Member_Tab,7,FALSE())),1,0))  )</f>
        <v>0</v>
      </c>
      <c r="AM459" s="76" t="n">
        <f aca="false">IF(ISERROR(VLOOKUP($P459,Member_Tab,4,FALSE())),0,(VLOOKUP($P459,Member_Tab,4,FALSE()) * 0.2 * AM$7) * (IF(AND(AM$5 &gt;= VLOOKUP($P459,Member_Tab,6,FALSE()), AM$5 &lt;= VLOOKUP($P459,Member_Tab,7,FALSE())),1,0))  )</f>
        <v>0</v>
      </c>
      <c r="AN459" s="76" t="n">
        <f aca="false">IF(ISERROR(VLOOKUP($P459,Member_Tab,4,FALSE())),0,(VLOOKUP($P459,Member_Tab,4,FALSE()) * 0.2 * AN$7) * (IF(AND(AN$5 &gt;= VLOOKUP($P459,Member_Tab,6,FALSE()), AN$5 &lt;= VLOOKUP($P459,Member_Tab,7,FALSE())),1,0))  )</f>
        <v>0</v>
      </c>
      <c r="AO459" s="76" t="n">
        <f aca="false">IF(ISERROR(VLOOKUP($P459,Member_Tab,4,FALSE())),0,(VLOOKUP($P459,Member_Tab,4,FALSE()) * 0.2 * AO$7) * (IF(AND(AO$5 &gt;= VLOOKUP($P459,Member_Tab,6,FALSE()), AO$5 &lt;= VLOOKUP($P459,Member_Tab,7,FALSE())),1,0))  )</f>
        <v>0</v>
      </c>
      <c r="AP459" s="76" t="n">
        <f aca="false">IF(ISERROR(VLOOKUP($P459,Member_Tab,4,FALSE())),0,(VLOOKUP($P459,Member_Tab,4,FALSE()) * 0.2 * AP$7) * (IF(AND(AP$5 &gt;= VLOOKUP($P459,Member_Tab,6,FALSE()), AP$5 &lt;= VLOOKUP($P459,Member_Tab,7,FALSE())),1,0))  )</f>
        <v>0</v>
      </c>
      <c r="AQ459" s="76" t="n">
        <f aca="false">IF(ISERROR(VLOOKUP($P459,Member_Tab,4,FALSE())),0,(VLOOKUP($P459,Member_Tab,4,FALSE()) * 0.2 * AQ$7) * (IF(AND(AQ$5 &gt;= VLOOKUP($P459,Member_Tab,6,FALSE()), AQ$5 &lt;= VLOOKUP($P459,Member_Tab,7,FALSE())),1,0))  )</f>
        <v>0</v>
      </c>
      <c r="AR459" s="76" t="n">
        <f aca="false">IF(ISERROR(VLOOKUP($P459,Member_Tab,4,FALSE())),0,(VLOOKUP($P459,Member_Tab,4,FALSE()) * 0.2 * AR$7) * (IF(AND(AR$5 &gt;= VLOOKUP($P459,Member_Tab,6,FALSE()), AR$5 &lt;= VLOOKUP($P459,Member_Tab,7,FALSE())),1,0))  )</f>
        <v>0</v>
      </c>
      <c r="AS459" s="76" t="n">
        <f aca="false">IF(ISERROR(VLOOKUP($P459,Member_Tab,4,FALSE())),0,(VLOOKUP($P459,Member_Tab,4,FALSE()) * 0.2 * AS$7) * (IF(AND(AS$5 &gt;= VLOOKUP($P459,Member_Tab,6,FALSE()), AS$5 &lt;= VLOOKUP($P459,Member_Tab,7,FALSE())),1,0))  )</f>
        <v>0</v>
      </c>
      <c r="AT459" s="76" t="n">
        <f aca="false">IF(ISERROR(VLOOKUP($P459,Member_Tab,4,FALSE())),0,(VLOOKUP($P459,Member_Tab,4,FALSE()) * 0.2 * AT$7) * (IF(AND(AT$5 &gt;= VLOOKUP($P459,Member_Tab,6,FALSE()), AT$5 &lt;= VLOOKUP($P459,Member_Tab,7,FALSE())),1,0))  )</f>
        <v>0</v>
      </c>
      <c r="AU459" s="76" t="n">
        <f aca="false">IF(ISERROR(VLOOKUP($P459,Member_Tab,4,FALSE())),0,(VLOOKUP($P459,Member_Tab,4,FALSE()) * 0.2 * AU$7) * (IF(AND(AU$5 &gt;= VLOOKUP($P459,Member_Tab,6,FALSE()), AU$5 &lt;= VLOOKUP($P459,Member_Tab,7,FALSE())),1,0))  )</f>
        <v>0</v>
      </c>
      <c r="AV459" s="76" t="n">
        <f aca="false">IF(ISERROR(VLOOKUP($P459,Member_Tab,4,FALSE())),0,(VLOOKUP($P459,Member_Tab,4,FALSE()) * 0.2 * AV$7) * (IF(AND(AV$5 &gt;= VLOOKUP($P459,Member_Tab,6,FALSE()), AV$5 &lt;= VLOOKUP($P459,Member_Tab,7,FALSE())),1,0))  )</f>
        <v>0</v>
      </c>
      <c r="AW459" s="76" t="n">
        <f aca="false">IF(ISERROR(VLOOKUP($P459,Member_Tab,4,FALSE())),0,(VLOOKUP($P459,Member_Tab,4,FALSE()) * 0.2 * AW$7) * (IF(AND(AW$5 &gt;= VLOOKUP($P459,Member_Tab,6,FALSE()), AW$5 &lt;= VLOOKUP($P459,Member_Tab,7,FALSE())),1,0))  )</f>
        <v>0</v>
      </c>
      <c r="AX459" s="76" t="n">
        <f aca="false">IF(ISERROR(VLOOKUP($P459,Member_Tab,4,FALSE())),0,(VLOOKUP($P459,Member_Tab,4,FALSE()) * 0.2 * AX$7) * (IF(AND(AX$5 &gt;= VLOOKUP($P459,Member_Tab,6,FALSE()), AX$5 &lt;= VLOOKUP($P459,Member_Tab,7,FALSE())),1,0))  )</f>
        <v>0</v>
      </c>
      <c r="AY459" s="76" t="n">
        <f aca="false">IF(ISERROR(VLOOKUP($P459,Member_Tab,4,FALSE())),0,(VLOOKUP($P459,Member_Tab,4,FALSE()) * 0.2 * AY$7) * (IF(AND(AY$5 &gt;= VLOOKUP($P459,Member_Tab,6,FALSE()), AY$5 &lt;= VLOOKUP($P459,Member_Tab,7,FALSE())),1,0))  )</f>
        <v>0</v>
      </c>
      <c r="AZ459" s="76" t="n">
        <f aca="false">IF(ISERROR(VLOOKUP($P459,Member_Tab,4,FALSE())),0,(VLOOKUP($P459,Member_Tab,4,FALSE()) * 0.2 * AZ$7) * (IF(AND(AZ$5 &gt;= VLOOKUP($P459,Member_Tab,6,FALSE()), AZ$5 &lt;= VLOOKUP($P459,Member_Tab,7,FALSE())),1,0))  )</f>
        <v>0</v>
      </c>
      <c r="BA459" s="76" t="n">
        <f aca="false">IF(ISERROR(VLOOKUP($P459,Member_Tab,4,FALSE())),0,(VLOOKUP($P459,Member_Tab,4,FALSE()) * 0.2 * BA$7) * (IF(AND(BA$5 &gt;= VLOOKUP($P459,Member_Tab,6,FALSE()), BA$5 &lt;= VLOOKUP($P459,Member_Tab,7,FALSE())),1,0))  )</f>
        <v>0</v>
      </c>
      <c r="BB459" s="76" t="n">
        <f aca="false">IF(ISERROR(VLOOKUP($P459,Member_Tab,4,FALSE())),0,(VLOOKUP($P459,Member_Tab,4,FALSE()) * 0.2 * BB$7) * (IF(AND(BB$5 &gt;= VLOOKUP($P459,Member_Tab,6,FALSE()), BB$5 &lt;= VLOOKUP($P459,Member_Tab,7,FALSE())),1,0))  )</f>
        <v>0</v>
      </c>
    </row>
    <row r="460" s="173" customFormat="true" ht="15" hidden="true" customHeight="false" outlineLevel="1" collapsed="false">
      <c r="E460" s="40"/>
      <c r="K460" s="40"/>
      <c r="L460" s="40"/>
      <c r="M460" s="40"/>
      <c r="N460" s="40"/>
      <c r="P460" s="177" t="n">
        <f aca="false">P323</f>
        <v>0</v>
      </c>
      <c r="Q460" s="40"/>
      <c r="R460" s="178"/>
      <c r="S460" s="76" t="n">
        <f aca="false">IF(ISERROR(VLOOKUP($P460,Member_Tab,4,FALSE())),0,(VLOOKUP($P460,Member_Tab,4,FALSE()) * 0.2 * S$7) * (IF(AND(S$5 &gt;= VLOOKUP($P460,Member_Tab,6,FALSE()), S$5 &lt;= VLOOKUP($P460,Member_Tab,7,FALSE())),1,0))  )</f>
        <v>0</v>
      </c>
      <c r="T460" s="76" t="n">
        <f aca="false">IF(ISERROR(VLOOKUP($P460,Member_Tab,4,FALSE())),0,(VLOOKUP($P460,Member_Tab,4,FALSE()) * 0.2 * T$7) * (IF(AND(T$5 &gt;= VLOOKUP($P460,Member_Tab,6,FALSE()), T$5 &lt;= VLOOKUP($P460,Member_Tab,7,FALSE())),1,0))  )</f>
        <v>0</v>
      </c>
      <c r="U460" s="76" t="n">
        <f aca="false">IF(ISERROR(VLOOKUP($P460,Member_Tab,4,FALSE())),0,(VLOOKUP($P460,Member_Tab,4,FALSE()) * 0.2 * U$7) * (IF(AND(U$5 &gt;= VLOOKUP($P460,Member_Tab,6,FALSE()), U$5 &lt;= VLOOKUP($P460,Member_Tab,7,FALSE())),1,0))  )</f>
        <v>0</v>
      </c>
      <c r="V460" s="76" t="n">
        <f aca="false">IF(ISERROR(VLOOKUP($P460,Member_Tab,4,FALSE())),0,(VLOOKUP($P460,Member_Tab,4,FALSE()) * 0.2 * V$7) * (IF(AND(V$5 &gt;= VLOOKUP($P460,Member_Tab,6,FALSE()), V$5 &lt;= VLOOKUP($P460,Member_Tab,7,FALSE())),1,0))  )</f>
        <v>0</v>
      </c>
      <c r="W460" s="76" t="n">
        <f aca="false">IF(ISERROR(VLOOKUP($P460,Member_Tab,4,FALSE())),0,(VLOOKUP($P460,Member_Tab,4,FALSE()) * 0.2 * W$7) * (IF(AND(W$5 &gt;= VLOOKUP($P460,Member_Tab,6,FALSE()), W$5 &lt;= VLOOKUP($P460,Member_Tab,7,FALSE())),1,0))  )</f>
        <v>0</v>
      </c>
      <c r="X460" s="76" t="n">
        <f aca="false">IF(ISERROR(VLOOKUP($P460,Member_Tab,4,FALSE())),0,(VLOOKUP($P460,Member_Tab,4,FALSE()) * 0.2 * X$7) * (IF(AND(X$5 &gt;= VLOOKUP($P460,Member_Tab,6,FALSE()), X$5 &lt;= VLOOKUP($P460,Member_Tab,7,FALSE())),1,0))  )</f>
        <v>0</v>
      </c>
      <c r="Y460" s="76" t="n">
        <f aca="false">IF(ISERROR(VLOOKUP($P460,Member_Tab,4,FALSE())),0,(VLOOKUP($P460,Member_Tab,4,FALSE()) * 0.2 * Y$7) * (IF(AND(Y$5 &gt;= VLOOKUP($P460,Member_Tab,6,FALSE()), Y$5 &lt;= VLOOKUP($P460,Member_Tab,7,FALSE())),1,0))  )</f>
        <v>0</v>
      </c>
      <c r="Z460" s="76" t="n">
        <f aca="false">IF(ISERROR(VLOOKUP($P460,Member_Tab,4,FALSE())),0,(VLOOKUP($P460,Member_Tab,4,FALSE()) * 0.2 * Z$7) * (IF(AND(Z$5 &gt;= VLOOKUP($P460,Member_Tab,6,FALSE()), Z$5 &lt;= VLOOKUP($P460,Member_Tab,7,FALSE())),1,0))  )</f>
        <v>0</v>
      </c>
      <c r="AA460" s="76" t="n">
        <f aca="false">IF(ISERROR(VLOOKUP($P460,Member_Tab,4,FALSE())),0,(VLOOKUP($P460,Member_Tab,4,FALSE()) * 0.2 * AA$7) * (IF(AND(AA$5 &gt;= VLOOKUP($P460,Member_Tab,6,FALSE()), AA$5 &lt;= VLOOKUP($P460,Member_Tab,7,FALSE())),1,0))  )</f>
        <v>0</v>
      </c>
      <c r="AB460" s="76" t="n">
        <f aca="false">IF(ISERROR(VLOOKUP($P460,Member_Tab,4,FALSE())),0,(VLOOKUP($P460,Member_Tab,4,FALSE()) * 0.2 * AB$7) * (IF(AND(AB$5 &gt;= VLOOKUP($P460,Member_Tab,6,FALSE()), AB$5 &lt;= VLOOKUP($P460,Member_Tab,7,FALSE())),1,0))  )</f>
        <v>0</v>
      </c>
      <c r="AC460" s="76" t="n">
        <f aca="false">IF(ISERROR(VLOOKUP($P460,Member_Tab,4,FALSE())),0,(VLOOKUP($P460,Member_Tab,4,FALSE()) * 0.2 * AC$7) * (IF(AND(AC$5 &gt;= VLOOKUP($P460,Member_Tab,6,FALSE()), AC$5 &lt;= VLOOKUP($P460,Member_Tab,7,FALSE())),1,0))  )</f>
        <v>0</v>
      </c>
      <c r="AD460" s="76" t="n">
        <f aca="false">IF(ISERROR(VLOOKUP($P460,Member_Tab,4,FALSE())),0,(VLOOKUP($P460,Member_Tab,4,FALSE()) * 0.2 * AD$7) * (IF(AND(AD$5 &gt;= VLOOKUP($P460,Member_Tab,6,FALSE()), AD$5 &lt;= VLOOKUP($P460,Member_Tab,7,FALSE())),1,0))  )</f>
        <v>0</v>
      </c>
      <c r="AE460" s="76" t="n">
        <f aca="false">IF(ISERROR(VLOOKUP($P460,Member_Tab,4,FALSE())),0,(VLOOKUP($P460,Member_Tab,4,FALSE()) * 0.2 * AE$7) * (IF(AND(AE$5 &gt;= VLOOKUP($P460,Member_Tab,6,FALSE()), AE$5 &lt;= VLOOKUP($P460,Member_Tab,7,FALSE())),1,0))  )</f>
        <v>0</v>
      </c>
      <c r="AF460" s="76" t="n">
        <f aca="false">IF(ISERROR(VLOOKUP($P460,Member_Tab,4,FALSE())),0,(VLOOKUP($P460,Member_Tab,4,FALSE()) * 0.2 * AF$7) * (IF(AND(AF$5 &gt;= VLOOKUP($P460,Member_Tab,6,FALSE()), AF$5 &lt;= VLOOKUP($P460,Member_Tab,7,FALSE())),1,0))  )</f>
        <v>0</v>
      </c>
      <c r="AG460" s="76" t="n">
        <f aca="false">IF(ISERROR(VLOOKUP($P460,Member_Tab,4,FALSE())),0,(VLOOKUP($P460,Member_Tab,4,FALSE()) * 0.2 * AG$7) * (IF(AND(AG$5 &gt;= VLOOKUP($P460,Member_Tab,6,FALSE()), AG$5 &lt;= VLOOKUP($P460,Member_Tab,7,FALSE())),1,0))  )</f>
        <v>0</v>
      </c>
      <c r="AH460" s="76" t="n">
        <f aca="false">IF(ISERROR(VLOOKUP($P460,Member_Tab,4,FALSE())),0,(VLOOKUP($P460,Member_Tab,4,FALSE()) * 0.2 * AH$7) * (IF(AND(AH$5 &gt;= VLOOKUP($P460,Member_Tab,6,FALSE()), AH$5 &lt;= VLOOKUP($P460,Member_Tab,7,FALSE())),1,0))  )</f>
        <v>0</v>
      </c>
      <c r="AI460" s="76" t="n">
        <f aca="false">IF(ISERROR(VLOOKUP($P460,Member_Tab,4,FALSE())),0,(VLOOKUP($P460,Member_Tab,4,FALSE()) * 0.2 * AI$7) * (IF(AND(AI$5 &gt;= VLOOKUP($P460,Member_Tab,6,FALSE()), AI$5 &lt;= VLOOKUP($P460,Member_Tab,7,FALSE())),1,0))  )</f>
        <v>0</v>
      </c>
      <c r="AJ460" s="76" t="n">
        <f aca="false">IF(ISERROR(VLOOKUP($P460,Member_Tab,4,FALSE())),0,(VLOOKUP($P460,Member_Tab,4,FALSE()) * 0.2 * AJ$7) * (IF(AND(AJ$5 &gt;= VLOOKUP($P460,Member_Tab,6,FALSE()), AJ$5 &lt;= VLOOKUP($P460,Member_Tab,7,FALSE())),1,0))  )</f>
        <v>0</v>
      </c>
      <c r="AK460" s="76" t="n">
        <f aca="false">IF(ISERROR(VLOOKUP($P460,Member_Tab,4,FALSE())),0,(VLOOKUP($P460,Member_Tab,4,FALSE()) * 0.2 * AK$7) * (IF(AND(AK$5 &gt;= VLOOKUP($P460,Member_Tab,6,FALSE()), AK$5 &lt;= VLOOKUP($P460,Member_Tab,7,FALSE())),1,0))  )</f>
        <v>0</v>
      </c>
      <c r="AL460" s="76" t="n">
        <f aca="false">IF(ISERROR(VLOOKUP($P460,Member_Tab,4,FALSE())),0,(VLOOKUP($P460,Member_Tab,4,FALSE()) * 0.2 * AL$7) * (IF(AND(AL$5 &gt;= VLOOKUP($P460,Member_Tab,6,FALSE()), AL$5 &lt;= VLOOKUP($P460,Member_Tab,7,FALSE())),1,0))  )</f>
        <v>0</v>
      </c>
      <c r="AM460" s="76" t="n">
        <f aca="false">IF(ISERROR(VLOOKUP($P460,Member_Tab,4,FALSE())),0,(VLOOKUP($P460,Member_Tab,4,FALSE()) * 0.2 * AM$7) * (IF(AND(AM$5 &gt;= VLOOKUP($P460,Member_Tab,6,FALSE()), AM$5 &lt;= VLOOKUP($P460,Member_Tab,7,FALSE())),1,0))  )</f>
        <v>0</v>
      </c>
      <c r="AN460" s="76" t="n">
        <f aca="false">IF(ISERROR(VLOOKUP($P460,Member_Tab,4,FALSE())),0,(VLOOKUP($P460,Member_Tab,4,FALSE()) * 0.2 * AN$7) * (IF(AND(AN$5 &gt;= VLOOKUP($P460,Member_Tab,6,FALSE()), AN$5 &lt;= VLOOKUP($P460,Member_Tab,7,FALSE())),1,0))  )</f>
        <v>0</v>
      </c>
      <c r="AO460" s="76" t="n">
        <f aca="false">IF(ISERROR(VLOOKUP($P460,Member_Tab,4,FALSE())),0,(VLOOKUP($P460,Member_Tab,4,FALSE()) * 0.2 * AO$7) * (IF(AND(AO$5 &gt;= VLOOKUP($P460,Member_Tab,6,FALSE()), AO$5 &lt;= VLOOKUP($P460,Member_Tab,7,FALSE())),1,0))  )</f>
        <v>0</v>
      </c>
      <c r="AP460" s="76" t="n">
        <f aca="false">IF(ISERROR(VLOOKUP($P460,Member_Tab,4,FALSE())),0,(VLOOKUP($P460,Member_Tab,4,FALSE()) * 0.2 * AP$7) * (IF(AND(AP$5 &gt;= VLOOKUP($P460,Member_Tab,6,FALSE()), AP$5 &lt;= VLOOKUP($P460,Member_Tab,7,FALSE())),1,0))  )</f>
        <v>0</v>
      </c>
      <c r="AQ460" s="76" t="n">
        <f aca="false">IF(ISERROR(VLOOKUP($P460,Member_Tab,4,FALSE())),0,(VLOOKUP($P460,Member_Tab,4,FALSE()) * 0.2 * AQ$7) * (IF(AND(AQ$5 &gt;= VLOOKUP($P460,Member_Tab,6,FALSE()), AQ$5 &lt;= VLOOKUP($P460,Member_Tab,7,FALSE())),1,0))  )</f>
        <v>0</v>
      </c>
      <c r="AR460" s="76" t="n">
        <f aca="false">IF(ISERROR(VLOOKUP($P460,Member_Tab,4,FALSE())),0,(VLOOKUP($P460,Member_Tab,4,FALSE()) * 0.2 * AR$7) * (IF(AND(AR$5 &gt;= VLOOKUP($P460,Member_Tab,6,FALSE()), AR$5 &lt;= VLOOKUP($P460,Member_Tab,7,FALSE())),1,0))  )</f>
        <v>0</v>
      </c>
      <c r="AS460" s="76" t="n">
        <f aca="false">IF(ISERROR(VLOOKUP($P460,Member_Tab,4,FALSE())),0,(VLOOKUP($P460,Member_Tab,4,FALSE()) * 0.2 * AS$7) * (IF(AND(AS$5 &gt;= VLOOKUP($P460,Member_Tab,6,FALSE()), AS$5 &lt;= VLOOKUP($P460,Member_Tab,7,FALSE())),1,0))  )</f>
        <v>0</v>
      </c>
      <c r="AT460" s="76" t="n">
        <f aca="false">IF(ISERROR(VLOOKUP($P460,Member_Tab,4,FALSE())),0,(VLOOKUP($P460,Member_Tab,4,FALSE()) * 0.2 * AT$7) * (IF(AND(AT$5 &gt;= VLOOKUP($P460,Member_Tab,6,FALSE()), AT$5 &lt;= VLOOKUP($P460,Member_Tab,7,FALSE())),1,0))  )</f>
        <v>0</v>
      </c>
      <c r="AU460" s="76" t="n">
        <f aca="false">IF(ISERROR(VLOOKUP($P460,Member_Tab,4,FALSE())),0,(VLOOKUP($P460,Member_Tab,4,FALSE()) * 0.2 * AU$7) * (IF(AND(AU$5 &gt;= VLOOKUP($P460,Member_Tab,6,FALSE()), AU$5 &lt;= VLOOKUP($P460,Member_Tab,7,FALSE())),1,0))  )</f>
        <v>0</v>
      </c>
      <c r="AV460" s="76" t="n">
        <f aca="false">IF(ISERROR(VLOOKUP($P460,Member_Tab,4,FALSE())),0,(VLOOKUP($P460,Member_Tab,4,FALSE()) * 0.2 * AV$7) * (IF(AND(AV$5 &gt;= VLOOKUP($P460,Member_Tab,6,FALSE()), AV$5 &lt;= VLOOKUP($P460,Member_Tab,7,FALSE())),1,0))  )</f>
        <v>0</v>
      </c>
      <c r="AW460" s="76" t="n">
        <f aca="false">IF(ISERROR(VLOOKUP($P460,Member_Tab,4,FALSE())),0,(VLOOKUP($P460,Member_Tab,4,FALSE()) * 0.2 * AW$7) * (IF(AND(AW$5 &gt;= VLOOKUP($P460,Member_Tab,6,FALSE()), AW$5 &lt;= VLOOKUP($P460,Member_Tab,7,FALSE())),1,0))  )</f>
        <v>0</v>
      </c>
      <c r="AX460" s="76" t="n">
        <f aca="false">IF(ISERROR(VLOOKUP($P460,Member_Tab,4,FALSE())),0,(VLOOKUP($P460,Member_Tab,4,FALSE()) * 0.2 * AX$7) * (IF(AND(AX$5 &gt;= VLOOKUP($P460,Member_Tab,6,FALSE()), AX$5 &lt;= VLOOKUP($P460,Member_Tab,7,FALSE())),1,0))  )</f>
        <v>0</v>
      </c>
      <c r="AY460" s="76" t="n">
        <f aca="false">IF(ISERROR(VLOOKUP($P460,Member_Tab,4,FALSE())),0,(VLOOKUP($P460,Member_Tab,4,FALSE()) * 0.2 * AY$7) * (IF(AND(AY$5 &gt;= VLOOKUP($P460,Member_Tab,6,FALSE()), AY$5 &lt;= VLOOKUP($P460,Member_Tab,7,FALSE())),1,0))  )</f>
        <v>0</v>
      </c>
      <c r="AZ460" s="76" t="n">
        <f aca="false">IF(ISERROR(VLOOKUP($P460,Member_Tab,4,FALSE())),0,(VLOOKUP($P460,Member_Tab,4,FALSE()) * 0.2 * AZ$7) * (IF(AND(AZ$5 &gt;= VLOOKUP($P460,Member_Tab,6,FALSE()), AZ$5 &lt;= VLOOKUP($P460,Member_Tab,7,FALSE())),1,0))  )</f>
        <v>0</v>
      </c>
      <c r="BA460" s="76" t="n">
        <f aca="false">IF(ISERROR(VLOOKUP($P460,Member_Tab,4,FALSE())),0,(VLOOKUP($P460,Member_Tab,4,FALSE()) * 0.2 * BA$7) * (IF(AND(BA$5 &gt;= VLOOKUP($P460,Member_Tab,6,FALSE()), BA$5 &lt;= VLOOKUP($P460,Member_Tab,7,FALSE())),1,0))  )</f>
        <v>0</v>
      </c>
      <c r="BB460" s="76" t="n">
        <f aca="false">IF(ISERROR(VLOOKUP($P460,Member_Tab,4,FALSE())),0,(VLOOKUP($P460,Member_Tab,4,FALSE()) * 0.2 * BB$7) * (IF(AND(BB$5 &gt;= VLOOKUP($P460,Member_Tab,6,FALSE()), BB$5 &lt;= VLOOKUP($P460,Member_Tab,7,FALSE())),1,0))  )</f>
        <v>0</v>
      </c>
    </row>
    <row r="461" s="173" customFormat="true" ht="15" hidden="true" customHeight="false" outlineLevel="1" collapsed="false">
      <c r="E461" s="40"/>
      <c r="K461" s="40"/>
      <c r="L461" s="40"/>
      <c r="M461" s="40"/>
      <c r="N461" s="40"/>
      <c r="P461" s="177" t="n">
        <f aca="false">P324</f>
        <v>0</v>
      </c>
      <c r="Q461" s="40"/>
      <c r="R461" s="178"/>
      <c r="S461" s="76" t="n">
        <f aca="false">IF(ISERROR(VLOOKUP($P461,Member_Tab,4,FALSE())),0,(VLOOKUP($P461,Member_Tab,4,FALSE()) * 0.2 * S$7) * (IF(AND(S$5 &gt;= VLOOKUP($P461,Member_Tab,6,FALSE()), S$5 &lt;= VLOOKUP($P461,Member_Tab,7,FALSE())),1,0))  )</f>
        <v>0</v>
      </c>
      <c r="T461" s="76" t="n">
        <f aca="false">IF(ISERROR(VLOOKUP($P461,Member_Tab,4,FALSE())),0,(VLOOKUP($P461,Member_Tab,4,FALSE()) * 0.2 * T$7) * (IF(AND(T$5 &gt;= VLOOKUP($P461,Member_Tab,6,FALSE()), T$5 &lt;= VLOOKUP($P461,Member_Tab,7,FALSE())),1,0))  )</f>
        <v>0</v>
      </c>
      <c r="U461" s="76" t="n">
        <f aca="false">IF(ISERROR(VLOOKUP($P461,Member_Tab,4,FALSE())),0,(VLOOKUP($P461,Member_Tab,4,FALSE()) * 0.2 * U$7) * (IF(AND(U$5 &gt;= VLOOKUP($P461,Member_Tab,6,FALSE()), U$5 &lt;= VLOOKUP($P461,Member_Tab,7,FALSE())),1,0))  )</f>
        <v>0</v>
      </c>
      <c r="V461" s="76" t="n">
        <f aca="false">IF(ISERROR(VLOOKUP($P461,Member_Tab,4,FALSE())),0,(VLOOKUP($P461,Member_Tab,4,FALSE()) * 0.2 * V$7) * (IF(AND(V$5 &gt;= VLOOKUP($P461,Member_Tab,6,FALSE()), V$5 &lt;= VLOOKUP($P461,Member_Tab,7,FALSE())),1,0))  )</f>
        <v>0</v>
      </c>
      <c r="W461" s="76" t="n">
        <f aca="false">IF(ISERROR(VLOOKUP($P461,Member_Tab,4,FALSE())),0,(VLOOKUP($P461,Member_Tab,4,FALSE()) * 0.2 * W$7) * (IF(AND(W$5 &gt;= VLOOKUP($P461,Member_Tab,6,FALSE()), W$5 &lt;= VLOOKUP($P461,Member_Tab,7,FALSE())),1,0))  )</f>
        <v>0</v>
      </c>
      <c r="X461" s="76" t="n">
        <f aca="false">IF(ISERROR(VLOOKUP($P461,Member_Tab,4,FALSE())),0,(VLOOKUP($P461,Member_Tab,4,FALSE()) * 0.2 * X$7) * (IF(AND(X$5 &gt;= VLOOKUP($P461,Member_Tab,6,FALSE()), X$5 &lt;= VLOOKUP($P461,Member_Tab,7,FALSE())),1,0))  )</f>
        <v>0</v>
      </c>
      <c r="Y461" s="76" t="n">
        <f aca="false">IF(ISERROR(VLOOKUP($P461,Member_Tab,4,FALSE())),0,(VLOOKUP($P461,Member_Tab,4,FALSE()) * 0.2 * Y$7) * (IF(AND(Y$5 &gt;= VLOOKUP($P461,Member_Tab,6,FALSE()), Y$5 &lt;= VLOOKUP($P461,Member_Tab,7,FALSE())),1,0))  )</f>
        <v>0</v>
      </c>
      <c r="Z461" s="76" t="n">
        <f aca="false">IF(ISERROR(VLOOKUP($P461,Member_Tab,4,FALSE())),0,(VLOOKUP($P461,Member_Tab,4,FALSE()) * 0.2 * Z$7) * (IF(AND(Z$5 &gt;= VLOOKUP($P461,Member_Tab,6,FALSE()), Z$5 &lt;= VLOOKUP($P461,Member_Tab,7,FALSE())),1,0))  )</f>
        <v>0</v>
      </c>
      <c r="AA461" s="76" t="n">
        <f aca="false">IF(ISERROR(VLOOKUP($P461,Member_Tab,4,FALSE())),0,(VLOOKUP($P461,Member_Tab,4,FALSE()) * 0.2 * AA$7) * (IF(AND(AA$5 &gt;= VLOOKUP($P461,Member_Tab,6,FALSE()), AA$5 &lt;= VLOOKUP($P461,Member_Tab,7,FALSE())),1,0))  )</f>
        <v>0</v>
      </c>
      <c r="AB461" s="76" t="n">
        <f aca="false">IF(ISERROR(VLOOKUP($P461,Member_Tab,4,FALSE())),0,(VLOOKUP($P461,Member_Tab,4,FALSE()) * 0.2 * AB$7) * (IF(AND(AB$5 &gt;= VLOOKUP($P461,Member_Tab,6,FALSE()), AB$5 &lt;= VLOOKUP($P461,Member_Tab,7,FALSE())),1,0))  )</f>
        <v>0</v>
      </c>
      <c r="AC461" s="76" t="n">
        <f aca="false">IF(ISERROR(VLOOKUP($P461,Member_Tab,4,FALSE())),0,(VLOOKUP($P461,Member_Tab,4,FALSE()) * 0.2 * AC$7) * (IF(AND(AC$5 &gt;= VLOOKUP($P461,Member_Tab,6,FALSE()), AC$5 &lt;= VLOOKUP($P461,Member_Tab,7,FALSE())),1,0))  )</f>
        <v>0</v>
      </c>
      <c r="AD461" s="76" t="n">
        <f aca="false">IF(ISERROR(VLOOKUP($P461,Member_Tab,4,FALSE())),0,(VLOOKUP($P461,Member_Tab,4,FALSE()) * 0.2 * AD$7) * (IF(AND(AD$5 &gt;= VLOOKUP($P461,Member_Tab,6,FALSE()), AD$5 &lt;= VLOOKUP($P461,Member_Tab,7,FALSE())),1,0))  )</f>
        <v>0</v>
      </c>
      <c r="AE461" s="76" t="n">
        <f aca="false">IF(ISERROR(VLOOKUP($P461,Member_Tab,4,FALSE())),0,(VLOOKUP($P461,Member_Tab,4,FALSE()) * 0.2 * AE$7) * (IF(AND(AE$5 &gt;= VLOOKUP($P461,Member_Tab,6,FALSE()), AE$5 &lt;= VLOOKUP($P461,Member_Tab,7,FALSE())),1,0))  )</f>
        <v>0</v>
      </c>
      <c r="AF461" s="76" t="n">
        <f aca="false">IF(ISERROR(VLOOKUP($P461,Member_Tab,4,FALSE())),0,(VLOOKUP($P461,Member_Tab,4,FALSE()) * 0.2 * AF$7) * (IF(AND(AF$5 &gt;= VLOOKUP($P461,Member_Tab,6,FALSE()), AF$5 &lt;= VLOOKUP($P461,Member_Tab,7,FALSE())),1,0))  )</f>
        <v>0</v>
      </c>
      <c r="AG461" s="76" t="n">
        <f aca="false">IF(ISERROR(VLOOKUP($P461,Member_Tab,4,FALSE())),0,(VLOOKUP($P461,Member_Tab,4,FALSE()) * 0.2 * AG$7) * (IF(AND(AG$5 &gt;= VLOOKUP($P461,Member_Tab,6,FALSE()), AG$5 &lt;= VLOOKUP($P461,Member_Tab,7,FALSE())),1,0))  )</f>
        <v>0</v>
      </c>
      <c r="AH461" s="76" t="n">
        <f aca="false">IF(ISERROR(VLOOKUP($P461,Member_Tab,4,FALSE())),0,(VLOOKUP($P461,Member_Tab,4,FALSE()) * 0.2 * AH$7) * (IF(AND(AH$5 &gt;= VLOOKUP($P461,Member_Tab,6,FALSE()), AH$5 &lt;= VLOOKUP($P461,Member_Tab,7,FALSE())),1,0))  )</f>
        <v>0</v>
      </c>
      <c r="AI461" s="76" t="n">
        <f aca="false">IF(ISERROR(VLOOKUP($P461,Member_Tab,4,FALSE())),0,(VLOOKUP($P461,Member_Tab,4,FALSE()) * 0.2 * AI$7) * (IF(AND(AI$5 &gt;= VLOOKUP($P461,Member_Tab,6,FALSE()), AI$5 &lt;= VLOOKUP($P461,Member_Tab,7,FALSE())),1,0))  )</f>
        <v>0</v>
      </c>
      <c r="AJ461" s="76" t="n">
        <f aca="false">IF(ISERROR(VLOOKUP($P461,Member_Tab,4,FALSE())),0,(VLOOKUP($P461,Member_Tab,4,FALSE()) * 0.2 * AJ$7) * (IF(AND(AJ$5 &gt;= VLOOKUP($P461,Member_Tab,6,FALSE()), AJ$5 &lt;= VLOOKUP($P461,Member_Tab,7,FALSE())),1,0))  )</f>
        <v>0</v>
      </c>
      <c r="AK461" s="76" t="n">
        <f aca="false">IF(ISERROR(VLOOKUP($P461,Member_Tab,4,FALSE())),0,(VLOOKUP($P461,Member_Tab,4,FALSE()) * 0.2 * AK$7) * (IF(AND(AK$5 &gt;= VLOOKUP($P461,Member_Tab,6,FALSE()), AK$5 &lt;= VLOOKUP($P461,Member_Tab,7,FALSE())),1,0))  )</f>
        <v>0</v>
      </c>
      <c r="AL461" s="76" t="n">
        <f aca="false">IF(ISERROR(VLOOKUP($P461,Member_Tab,4,FALSE())),0,(VLOOKUP($P461,Member_Tab,4,FALSE()) * 0.2 * AL$7) * (IF(AND(AL$5 &gt;= VLOOKUP($P461,Member_Tab,6,FALSE()), AL$5 &lt;= VLOOKUP($P461,Member_Tab,7,FALSE())),1,0))  )</f>
        <v>0</v>
      </c>
      <c r="AM461" s="76" t="n">
        <f aca="false">IF(ISERROR(VLOOKUP($P461,Member_Tab,4,FALSE())),0,(VLOOKUP($P461,Member_Tab,4,FALSE()) * 0.2 * AM$7) * (IF(AND(AM$5 &gt;= VLOOKUP($P461,Member_Tab,6,FALSE()), AM$5 &lt;= VLOOKUP($P461,Member_Tab,7,FALSE())),1,0))  )</f>
        <v>0</v>
      </c>
      <c r="AN461" s="76" t="n">
        <f aca="false">IF(ISERROR(VLOOKUP($P461,Member_Tab,4,FALSE())),0,(VLOOKUP($P461,Member_Tab,4,FALSE()) * 0.2 * AN$7) * (IF(AND(AN$5 &gt;= VLOOKUP($P461,Member_Tab,6,FALSE()), AN$5 &lt;= VLOOKUP($P461,Member_Tab,7,FALSE())),1,0))  )</f>
        <v>0</v>
      </c>
      <c r="AO461" s="76" t="n">
        <f aca="false">IF(ISERROR(VLOOKUP($P461,Member_Tab,4,FALSE())),0,(VLOOKUP($P461,Member_Tab,4,FALSE()) * 0.2 * AO$7) * (IF(AND(AO$5 &gt;= VLOOKUP($P461,Member_Tab,6,FALSE()), AO$5 &lt;= VLOOKUP($P461,Member_Tab,7,FALSE())),1,0))  )</f>
        <v>0</v>
      </c>
      <c r="AP461" s="76" t="n">
        <f aca="false">IF(ISERROR(VLOOKUP($P461,Member_Tab,4,FALSE())),0,(VLOOKUP($P461,Member_Tab,4,FALSE()) * 0.2 * AP$7) * (IF(AND(AP$5 &gt;= VLOOKUP($P461,Member_Tab,6,FALSE()), AP$5 &lt;= VLOOKUP($P461,Member_Tab,7,FALSE())),1,0))  )</f>
        <v>0</v>
      </c>
      <c r="AQ461" s="76" t="n">
        <f aca="false">IF(ISERROR(VLOOKUP($P461,Member_Tab,4,FALSE())),0,(VLOOKUP($P461,Member_Tab,4,FALSE()) * 0.2 * AQ$7) * (IF(AND(AQ$5 &gt;= VLOOKUP($P461,Member_Tab,6,FALSE()), AQ$5 &lt;= VLOOKUP($P461,Member_Tab,7,FALSE())),1,0))  )</f>
        <v>0</v>
      </c>
      <c r="AR461" s="76" t="n">
        <f aca="false">IF(ISERROR(VLOOKUP($P461,Member_Tab,4,FALSE())),0,(VLOOKUP($P461,Member_Tab,4,FALSE()) * 0.2 * AR$7) * (IF(AND(AR$5 &gt;= VLOOKUP($P461,Member_Tab,6,FALSE()), AR$5 &lt;= VLOOKUP($P461,Member_Tab,7,FALSE())),1,0))  )</f>
        <v>0</v>
      </c>
      <c r="AS461" s="76" t="n">
        <f aca="false">IF(ISERROR(VLOOKUP($P461,Member_Tab,4,FALSE())),0,(VLOOKUP($P461,Member_Tab,4,FALSE()) * 0.2 * AS$7) * (IF(AND(AS$5 &gt;= VLOOKUP($P461,Member_Tab,6,FALSE()), AS$5 &lt;= VLOOKUP($P461,Member_Tab,7,FALSE())),1,0))  )</f>
        <v>0</v>
      </c>
      <c r="AT461" s="76" t="n">
        <f aca="false">IF(ISERROR(VLOOKUP($P461,Member_Tab,4,FALSE())),0,(VLOOKUP($P461,Member_Tab,4,FALSE()) * 0.2 * AT$7) * (IF(AND(AT$5 &gt;= VLOOKUP($P461,Member_Tab,6,FALSE()), AT$5 &lt;= VLOOKUP($P461,Member_Tab,7,FALSE())),1,0))  )</f>
        <v>0</v>
      </c>
      <c r="AU461" s="76" t="n">
        <f aca="false">IF(ISERROR(VLOOKUP($P461,Member_Tab,4,FALSE())),0,(VLOOKUP($P461,Member_Tab,4,FALSE()) * 0.2 * AU$7) * (IF(AND(AU$5 &gt;= VLOOKUP($P461,Member_Tab,6,FALSE()), AU$5 &lt;= VLOOKUP($P461,Member_Tab,7,FALSE())),1,0))  )</f>
        <v>0</v>
      </c>
      <c r="AV461" s="76" t="n">
        <f aca="false">IF(ISERROR(VLOOKUP($P461,Member_Tab,4,FALSE())),0,(VLOOKUP($P461,Member_Tab,4,FALSE()) * 0.2 * AV$7) * (IF(AND(AV$5 &gt;= VLOOKUP($P461,Member_Tab,6,FALSE()), AV$5 &lt;= VLOOKUP($P461,Member_Tab,7,FALSE())),1,0))  )</f>
        <v>0</v>
      </c>
      <c r="AW461" s="76" t="n">
        <f aca="false">IF(ISERROR(VLOOKUP($P461,Member_Tab,4,FALSE())),0,(VLOOKUP($P461,Member_Tab,4,FALSE()) * 0.2 * AW$7) * (IF(AND(AW$5 &gt;= VLOOKUP($P461,Member_Tab,6,FALSE()), AW$5 &lt;= VLOOKUP($P461,Member_Tab,7,FALSE())),1,0))  )</f>
        <v>0</v>
      </c>
      <c r="AX461" s="76" t="n">
        <f aca="false">IF(ISERROR(VLOOKUP($P461,Member_Tab,4,FALSE())),0,(VLOOKUP($P461,Member_Tab,4,FALSE()) * 0.2 * AX$7) * (IF(AND(AX$5 &gt;= VLOOKUP($P461,Member_Tab,6,FALSE()), AX$5 &lt;= VLOOKUP($P461,Member_Tab,7,FALSE())),1,0))  )</f>
        <v>0</v>
      </c>
      <c r="AY461" s="76" t="n">
        <f aca="false">IF(ISERROR(VLOOKUP($P461,Member_Tab,4,FALSE())),0,(VLOOKUP($P461,Member_Tab,4,FALSE()) * 0.2 * AY$7) * (IF(AND(AY$5 &gt;= VLOOKUP($P461,Member_Tab,6,FALSE()), AY$5 &lt;= VLOOKUP($P461,Member_Tab,7,FALSE())),1,0))  )</f>
        <v>0</v>
      </c>
      <c r="AZ461" s="76" t="n">
        <f aca="false">IF(ISERROR(VLOOKUP($P461,Member_Tab,4,FALSE())),0,(VLOOKUP($P461,Member_Tab,4,FALSE()) * 0.2 * AZ$7) * (IF(AND(AZ$5 &gt;= VLOOKUP($P461,Member_Tab,6,FALSE()), AZ$5 &lt;= VLOOKUP($P461,Member_Tab,7,FALSE())),1,0))  )</f>
        <v>0</v>
      </c>
      <c r="BA461" s="76" t="n">
        <f aca="false">IF(ISERROR(VLOOKUP($P461,Member_Tab,4,FALSE())),0,(VLOOKUP($P461,Member_Tab,4,FALSE()) * 0.2 * BA$7) * (IF(AND(BA$5 &gt;= VLOOKUP($P461,Member_Tab,6,FALSE()), BA$5 &lt;= VLOOKUP($P461,Member_Tab,7,FALSE())),1,0))  )</f>
        <v>0</v>
      </c>
      <c r="BB461" s="76" t="n">
        <f aca="false">IF(ISERROR(VLOOKUP($P461,Member_Tab,4,FALSE())),0,(VLOOKUP($P461,Member_Tab,4,FALSE()) * 0.2 * BB$7) * (IF(AND(BB$5 &gt;= VLOOKUP($P461,Member_Tab,6,FALSE()), BB$5 &lt;= VLOOKUP($P461,Member_Tab,7,FALSE())),1,0))  )</f>
        <v>0</v>
      </c>
    </row>
    <row r="462" s="173" customFormat="true" ht="15" hidden="true" customHeight="false" outlineLevel="1" collapsed="false">
      <c r="E462" s="40"/>
      <c r="K462" s="40"/>
      <c r="L462" s="40"/>
      <c r="M462" s="40"/>
      <c r="N462" s="40"/>
      <c r="P462" s="177" t="n">
        <f aca="false">P325</f>
        <v>0</v>
      </c>
      <c r="Q462" s="40"/>
      <c r="R462" s="178"/>
      <c r="S462" s="76" t="n">
        <f aca="false">IF(ISERROR(VLOOKUP($P462,Member_Tab,4,FALSE())),0,(VLOOKUP($P462,Member_Tab,4,FALSE()) * 0.2 * S$7) * (IF(AND(S$5 &gt;= VLOOKUP($P462,Member_Tab,6,FALSE()), S$5 &lt;= VLOOKUP($P462,Member_Tab,7,FALSE())),1,0))  )</f>
        <v>0</v>
      </c>
      <c r="T462" s="76" t="n">
        <f aca="false">IF(ISERROR(VLOOKUP($P462,Member_Tab,4,FALSE())),0,(VLOOKUP($P462,Member_Tab,4,FALSE()) * 0.2 * T$7) * (IF(AND(T$5 &gt;= VLOOKUP($P462,Member_Tab,6,FALSE()), T$5 &lt;= VLOOKUP($P462,Member_Tab,7,FALSE())),1,0))  )</f>
        <v>0</v>
      </c>
      <c r="U462" s="76" t="n">
        <f aca="false">IF(ISERROR(VLOOKUP($P462,Member_Tab,4,FALSE())),0,(VLOOKUP($P462,Member_Tab,4,FALSE()) * 0.2 * U$7) * (IF(AND(U$5 &gt;= VLOOKUP($P462,Member_Tab,6,FALSE()), U$5 &lt;= VLOOKUP($P462,Member_Tab,7,FALSE())),1,0))  )</f>
        <v>0</v>
      </c>
      <c r="V462" s="76" t="n">
        <f aca="false">IF(ISERROR(VLOOKUP($P462,Member_Tab,4,FALSE())),0,(VLOOKUP($P462,Member_Tab,4,FALSE()) * 0.2 * V$7) * (IF(AND(V$5 &gt;= VLOOKUP($P462,Member_Tab,6,FALSE()), V$5 &lt;= VLOOKUP($P462,Member_Tab,7,FALSE())),1,0))  )</f>
        <v>0</v>
      </c>
      <c r="W462" s="76" t="n">
        <f aca="false">IF(ISERROR(VLOOKUP($P462,Member_Tab,4,FALSE())),0,(VLOOKUP($P462,Member_Tab,4,FALSE()) * 0.2 * W$7) * (IF(AND(W$5 &gt;= VLOOKUP($P462,Member_Tab,6,FALSE()), W$5 &lt;= VLOOKUP($P462,Member_Tab,7,FALSE())),1,0))  )</f>
        <v>0</v>
      </c>
      <c r="X462" s="76" t="n">
        <f aca="false">IF(ISERROR(VLOOKUP($P462,Member_Tab,4,FALSE())),0,(VLOOKUP($P462,Member_Tab,4,FALSE()) * 0.2 * X$7) * (IF(AND(X$5 &gt;= VLOOKUP($P462,Member_Tab,6,FALSE()), X$5 &lt;= VLOOKUP($P462,Member_Tab,7,FALSE())),1,0))  )</f>
        <v>0</v>
      </c>
      <c r="Y462" s="76" t="n">
        <f aca="false">IF(ISERROR(VLOOKUP($P462,Member_Tab,4,FALSE())),0,(VLOOKUP($P462,Member_Tab,4,FALSE()) * 0.2 * Y$7) * (IF(AND(Y$5 &gt;= VLOOKUP($P462,Member_Tab,6,FALSE()), Y$5 &lt;= VLOOKUP($P462,Member_Tab,7,FALSE())),1,0))  )</f>
        <v>0</v>
      </c>
      <c r="Z462" s="76" t="n">
        <f aca="false">IF(ISERROR(VLOOKUP($P462,Member_Tab,4,FALSE())),0,(VLOOKUP($P462,Member_Tab,4,FALSE()) * 0.2 * Z$7) * (IF(AND(Z$5 &gt;= VLOOKUP($P462,Member_Tab,6,FALSE()), Z$5 &lt;= VLOOKUP($P462,Member_Tab,7,FALSE())),1,0))  )</f>
        <v>0</v>
      </c>
      <c r="AA462" s="76" t="n">
        <f aca="false">IF(ISERROR(VLOOKUP($P462,Member_Tab,4,FALSE())),0,(VLOOKUP($P462,Member_Tab,4,FALSE()) * 0.2 * AA$7) * (IF(AND(AA$5 &gt;= VLOOKUP($P462,Member_Tab,6,FALSE()), AA$5 &lt;= VLOOKUP($P462,Member_Tab,7,FALSE())),1,0))  )</f>
        <v>0</v>
      </c>
      <c r="AB462" s="76" t="n">
        <f aca="false">IF(ISERROR(VLOOKUP($P462,Member_Tab,4,FALSE())),0,(VLOOKUP($P462,Member_Tab,4,FALSE()) * 0.2 * AB$7) * (IF(AND(AB$5 &gt;= VLOOKUP($P462,Member_Tab,6,FALSE()), AB$5 &lt;= VLOOKUP($P462,Member_Tab,7,FALSE())),1,0))  )</f>
        <v>0</v>
      </c>
      <c r="AC462" s="76" t="n">
        <f aca="false">IF(ISERROR(VLOOKUP($P462,Member_Tab,4,FALSE())),0,(VLOOKUP($P462,Member_Tab,4,FALSE()) * 0.2 * AC$7) * (IF(AND(AC$5 &gt;= VLOOKUP($P462,Member_Tab,6,FALSE()), AC$5 &lt;= VLOOKUP($P462,Member_Tab,7,FALSE())),1,0))  )</f>
        <v>0</v>
      </c>
      <c r="AD462" s="76" t="n">
        <f aca="false">IF(ISERROR(VLOOKUP($P462,Member_Tab,4,FALSE())),0,(VLOOKUP($P462,Member_Tab,4,FALSE()) * 0.2 * AD$7) * (IF(AND(AD$5 &gt;= VLOOKUP($P462,Member_Tab,6,FALSE()), AD$5 &lt;= VLOOKUP($P462,Member_Tab,7,FALSE())),1,0))  )</f>
        <v>0</v>
      </c>
      <c r="AE462" s="76" t="n">
        <f aca="false">IF(ISERROR(VLOOKUP($P462,Member_Tab,4,FALSE())),0,(VLOOKUP($P462,Member_Tab,4,FALSE()) * 0.2 * AE$7) * (IF(AND(AE$5 &gt;= VLOOKUP($P462,Member_Tab,6,FALSE()), AE$5 &lt;= VLOOKUP($P462,Member_Tab,7,FALSE())),1,0))  )</f>
        <v>0</v>
      </c>
      <c r="AF462" s="76" t="n">
        <f aca="false">IF(ISERROR(VLOOKUP($P462,Member_Tab,4,FALSE())),0,(VLOOKUP($P462,Member_Tab,4,FALSE()) * 0.2 * AF$7) * (IF(AND(AF$5 &gt;= VLOOKUP($P462,Member_Tab,6,FALSE()), AF$5 &lt;= VLOOKUP($P462,Member_Tab,7,FALSE())),1,0))  )</f>
        <v>0</v>
      </c>
      <c r="AG462" s="76" t="n">
        <f aca="false">IF(ISERROR(VLOOKUP($P462,Member_Tab,4,FALSE())),0,(VLOOKUP($P462,Member_Tab,4,FALSE()) * 0.2 * AG$7) * (IF(AND(AG$5 &gt;= VLOOKUP($P462,Member_Tab,6,FALSE()), AG$5 &lt;= VLOOKUP($P462,Member_Tab,7,FALSE())),1,0))  )</f>
        <v>0</v>
      </c>
      <c r="AH462" s="76" t="n">
        <f aca="false">IF(ISERROR(VLOOKUP($P462,Member_Tab,4,FALSE())),0,(VLOOKUP($P462,Member_Tab,4,FALSE()) * 0.2 * AH$7) * (IF(AND(AH$5 &gt;= VLOOKUP($P462,Member_Tab,6,FALSE()), AH$5 &lt;= VLOOKUP($P462,Member_Tab,7,FALSE())),1,0))  )</f>
        <v>0</v>
      </c>
      <c r="AI462" s="76" t="n">
        <f aca="false">IF(ISERROR(VLOOKUP($P462,Member_Tab,4,FALSE())),0,(VLOOKUP($P462,Member_Tab,4,FALSE()) * 0.2 * AI$7) * (IF(AND(AI$5 &gt;= VLOOKUP($P462,Member_Tab,6,FALSE()), AI$5 &lt;= VLOOKUP($P462,Member_Tab,7,FALSE())),1,0))  )</f>
        <v>0</v>
      </c>
      <c r="AJ462" s="76" t="n">
        <f aca="false">IF(ISERROR(VLOOKUP($P462,Member_Tab,4,FALSE())),0,(VLOOKUP($P462,Member_Tab,4,FALSE()) * 0.2 * AJ$7) * (IF(AND(AJ$5 &gt;= VLOOKUP($P462,Member_Tab,6,FALSE()), AJ$5 &lt;= VLOOKUP($P462,Member_Tab,7,FALSE())),1,0))  )</f>
        <v>0</v>
      </c>
      <c r="AK462" s="76" t="n">
        <f aca="false">IF(ISERROR(VLOOKUP($P462,Member_Tab,4,FALSE())),0,(VLOOKUP($P462,Member_Tab,4,FALSE()) * 0.2 * AK$7) * (IF(AND(AK$5 &gt;= VLOOKUP($P462,Member_Tab,6,FALSE()), AK$5 &lt;= VLOOKUP($P462,Member_Tab,7,FALSE())),1,0))  )</f>
        <v>0</v>
      </c>
      <c r="AL462" s="76" t="n">
        <f aca="false">IF(ISERROR(VLOOKUP($P462,Member_Tab,4,FALSE())),0,(VLOOKUP($P462,Member_Tab,4,FALSE()) * 0.2 * AL$7) * (IF(AND(AL$5 &gt;= VLOOKUP($P462,Member_Tab,6,FALSE()), AL$5 &lt;= VLOOKUP($P462,Member_Tab,7,FALSE())),1,0))  )</f>
        <v>0</v>
      </c>
      <c r="AM462" s="76" t="n">
        <f aca="false">IF(ISERROR(VLOOKUP($P462,Member_Tab,4,FALSE())),0,(VLOOKUP($P462,Member_Tab,4,FALSE()) * 0.2 * AM$7) * (IF(AND(AM$5 &gt;= VLOOKUP($P462,Member_Tab,6,FALSE()), AM$5 &lt;= VLOOKUP($P462,Member_Tab,7,FALSE())),1,0))  )</f>
        <v>0</v>
      </c>
      <c r="AN462" s="76" t="n">
        <f aca="false">IF(ISERROR(VLOOKUP($P462,Member_Tab,4,FALSE())),0,(VLOOKUP($P462,Member_Tab,4,FALSE()) * 0.2 * AN$7) * (IF(AND(AN$5 &gt;= VLOOKUP($P462,Member_Tab,6,FALSE()), AN$5 &lt;= VLOOKUP($P462,Member_Tab,7,FALSE())),1,0))  )</f>
        <v>0</v>
      </c>
      <c r="AO462" s="76" t="n">
        <f aca="false">IF(ISERROR(VLOOKUP($P462,Member_Tab,4,FALSE())),0,(VLOOKUP($P462,Member_Tab,4,FALSE()) * 0.2 * AO$7) * (IF(AND(AO$5 &gt;= VLOOKUP($P462,Member_Tab,6,FALSE()), AO$5 &lt;= VLOOKUP($P462,Member_Tab,7,FALSE())),1,0))  )</f>
        <v>0</v>
      </c>
      <c r="AP462" s="76" t="n">
        <f aca="false">IF(ISERROR(VLOOKUP($P462,Member_Tab,4,FALSE())),0,(VLOOKUP($P462,Member_Tab,4,FALSE()) * 0.2 * AP$7) * (IF(AND(AP$5 &gt;= VLOOKUP($P462,Member_Tab,6,FALSE()), AP$5 &lt;= VLOOKUP($P462,Member_Tab,7,FALSE())),1,0))  )</f>
        <v>0</v>
      </c>
      <c r="AQ462" s="76" t="n">
        <f aca="false">IF(ISERROR(VLOOKUP($P462,Member_Tab,4,FALSE())),0,(VLOOKUP($P462,Member_Tab,4,FALSE()) * 0.2 * AQ$7) * (IF(AND(AQ$5 &gt;= VLOOKUP($P462,Member_Tab,6,FALSE()), AQ$5 &lt;= VLOOKUP($P462,Member_Tab,7,FALSE())),1,0))  )</f>
        <v>0</v>
      </c>
      <c r="AR462" s="76" t="n">
        <f aca="false">IF(ISERROR(VLOOKUP($P462,Member_Tab,4,FALSE())),0,(VLOOKUP($P462,Member_Tab,4,FALSE()) * 0.2 * AR$7) * (IF(AND(AR$5 &gt;= VLOOKUP($P462,Member_Tab,6,FALSE()), AR$5 &lt;= VLOOKUP($P462,Member_Tab,7,FALSE())),1,0))  )</f>
        <v>0</v>
      </c>
      <c r="AS462" s="76" t="n">
        <f aca="false">IF(ISERROR(VLOOKUP($P462,Member_Tab,4,FALSE())),0,(VLOOKUP($P462,Member_Tab,4,FALSE()) * 0.2 * AS$7) * (IF(AND(AS$5 &gt;= VLOOKUP($P462,Member_Tab,6,FALSE()), AS$5 &lt;= VLOOKUP($P462,Member_Tab,7,FALSE())),1,0))  )</f>
        <v>0</v>
      </c>
      <c r="AT462" s="76" t="n">
        <f aca="false">IF(ISERROR(VLOOKUP($P462,Member_Tab,4,FALSE())),0,(VLOOKUP($P462,Member_Tab,4,FALSE()) * 0.2 * AT$7) * (IF(AND(AT$5 &gt;= VLOOKUP($P462,Member_Tab,6,FALSE()), AT$5 &lt;= VLOOKUP($P462,Member_Tab,7,FALSE())),1,0))  )</f>
        <v>0</v>
      </c>
      <c r="AU462" s="76" t="n">
        <f aca="false">IF(ISERROR(VLOOKUP($P462,Member_Tab,4,FALSE())),0,(VLOOKUP($P462,Member_Tab,4,FALSE()) * 0.2 * AU$7) * (IF(AND(AU$5 &gt;= VLOOKUP($P462,Member_Tab,6,FALSE()), AU$5 &lt;= VLOOKUP($P462,Member_Tab,7,FALSE())),1,0))  )</f>
        <v>0</v>
      </c>
      <c r="AV462" s="76" t="n">
        <f aca="false">IF(ISERROR(VLOOKUP($P462,Member_Tab,4,FALSE())),0,(VLOOKUP($P462,Member_Tab,4,FALSE()) * 0.2 * AV$7) * (IF(AND(AV$5 &gt;= VLOOKUP($P462,Member_Tab,6,FALSE()), AV$5 &lt;= VLOOKUP($P462,Member_Tab,7,FALSE())),1,0))  )</f>
        <v>0</v>
      </c>
      <c r="AW462" s="76" t="n">
        <f aca="false">IF(ISERROR(VLOOKUP($P462,Member_Tab,4,FALSE())),0,(VLOOKUP($P462,Member_Tab,4,FALSE()) * 0.2 * AW$7) * (IF(AND(AW$5 &gt;= VLOOKUP($P462,Member_Tab,6,FALSE()), AW$5 &lt;= VLOOKUP($P462,Member_Tab,7,FALSE())),1,0))  )</f>
        <v>0</v>
      </c>
      <c r="AX462" s="76" t="n">
        <f aca="false">IF(ISERROR(VLOOKUP($P462,Member_Tab,4,FALSE())),0,(VLOOKUP($P462,Member_Tab,4,FALSE()) * 0.2 * AX$7) * (IF(AND(AX$5 &gt;= VLOOKUP($P462,Member_Tab,6,FALSE()), AX$5 &lt;= VLOOKUP($P462,Member_Tab,7,FALSE())),1,0))  )</f>
        <v>0</v>
      </c>
      <c r="AY462" s="76" t="n">
        <f aca="false">IF(ISERROR(VLOOKUP($P462,Member_Tab,4,FALSE())),0,(VLOOKUP($P462,Member_Tab,4,FALSE()) * 0.2 * AY$7) * (IF(AND(AY$5 &gt;= VLOOKUP($P462,Member_Tab,6,FALSE()), AY$5 &lt;= VLOOKUP($P462,Member_Tab,7,FALSE())),1,0))  )</f>
        <v>0</v>
      </c>
      <c r="AZ462" s="76" t="n">
        <f aca="false">IF(ISERROR(VLOOKUP($P462,Member_Tab,4,FALSE())),0,(VLOOKUP($P462,Member_Tab,4,FALSE()) * 0.2 * AZ$7) * (IF(AND(AZ$5 &gt;= VLOOKUP($P462,Member_Tab,6,FALSE()), AZ$5 &lt;= VLOOKUP($P462,Member_Tab,7,FALSE())),1,0))  )</f>
        <v>0</v>
      </c>
      <c r="BA462" s="76" t="n">
        <f aca="false">IF(ISERROR(VLOOKUP($P462,Member_Tab,4,FALSE())),0,(VLOOKUP($P462,Member_Tab,4,FALSE()) * 0.2 * BA$7) * (IF(AND(BA$5 &gt;= VLOOKUP($P462,Member_Tab,6,FALSE()), BA$5 &lt;= VLOOKUP($P462,Member_Tab,7,FALSE())),1,0))  )</f>
        <v>0</v>
      </c>
      <c r="BB462" s="76" t="n">
        <f aca="false">IF(ISERROR(VLOOKUP($P462,Member_Tab,4,FALSE())),0,(VLOOKUP($P462,Member_Tab,4,FALSE()) * 0.2 * BB$7) * (IF(AND(BB$5 &gt;= VLOOKUP($P462,Member_Tab,6,FALSE()), BB$5 &lt;= VLOOKUP($P462,Member_Tab,7,FALSE())),1,0))  )</f>
        <v>0</v>
      </c>
    </row>
    <row r="463" s="173" customFormat="true" ht="15" hidden="true" customHeight="false" outlineLevel="1" collapsed="false">
      <c r="E463" s="40"/>
      <c r="K463" s="40"/>
      <c r="L463" s="40"/>
      <c r="M463" s="40"/>
      <c r="N463" s="40"/>
      <c r="P463" s="177" t="n">
        <f aca="false">P326</f>
        <v>0</v>
      </c>
      <c r="Q463" s="40"/>
      <c r="R463" s="178"/>
      <c r="S463" s="76" t="n">
        <f aca="false">IF(ISERROR(VLOOKUP($P463,Member_Tab,4,FALSE())),0,(VLOOKUP($P463,Member_Tab,4,FALSE()) * 0.2 * S$7) * (IF(AND(S$5 &gt;= VLOOKUP($P463,Member_Tab,6,FALSE()), S$5 &lt;= VLOOKUP($P463,Member_Tab,7,FALSE())),1,0))  )</f>
        <v>0</v>
      </c>
      <c r="T463" s="76" t="n">
        <f aca="false">IF(ISERROR(VLOOKUP($P463,Member_Tab,4,FALSE())),0,(VLOOKUP($P463,Member_Tab,4,FALSE()) * 0.2 * T$7) * (IF(AND(T$5 &gt;= VLOOKUP($P463,Member_Tab,6,FALSE()), T$5 &lt;= VLOOKUP($P463,Member_Tab,7,FALSE())),1,0))  )</f>
        <v>0</v>
      </c>
      <c r="U463" s="76" t="n">
        <f aca="false">IF(ISERROR(VLOOKUP($P463,Member_Tab,4,FALSE())),0,(VLOOKUP($P463,Member_Tab,4,FALSE()) * 0.2 * U$7) * (IF(AND(U$5 &gt;= VLOOKUP($P463,Member_Tab,6,FALSE()), U$5 &lt;= VLOOKUP($P463,Member_Tab,7,FALSE())),1,0))  )</f>
        <v>0</v>
      </c>
      <c r="V463" s="76" t="n">
        <f aca="false">IF(ISERROR(VLOOKUP($P463,Member_Tab,4,FALSE())),0,(VLOOKUP($P463,Member_Tab,4,FALSE()) * 0.2 * V$7) * (IF(AND(V$5 &gt;= VLOOKUP($P463,Member_Tab,6,FALSE()), V$5 &lt;= VLOOKUP($P463,Member_Tab,7,FALSE())),1,0))  )</f>
        <v>0</v>
      </c>
      <c r="W463" s="76" t="n">
        <f aca="false">IF(ISERROR(VLOOKUP($P463,Member_Tab,4,FALSE())),0,(VLOOKUP($P463,Member_Tab,4,FALSE()) * 0.2 * W$7) * (IF(AND(W$5 &gt;= VLOOKUP($P463,Member_Tab,6,FALSE()), W$5 &lt;= VLOOKUP($P463,Member_Tab,7,FALSE())),1,0))  )</f>
        <v>0</v>
      </c>
      <c r="X463" s="76" t="n">
        <f aca="false">IF(ISERROR(VLOOKUP($P463,Member_Tab,4,FALSE())),0,(VLOOKUP($P463,Member_Tab,4,FALSE()) * 0.2 * X$7) * (IF(AND(X$5 &gt;= VLOOKUP($P463,Member_Tab,6,FALSE()), X$5 &lt;= VLOOKUP($P463,Member_Tab,7,FALSE())),1,0))  )</f>
        <v>0</v>
      </c>
      <c r="Y463" s="76" t="n">
        <f aca="false">IF(ISERROR(VLOOKUP($P463,Member_Tab,4,FALSE())),0,(VLOOKUP($P463,Member_Tab,4,FALSE()) * 0.2 * Y$7) * (IF(AND(Y$5 &gt;= VLOOKUP($P463,Member_Tab,6,FALSE()), Y$5 &lt;= VLOOKUP($P463,Member_Tab,7,FALSE())),1,0))  )</f>
        <v>0</v>
      </c>
      <c r="Z463" s="76" t="n">
        <f aca="false">IF(ISERROR(VLOOKUP($P463,Member_Tab,4,FALSE())),0,(VLOOKUP($P463,Member_Tab,4,FALSE()) * 0.2 * Z$7) * (IF(AND(Z$5 &gt;= VLOOKUP($P463,Member_Tab,6,FALSE()), Z$5 &lt;= VLOOKUP($P463,Member_Tab,7,FALSE())),1,0))  )</f>
        <v>0</v>
      </c>
      <c r="AA463" s="76" t="n">
        <f aca="false">IF(ISERROR(VLOOKUP($P463,Member_Tab,4,FALSE())),0,(VLOOKUP($P463,Member_Tab,4,FALSE()) * 0.2 * AA$7) * (IF(AND(AA$5 &gt;= VLOOKUP($P463,Member_Tab,6,FALSE()), AA$5 &lt;= VLOOKUP($P463,Member_Tab,7,FALSE())),1,0))  )</f>
        <v>0</v>
      </c>
      <c r="AB463" s="76" t="n">
        <f aca="false">IF(ISERROR(VLOOKUP($P463,Member_Tab,4,FALSE())),0,(VLOOKUP($P463,Member_Tab,4,FALSE()) * 0.2 * AB$7) * (IF(AND(AB$5 &gt;= VLOOKUP($P463,Member_Tab,6,FALSE()), AB$5 &lt;= VLOOKUP($P463,Member_Tab,7,FALSE())),1,0))  )</f>
        <v>0</v>
      </c>
      <c r="AC463" s="76" t="n">
        <f aca="false">IF(ISERROR(VLOOKUP($P463,Member_Tab,4,FALSE())),0,(VLOOKUP($P463,Member_Tab,4,FALSE()) * 0.2 * AC$7) * (IF(AND(AC$5 &gt;= VLOOKUP($P463,Member_Tab,6,FALSE()), AC$5 &lt;= VLOOKUP($P463,Member_Tab,7,FALSE())),1,0))  )</f>
        <v>0</v>
      </c>
      <c r="AD463" s="76" t="n">
        <f aca="false">IF(ISERROR(VLOOKUP($P463,Member_Tab,4,FALSE())),0,(VLOOKUP($P463,Member_Tab,4,FALSE()) * 0.2 * AD$7) * (IF(AND(AD$5 &gt;= VLOOKUP($P463,Member_Tab,6,FALSE()), AD$5 &lt;= VLOOKUP($P463,Member_Tab,7,FALSE())),1,0))  )</f>
        <v>0</v>
      </c>
      <c r="AE463" s="76" t="n">
        <f aca="false">IF(ISERROR(VLOOKUP($P463,Member_Tab,4,FALSE())),0,(VLOOKUP($P463,Member_Tab,4,FALSE()) * 0.2 * AE$7) * (IF(AND(AE$5 &gt;= VLOOKUP($P463,Member_Tab,6,FALSE()), AE$5 &lt;= VLOOKUP($P463,Member_Tab,7,FALSE())),1,0))  )</f>
        <v>0</v>
      </c>
      <c r="AF463" s="76" t="n">
        <f aca="false">IF(ISERROR(VLOOKUP($P463,Member_Tab,4,FALSE())),0,(VLOOKUP($P463,Member_Tab,4,FALSE()) * 0.2 * AF$7) * (IF(AND(AF$5 &gt;= VLOOKUP($P463,Member_Tab,6,FALSE()), AF$5 &lt;= VLOOKUP($P463,Member_Tab,7,FALSE())),1,0))  )</f>
        <v>0</v>
      </c>
      <c r="AG463" s="76" t="n">
        <f aca="false">IF(ISERROR(VLOOKUP($P463,Member_Tab,4,FALSE())),0,(VLOOKUP($P463,Member_Tab,4,FALSE()) * 0.2 * AG$7) * (IF(AND(AG$5 &gt;= VLOOKUP($P463,Member_Tab,6,FALSE()), AG$5 &lt;= VLOOKUP($P463,Member_Tab,7,FALSE())),1,0))  )</f>
        <v>0</v>
      </c>
      <c r="AH463" s="76" t="n">
        <f aca="false">IF(ISERROR(VLOOKUP($P463,Member_Tab,4,FALSE())),0,(VLOOKUP($P463,Member_Tab,4,FALSE()) * 0.2 * AH$7) * (IF(AND(AH$5 &gt;= VLOOKUP($P463,Member_Tab,6,FALSE()), AH$5 &lt;= VLOOKUP($P463,Member_Tab,7,FALSE())),1,0))  )</f>
        <v>0</v>
      </c>
      <c r="AI463" s="76" t="n">
        <f aca="false">IF(ISERROR(VLOOKUP($P463,Member_Tab,4,FALSE())),0,(VLOOKUP($P463,Member_Tab,4,FALSE()) * 0.2 * AI$7) * (IF(AND(AI$5 &gt;= VLOOKUP($P463,Member_Tab,6,FALSE()), AI$5 &lt;= VLOOKUP($P463,Member_Tab,7,FALSE())),1,0))  )</f>
        <v>0</v>
      </c>
      <c r="AJ463" s="76" t="n">
        <f aca="false">IF(ISERROR(VLOOKUP($P463,Member_Tab,4,FALSE())),0,(VLOOKUP($P463,Member_Tab,4,FALSE()) * 0.2 * AJ$7) * (IF(AND(AJ$5 &gt;= VLOOKUP($P463,Member_Tab,6,FALSE()), AJ$5 &lt;= VLOOKUP($P463,Member_Tab,7,FALSE())),1,0))  )</f>
        <v>0</v>
      </c>
      <c r="AK463" s="76" t="n">
        <f aca="false">IF(ISERROR(VLOOKUP($P463,Member_Tab,4,FALSE())),0,(VLOOKUP($P463,Member_Tab,4,FALSE()) * 0.2 * AK$7) * (IF(AND(AK$5 &gt;= VLOOKUP($P463,Member_Tab,6,FALSE()), AK$5 &lt;= VLOOKUP($P463,Member_Tab,7,FALSE())),1,0))  )</f>
        <v>0</v>
      </c>
      <c r="AL463" s="76" t="n">
        <f aca="false">IF(ISERROR(VLOOKUP($P463,Member_Tab,4,FALSE())),0,(VLOOKUP($P463,Member_Tab,4,FALSE()) * 0.2 * AL$7) * (IF(AND(AL$5 &gt;= VLOOKUP($P463,Member_Tab,6,FALSE()), AL$5 &lt;= VLOOKUP($P463,Member_Tab,7,FALSE())),1,0))  )</f>
        <v>0</v>
      </c>
      <c r="AM463" s="76" t="n">
        <f aca="false">IF(ISERROR(VLOOKUP($P463,Member_Tab,4,FALSE())),0,(VLOOKUP($P463,Member_Tab,4,FALSE()) * 0.2 * AM$7) * (IF(AND(AM$5 &gt;= VLOOKUP($P463,Member_Tab,6,FALSE()), AM$5 &lt;= VLOOKUP($P463,Member_Tab,7,FALSE())),1,0))  )</f>
        <v>0</v>
      </c>
      <c r="AN463" s="76" t="n">
        <f aca="false">IF(ISERROR(VLOOKUP($P463,Member_Tab,4,FALSE())),0,(VLOOKUP($P463,Member_Tab,4,FALSE()) * 0.2 * AN$7) * (IF(AND(AN$5 &gt;= VLOOKUP($P463,Member_Tab,6,FALSE()), AN$5 &lt;= VLOOKUP($P463,Member_Tab,7,FALSE())),1,0))  )</f>
        <v>0</v>
      </c>
      <c r="AO463" s="76" t="n">
        <f aca="false">IF(ISERROR(VLOOKUP($P463,Member_Tab,4,FALSE())),0,(VLOOKUP($P463,Member_Tab,4,FALSE()) * 0.2 * AO$7) * (IF(AND(AO$5 &gt;= VLOOKUP($P463,Member_Tab,6,FALSE()), AO$5 &lt;= VLOOKUP($P463,Member_Tab,7,FALSE())),1,0))  )</f>
        <v>0</v>
      </c>
      <c r="AP463" s="76" t="n">
        <f aca="false">IF(ISERROR(VLOOKUP($P463,Member_Tab,4,FALSE())),0,(VLOOKUP($P463,Member_Tab,4,FALSE()) * 0.2 * AP$7) * (IF(AND(AP$5 &gt;= VLOOKUP($P463,Member_Tab,6,FALSE()), AP$5 &lt;= VLOOKUP($P463,Member_Tab,7,FALSE())),1,0))  )</f>
        <v>0</v>
      </c>
      <c r="AQ463" s="76" t="n">
        <f aca="false">IF(ISERROR(VLOOKUP($P463,Member_Tab,4,FALSE())),0,(VLOOKUP($P463,Member_Tab,4,FALSE()) * 0.2 * AQ$7) * (IF(AND(AQ$5 &gt;= VLOOKUP($P463,Member_Tab,6,FALSE()), AQ$5 &lt;= VLOOKUP($P463,Member_Tab,7,FALSE())),1,0))  )</f>
        <v>0</v>
      </c>
      <c r="AR463" s="76" t="n">
        <f aca="false">IF(ISERROR(VLOOKUP($P463,Member_Tab,4,FALSE())),0,(VLOOKUP($P463,Member_Tab,4,FALSE()) * 0.2 * AR$7) * (IF(AND(AR$5 &gt;= VLOOKUP($P463,Member_Tab,6,FALSE()), AR$5 &lt;= VLOOKUP($P463,Member_Tab,7,FALSE())),1,0))  )</f>
        <v>0</v>
      </c>
      <c r="AS463" s="76" t="n">
        <f aca="false">IF(ISERROR(VLOOKUP($P463,Member_Tab,4,FALSE())),0,(VLOOKUP($P463,Member_Tab,4,FALSE()) * 0.2 * AS$7) * (IF(AND(AS$5 &gt;= VLOOKUP($P463,Member_Tab,6,FALSE()), AS$5 &lt;= VLOOKUP($P463,Member_Tab,7,FALSE())),1,0))  )</f>
        <v>0</v>
      </c>
      <c r="AT463" s="76" t="n">
        <f aca="false">IF(ISERROR(VLOOKUP($P463,Member_Tab,4,FALSE())),0,(VLOOKUP($P463,Member_Tab,4,FALSE()) * 0.2 * AT$7) * (IF(AND(AT$5 &gt;= VLOOKUP($P463,Member_Tab,6,FALSE()), AT$5 &lt;= VLOOKUP($P463,Member_Tab,7,FALSE())),1,0))  )</f>
        <v>0</v>
      </c>
      <c r="AU463" s="76" t="n">
        <f aca="false">IF(ISERROR(VLOOKUP($P463,Member_Tab,4,FALSE())),0,(VLOOKUP($P463,Member_Tab,4,FALSE()) * 0.2 * AU$7) * (IF(AND(AU$5 &gt;= VLOOKUP($P463,Member_Tab,6,FALSE()), AU$5 &lt;= VLOOKUP($P463,Member_Tab,7,FALSE())),1,0))  )</f>
        <v>0</v>
      </c>
      <c r="AV463" s="76" t="n">
        <f aca="false">IF(ISERROR(VLOOKUP($P463,Member_Tab,4,FALSE())),0,(VLOOKUP($P463,Member_Tab,4,FALSE()) * 0.2 * AV$7) * (IF(AND(AV$5 &gt;= VLOOKUP($P463,Member_Tab,6,FALSE()), AV$5 &lt;= VLOOKUP($P463,Member_Tab,7,FALSE())),1,0))  )</f>
        <v>0</v>
      </c>
      <c r="AW463" s="76" t="n">
        <f aca="false">IF(ISERROR(VLOOKUP($P463,Member_Tab,4,FALSE())),0,(VLOOKUP($P463,Member_Tab,4,FALSE()) * 0.2 * AW$7) * (IF(AND(AW$5 &gt;= VLOOKUP($P463,Member_Tab,6,FALSE()), AW$5 &lt;= VLOOKUP($P463,Member_Tab,7,FALSE())),1,0))  )</f>
        <v>0</v>
      </c>
      <c r="AX463" s="76" t="n">
        <f aca="false">IF(ISERROR(VLOOKUP($P463,Member_Tab,4,FALSE())),0,(VLOOKUP($P463,Member_Tab,4,FALSE()) * 0.2 * AX$7) * (IF(AND(AX$5 &gt;= VLOOKUP($P463,Member_Tab,6,FALSE()), AX$5 &lt;= VLOOKUP($P463,Member_Tab,7,FALSE())),1,0))  )</f>
        <v>0</v>
      </c>
      <c r="AY463" s="76" t="n">
        <f aca="false">IF(ISERROR(VLOOKUP($P463,Member_Tab,4,FALSE())),0,(VLOOKUP($P463,Member_Tab,4,FALSE()) * 0.2 * AY$7) * (IF(AND(AY$5 &gt;= VLOOKUP($P463,Member_Tab,6,FALSE()), AY$5 &lt;= VLOOKUP($P463,Member_Tab,7,FALSE())),1,0))  )</f>
        <v>0</v>
      </c>
      <c r="AZ463" s="76" t="n">
        <f aca="false">IF(ISERROR(VLOOKUP($P463,Member_Tab,4,FALSE())),0,(VLOOKUP($P463,Member_Tab,4,FALSE()) * 0.2 * AZ$7) * (IF(AND(AZ$5 &gt;= VLOOKUP($P463,Member_Tab,6,FALSE()), AZ$5 &lt;= VLOOKUP($P463,Member_Tab,7,FALSE())),1,0))  )</f>
        <v>0</v>
      </c>
      <c r="BA463" s="76" t="n">
        <f aca="false">IF(ISERROR(VLOOKUP($P463,Member_Tab,4,FALSE())),0,(VLOOKUP($P463,Member_Tab,4,FALSE()) * 0.2 * BA$7) * (IF(AND(BA$5 &gt;= VLOOKUP($P463,Member_Tab,6,FALSE()), BA$5 &lt;= VLOOKUP($P463,Member_Tab,7,FALSE())),1,0))  )</f>
        <v>0</v>
      </c>
      <c r="BB463" s="76" t="n">
        <f aca="false">IF(ISERROR(VLOOKUP($P463,Member_Tab,4,FALSE())),0,(VLOOKUP($P463,Member_Tab,4,FALSE()) * 0.2 * BB$7) * (IF(AND(BB$5 &gt;= VLOOKUP($P463,Member_Tab,6,FALSE()), BB$5 &lt;= VLOOKUP($P463,Member_Tab,7,FALSE())),1,0))  )</f>
        <v>0</v>
      </c>
    </row>
    <row r="464" s="173" customFormat="true" ht="15" hidden="true" customHeight="false" outlineLevel="1" collapsed="false">
      <c r="E464" s="40"/>
      <c r="K464" s="40"/>
      <c r="L464" s="40"/>
      <c r="M464" s="40"/>
      <c r="N464" s="40"/>
      <c r="P464" s="177" t="n">
        <f aca="false">P327</f>
        <v>0</v>
      </c>
      <c r="Q464" s="40"/>
      <c r="R464" s="178"/>
      <c r="S464" s="76" t="n">
        <f aca="false">IF(ISERROR(VLOOKUP($P464,Member_Tab,4,FALSE())),0,(VLOOKUP($P464,Member_Tab,4,FALSE()) * 0.2 * S$7) * (IF(AND(S$5 &gt;= VLOOKUP($P464,Member_Tab,6,FALSE()), S$5 &lt;= VLOOKUP($P464,Member_Tab,7,FALSE())),1,0))  )</f>
        <v>0</v>
      </c>
      <c r="T464" s="76" t="n">
        <f aca="false">IF(ISERROR(VLOOKUP($P464,Member_Tab,4,FALSE())),0,(VLOOKUP($P464,Member_Tab,4,FALSE()) * 0.2 * T$7) * (IF(AND(T$5 &gt;= VLOOKUP($P464,Member_Tab,6,FALSE()), T$5 &lt;= VLOOKUP($P464,Member_Tab,7,FALSE())),1,0))  )</f>
        <v>0</v>
      </c>
      <c r="U464" s="76" t="n">
        <f aca="false">IF(ISERROR(VLOOKUP($P464,Member_Tab,4,FALSE())),0,(VLOOKUP($P464,Member_Tab,4,FALSE()) * 0.2 * U$7) * (IF(AND(U$5 &gt;= VLOOKUP($P464,Member_Tab,6,FALSE()), U$5 &lt;= VLOOKUP($P464,Member_Tab,7,FALSE())),1,0))  )</f>
        <v>0</v>
      </c>
      <c r="V464" s="76" t="n">
        <f aca="false">IF(ISERROR(VLOOKUP($P464,Member_Tab,4,FALSE())),0,(VLOOKUP($P464,Member_Tab,4,FALSE()) * 0.2 * V$7) * (IF(AND(V$5 &gt;= VLOOKUP($P464,Member_Tab,6,FALSE()), V$5 &lt;= VLOOKUP($P464,Member_Tab,7,FALSE())),1,0))  )</f>
        <v>0</v>
      </c>
      <c r="W464" s="76" t="n">
        <f aca="false">IF(ISERROR(VLOOKUP($P464,Member_Tab,4,FALSE())),0,(VLOOKUP($P464,Member_Tab,4,FALSE()) * 0.2 * W$7) * (IF(AND(W$5 &gt;= VLOOKUP($P464,Member_Tab,6,FALSE()), W$5 &lt;= VLOOKUP($P464,Member_Tab,7,FALSE())),1,0))  )</f>
        <v>0</v>
      </c>
      <c r="X464" s="76" t="n">
        <f aca="false">IF(ISERROR(VLOOKUP($P464,Member_Tab,4,FALSE())),0,(VLOOKUP($P464,Member_Tab,4,FALSE()) * 0.2 * X$7) * (IF(AND(X$5 &gt;= VLOOKUP($P464,Member_Tab,6,FALSE()), X$5 &lt;= VLOOKUP($P464,Member_Tab,7,FALSE())),1,0))  )</f>
        <v>0</v>
      </c>
      <c r="Y464" s="76" t="n">
        <f aca="false">IF(ISERROR(VLOOKUP($P464,Member_Tab,4,FALSE())),0,(VLOOKUP($P464,Member_Tab,4,FALSE()) * 0.2 * Y$7) * (IF(AND(Y$5 &gt;= VLOOKUP($P464,Member_Tab,6,FALSE()), Y$5 &lt;= VLOOKUP($P464,Member_Tab,7,FALSE())),1,0))  )</f>
        <v>0</v>
      </c>
      <c r="Z464" s="76" t="n">
        <f aca="false">IF(ISERROR(VLOOKUP($P464,Member_Tab,4,FALSE())),0,(VLOOKUP($P464,Member_Tab,4,FALSE()) * 0.2 * Z$7) * (IF(AND(Z$5 &gt;= VLOOKUP($P464,Member_Tab,6,FALSE()), Z$5 &lt;= VLOOKUP($P464,Member_Tab,7,FALSE())),1,0))  )</f>
        <v>0</v>
      </c>
      <c r="AA464" s="76" t="n">
        <f aca="false">IF(ISERROR(VLOOKUP($P464,Member_Tab,4,FALSE())),0,(VLOOKUP($P464,Member_Tab,4,FALSE()) * 0.2 * AA$7) * (IF(AND(AA$5 &gt;= VLOOKUP($P464,Member_Tab,6,FALSE()), AA$5 &lt;= VLOOKUP($P464,Member_Tab,7,FALSE())),1,0))  )</f>
        <v>0</v>
      </c>
      <c r="AB464" s="76" t="n">
        <f aca="false">IF(ISERROR(VLOOKUP($P464,Member_Tab,4,FALSE())),0,(VLOOKUP($P464,Member_Tab,4,FALSE()) * 0.2 * AB$7) * (IF(AND(AB$5 &gt;= VLOOKUP($P464,Member_Tab,6,FALSE()), AB$5 &lt;= VLOOKUP($P464,Member_Tab,7,FALSE())),1,0))  )</f>
        <v>0</v>
      </c>
      <c r="AC464" s="76" t="n">
        <f aca="false">IF(ISERROR(VLOOKUP($P464,Member_Tab,4,FALSE())),0,(VLOOKUP($P464,Member_Tab,4,FALSE()) * 0.2 * AC$7) * (IF(AND(AC$5 &gt;= VLOOKUP($P464,Member_Tab,6,FALSE()), AC$5 &lt;= VLOOKUP($P464,Member_Tab,7,FALSE())),1,0))  )</f>
        <v>0</v>
      </c>
      <c r="AD464" s="76" t="n">
        <f aca="false">IF(ISERROR(VLOOKUP($P464,Member_Tab,4,FALSE())),0,(VLOOKUP($P464,Member_Tab,4,FALSE()) * 0.2 * AD$7) * (IF(AND(AD$5 &gt;= VLOOKUP($P464,Member_Tab,6,FALSE()), AD$5 &lt;= VLOOKUP($P464,Member_Tab,7,FALSE())),1,0))  )</f>
        <v>0</v>
      </c>
      <c r="AE464" s="76" t="n">
        <f aca="false">IF(ISERROR(VLOOKUP($P464,Member_Tab,4,FALSE())),0,(VLOOKUP($P464,Member_Tab,4,FALSE()) * 0.2 * AE$7) * (IF(AND(AE$5 &gt;= VLOOKUP($P464,Member_Tab,6,FALSE()), AE$5 &lt;= VLOOKUP($P464,Member_Tab,7,FALSE())),1,0))  )</f>
        <v>0</v>
      </c>
      <c r="AF464" s="76" t="n">
        <f aca="false">IF(ISERROR(VLOOKUP($P464,Member_Tab,4,FALSE())),0,(VLOOKUP($P464,Member_Tab,4,FALSE()) * 0.2 * AF$7) * (IF(AND(AF$5 &gt;= VLOOKUP($P464,Member_Tab,6,FALSE()), AF$5 &lt;= VLOOKUP($P464,Member_Tab,7,FALSE())),1,0))  )</f>
        <v>0</v>
      </c>
      <c r="AG464" s="76" t="n">
        <f aca="false">IF(ISERROR(VLOOKUP($P464,Member_Tab,4,FALSE())),0,(VLOOKUP($P464,Member_Tab,4,FALSE()) * 0.2 * AG$7) * (IF(AND(AG$5 &gt;= VLOOKUP($P464,Member_Tab,6,FALSE()), AG$5 &lt;= VLOOKUP($P464,Member_Tab,7,FALSE())),1,0))  )</f>
        <v>0</v>
      </c>
      <c r="AH464" s="76" t="n">
        <f aca="false">IF(ISERROR(VLOOKUP($P464,Member_Tab,4,FALSE())),0,(VLOOKUP($P464,Member_Tab,4,FALSE()) * 0.2 * AH$7) * (IF(AND(AH$5 &gt;= VLOOKUP($P464,Member_Tab,6,FALSE()), AH$5 &lt;= VLOOKUP($P464,Member_Tab,7,FALSE())),1,0))  )</f>
        <v>0</v>
      </c>
      <c r="AI464" s="76" t="n">
        <f aca="false">IF(ISERROR(VLOOKUP($P464,Member_Tab,4,FALSE())),0,(VLOOKUP($P464,Member_Tab,4,FALSE()) * 0.2 * AI$7) * (IF(AND(AI$5 &gt;= VLOOKUP($P464,Member_Tab,6,FALSE()), AI$5 &lt;= VLOOKUP($P464,Member_Tab,7,FALSE())),1,0))  )</f>
        <v>0</v>
      </c>
      <c r="AJ464" s="76" t="n">
        <f aca="false">IF(ISERROR(VLOOKUP($P464,Member_Tab,4,FALSE())),0,(VLOOKUP($P464,Member_Tab,4,FALSE()) * 0.2 * AJ$7) * (IF(AND(AJ$5 &gt;= VLOOKUP($P464,Member_Tab,6,FALSE()), AJ$5 &lt;= VLOOKUP($P464,Member_Tab,7,FALSE())),1,0))  )</f>
        <v>0</v>
      </c>
      <c r="AK464" s="76" t="n">
        <f aca="false">IF(ISERROR(VLOOKUP($P464,Member_Tab,4,FALSE())),0,(VLOOKUP($P464,Member_Tab,4,FALSE()) * 0.2 * AK$7) * (IF(AND(AK$5 &gt;= VLOOKUP($P464,Member_Tab,6,FALSE()), AK$5 &lt;= VLOOKUP($P464,Member_Tab,7,FALSE())),1,0))  )</f>
        <v>0</v>
      </c>
      <c r="AL464" s="76" t="n">
        <f aca="false">IF(ISERROR(VLOOKUP($P464,Member_Tab,4,FALSE())),0,(VLOOKUP($P464,Member_Tab,4,FALSE()) * 0.2 * AL$7) * (IF(AND(AL$5 &gt;= VLOOKUP($P464,Member_Tab,6,FALSE()), AL$5 &lt;= VLOOKUP($P464,Member_Tab,7,FALSE())),1,0))  )</f>
        <v>0</v>
      </c>
      <c r="AM464" s="76" t="n">
        <f aca="false">IF(ISERROR(VLOOKUP($P464,Member_Tab,4,FALSE())),0,(VLOOKUP($P464,Member_Tab,4,FALSE()) * 0.2 * AM$7) * (IF(AND(AM$5 &gt;= VLOOKUP($P464,Member_Tab,6,FALSE()), AM$5 &lt;= VLOOKUP($P464,Member_Tab,7,FALSE())),1,0))  )</f>
        <v>0</v>
      </c>
      <c r="AN464" s="76" t="n">
        <f aca="false">IF(ISERROR(VLOOKUP($P464,Member_Tab,4,FALSE())),0,(VLOOKUP($P464,Member_Tab,4,FALSE()) * 0.2 * AN$7) * (IF(AND(AN$5 &gt;= VLOOKUP($P464,Member_Tab,6,FALSE()), AN$5 &lt;= VLOOKUP($P464,Member_Tab,7,FALSE())),1,0))  )</f>
        <v>0</v>
      </c>
      <c r="AO464" s="76" t="n">
        <f aca="false">IF(ISERROR(VLOOKUP($P464,Member_Tab,4,FALSE())),0,(VLOOKUP($P464,Member_Tab,4,FALSE()) * 0.2 * AO$7) * (IF(AND(AO$5 &gt;= VLOOKUP($P464,Member_Tab,6,FALSE()), AO$5 &lt;= VLOOKUP($P464,Member_Tab,7,FALSE())),1,0))  )</f>
        <v>0</v>
      </c>
      <c r="AP464" s="76" t="n">
        <f aca="false">IF(ISERROR(VLOOKUP($P464,Member_Tab,4,FALSE())),0,(VLOOKUP($P464,Member_Tab,4,FALSE()) * 0.2 * AP$7) * (IF(AND(AP$5 &gt;= VLOOKUP($P464,Member_Tab,6,FALSE()), AP$5 &lt;= VLOOKUP($P464,Member_Tab,7,FALSE())),1,0))  )</f>
        <v>0</v>
      </c>
      <c r="AQ464" s="76" t="n">
        <f aca="false">IF(ISERROR(VLOOKUP($P464,Member_Tab,4,FALSE())),0,(VLOOKUP($P464,Member_Tab,4,FALSE()) * 0.2 * AQ$7) * (IF(AND(AQ$5 &gt;= VLOOKUP($P464,Member_Tab,6,FALSE()), AQ$5 &lt;= VLOOKUP($P464,Member_Tab,7,FALSE())),1,0))  )</f>
        <v>0</v>
      </c>
      <c r="AR464" s="76" t="n">
        <f aca="false">IF(ISERROR(VLOOKUP($P464,Member_Tab,4,FALSE())),0,(VLOOKUP($P464,Member_Tab,4,FALSE()) * 0.2 * AR$7) * (IF(AND(AR$5 &gt;= VLOOKUP($P464,Member_Tab,6,FALSE()), AR$5 &lt;= VLOOKUP($P464,Member_Tab,7,FALSE())),1,0))  )</f>
        <v>0</v>
      </c>
      <c r="AS464" s="76" t="n">
        <f aca="false">IF(ISERROR(VLOOKUP($P464,Member_Tab,4,FALSE())),0,(VLOOKUP($P464,Member_Tab,4,FALSE()) * 0.2 * AS$7) * (IF(AND(AS$5 &gt;= VLOOKUP($P464,Member_Tab,6,FALSE()), AS$5 &lt;= VLOOKUP($P464,Member_Tab,7,FALSE())),1,0))  )</f>
        <v>0</v>
      </c>
      <c r="AT464" s="76" t="n">
        <f aca="false">IF(ISERROR(VLOOKUP($P464,Member_Tab,4,FALSE())),0,(VLOOKUP($P464,Member_Tab,4,FALSE()) * 0.2 * AT$7) * (IF(AND(AT$5 &gt;= VLOOKUP($P464,Member_Tab,6,FALSE()), AT$5 &lt;= VLOOKUP($P464,Member_Tab,7,FALSE())),1,0))  )</f>
        <v>0</v>
      </c>
      <c r="AU464" s="76" t="n">
        <f aca="false">IF(ISERROR(VLOOKUP($P464,Member_Tab,4,FALSE())),0,(VLOOKUP($P464,Member_Tab,4,FALSE()) * 0.2 * AU$7) * (IF(AND(AU$5 &gt;= VLOOKUP($P464,Member_Tab,6,FALSE()), AU$5 &lt;= VLOOKUP($P464,Member_Tab,7,FALSE())),1,0))  )</f>
        <v>0</v>
      </c>
      <c r="AV464" s="76" t="n">
        <f aca="false">IF(ISERROR(VLOOKUP($P464,Member_Tab,4,FALSE())),0,(VLOOKUP($P464,Member_Tab,4,FALSE()) * 0.2 * AV$7) * (IF(AND(AV$5 &gt;= VLOOKUP($P464,Member_Tab,6,FALSE()), AV$5 &lt;= VLOOKUP($P464,Member_Tab,7,FALSE())),1,0))  )</f>
        <v>0</v>
      </c>
      <c r="AW464" s="76" t="n">
        <f aca="false">IF(ISERROR(VLOOKUP($P464,Member_Tab,4,FALSE())),0,(VLOOKUP($P464,Member_Tab,4,FALSE()) * 0.2 * AW$7) * (IF(AND(AW$5 &gt;= VLOOKUP($P464,Member_Tab,6,FALSE()), AW$5 &lt;= VLOOKUP($P464,Member_Tab,7,FALSE())),1,0))  )</f>
        <v>0</v>
      </c>
      <c r="AX464" s="76" t="n">
        <f aca="false">IF(ISERROR(VLOOKUP($P464,Member_Tab,4,FALSE())),0,(VLOOKUP($P464,Member_Tab,4,FALSE()) * 0.2 * AX$7) * (IF(AND(AX$5 &gt;= VLOOKUP($P464,Member_Tab,6,FALSE()), AX$5 &lt;= VLOOKUP($P464,Member_Tab,7,FALSE())),1,0))  )</f>
        <v>0</v>
      </c>
      <c r="AY464" s="76" t="n">
        <f aca="false">IF(ISERROR(VLOOKUP($P464,Member_Tab,4,FALSE())),0,(VLOOKUP($P464,Member_Tab,4,FALSE()) * 0.2 * AY$7) * (IF(AND(AY$5 &gt;= VLOOKUP($P464,Member_Tab,6,FALSE()), AY$5 &lt;= VLOOKUP($P464,Member_Tab,7,FALSE())),1,0))  )</f>
        <v>0</v>
      </c>
      <c r="AZ464" s="76" t="n">
        <f aca="false">IF(ISERROR(VLOOKUP($P464,Member_Tab,4,FALSE())),0,(VLOOKUP($P464,Member_Tab,4,FALSE()) * 0.2 * AZ$7) * (IF(AND(AZ$5 &gt;= VLOOKUP($P464,Member_Tab,6,FALSE()), AZ$5 &lt;= VLOOKUP($P464,Member_Tab,7,FALSE())),1,0))  )</f>
        <v>0</v>
      </c>
      <c r="BA464" s="76" t="n">
        <f aca="false">IF(ISERROR(VLOOKUP($P464,Member_Tab,4,FALSE())),0,(VLOOKUP($P464,Member_Tab,4,FALSE()) * 0.2 * BA$7) * (IF(AND(BA$5 &gt;= VLOOKUP($P464,Member_Tab,6,FALSE()), BA$5 &lt;= VLOOKUP($P464,Member_Tab,7,FALSE())),1,0))  )</f>
        <v>0</v>
      </c>
      <c r="BB464" s="76" t="n">
        <f aca="false">IF(ISERROR(VLOOKUP($P464,Member_Tab,4,FALSE())),0,(VLOOKUP($P464,Member_Tab,4,FALSE()) * 0.2 * BB$7) * (IF(AND(BB$5 &gt;= VLOOKUP($P464,Member_Tab,6,FALSE()), BB$5 &lt;= VLOOKUP($P464,Member_Tab,7,FALSE())),1,0))  )</f>
        <v>0</v>
      </c>
    </row>
    <row r="465" s="173" customFormat="true" ht="15" hidden="true" customHeight="false" outlineLevel="1" collapsed="false">
      <c r="E465" s="40"/>
      <c r="K465" s="40"/>
      <c r="L465" s="40"/>
      <c r="M465" s="40"/>
      <c r="N465" s="40"/>
      <c r="P465" s="177" t="n">
        <f aca="false">P328</f>
        <v>0</v>
      </c>
      <c r="Q465" s="40"/>
      <c r="R465" s="178"/>
      <c r="S465" s="76" t="n">
        <f aca="false">IF(ISERROR(VLOOKUP($P465,Member_Tab,4,FALSE())),0,(VLOOKUP($P465,Member_Tab,4,FALSE()) * 0.2 * S$7) * (IF(AND(S$5 &gt;= VLOOKUP($P465,Member_Tab,6,FALSE()), S$5 &lt;= VLOOKUP($P465,Member_Tab,7,FALSE())),1,0))  )</f>
        <v>0</v>
      </c>
      <c r="T465" s="76" t="n">
        <f aca="false">IF(ISERROR(VLOOKUP($P465,Member_Tab,4,FALSE())),0,(VLOOKUP($P465,Member_Tab,4,FALSE()) * 0.2 * T$7) * (IF(AND(T$5 &gt;= VLOOKUP($P465,Member_Tab,6,FALSE()), T$5 &lt;= VLOOKUP($P465,Member_Tab,7,FALSE())),1,0))  )</f>
        <v>0</v>
      </c>
      <c r="U465" s="76" t="n">
        <f aca="false">IF(ISERROR(VLOOKUP($P465,Member_Tab,4,FALSE())),0,(VLOOKUP($P465,Member_Tab,4,FALSE()) * 0.2 * U$7) * (IF(AND(U$5 &gt;= VLOOKUP($P465,Member_Tab,6,FALSE()), U$5 &lt;= VLOOKUP($P465,Member_Tab,7,FALSE())),1,0))  )</f>
        <v>0</v>
      </c>
      <c r="V465" s="76" t="n">
        <f aca="false">IF(ISERROR(VLOOKUP($P465,Member_Tab,4,FALSE())),0,(VLOOKUP($P465,Member_Tab,4,FALSE()) * 0.2 * V$7) * (IF(AND(V$5 &gt;= VLOOKUP($P465,Member_Tab,6,FALSE()), V$5 &lt;= VLOOKUP($P465,Member_Tab,7,FALSE())),1,0))  )</f>
        <v>0</v>
      </c>
      <c r="W465" s="76" t="n">
        <f aca="false">IF(ISERROR(VLOOKUP($P465,Member_Tab,4,FALSE())),0,(VLOOKUP($P465,Member_Tab,4,FALSE()) * 0.2 * W$7) * (IF(AND(W$5 &gt;= VLOOKUP($P465,Member_Tab,6,FALSE()), W$5 &lt;= VLOOKUP($P465,Member_Tab,7,FALSE())),1,0))  )</f>
        <v>0</v>
      </c>
      <c r="X465" s="76" t="n">
        <f aca="false">IF(ISERROR(VLOOKUP($P465,Member_Tab,4,FALSE())),0,(VLOOKUP($P465,Member_Tab,4,FALSE()) * 0.2 * X$7) * (IF(AND(X$5 &gt;= VLOOKUP($P465,Member_Tab,6,FALSE()), X$5 &lt;= VLOOKUP($P465,Member_Tab,7,FALSE())),1,0))  )</f>
        <v>0</v>
      </c>
      <c r="Y465" s="76" t="n">
        <f aca="false">IF(ISERROR(VLOOKUP($P465,Member_Tab,4,FALSE())),0,(VLOOKUP($P465,Member_Tab,4,FALSE()) * 0.2 * Y$7) * (IF(AND(Y$5 &gt;= VLOOKUP($P465,Member_Tab,6,FALSE()), Y$5 &lt;= VLOOKUP($P465,Member_Tab,7,FALSE())),1,0))  )</f>
        <v>0</v>
      </c>
      <c r="Z465" s="76" t="n">
        <f aca="false">IF(ISERROR(VLOOKUP($P465,Member_Tab,4,FALSE())),0,(VLOOKUP($P465,Member_Tab,4,FALSE()) * 0.2 * Z$7) * (IF(AND(Z$5 &gt;= VLOOKUP($P465,Member_Tab,6,FALSE()), Z$5 &lt;= VLOOKUP($P465,Member_Tab,7,FALSE())),1,0))  )</f>
        <v>0</v>
      </c>
      <c r="AA465" s="76" t="n">
        <f aca="false">IF(ISERROR(VLOOKUP($P465,Member_Tab,4,FALSE())),0,(VLOOKUP($P465,Member_Tab,4,FALSE()) * 0.2 * AA$7) * (IF(AND(AA$5 &gt;= VLOOKUP($P465,Member_Tab,6,FALSE()), AA$5 &lt;= VLOOKUP($P465,Member_Tab,7,FALSE())),1,0))  )</f>
        <v>0</v>
      </c>
      <c r="AB465" s="76" t="n">
        <f aca="false">IF(ISERROR(VLOOKUP($P465,Member_Tab,4,FALSE())),0,(VLOOKUP($P465,Member_Tab,4,FALSE()) * 0.2 * AB$7) * (IF(AND(AB$5 &gt;= VLOOKUP($P465,Member_Tab,6,FALSE()), AB$5 &lt;= VLOOKUP($P465,Member_Tab,7,FALSE())),1,0))  )</f>
        <v>0</v>
      </c>
      <c r="AC465" s="76" t="n">
        <f aca="false">IF(ISERROR(VLOOKUP($P465,Member_Tab,4,FALSE())),0,(VLOOKUP($P465,Member_Tab,4,FALSE()) * 0.2 * AC$7) * (IF(AND(AC$5 &gt;= VLOOKUP($P465,Member_Tab,6,FALSE()), AC$5 &lt;= VLOOKUP($P465,Member_Tab,7,FALSE())),1,0))  )</f>
        <v>0</v>
      </c>
      <c r="AD465" s="76" t="n">
        <f aca="false">IF(ISERROR(VLOOKUP($P465,Member_Tab,4,FALSE())),0,(VLOOKUP($P465,Member_Tab,4,FALSE()) * 0.2 * AD$7) * (IF(AND(AD$5 &gt;= VLOOKUP($P465,Member_Tab,6,FALSE()), AD$5 &lt;= VLOOKUP($P465,Member_Tab,7,FALSE())),1,0))  )</f>
        <v>0</v>
      </c>
      <c r="AE465" s="76" t="n">
        <f aca="false">IF(ISERROR(VLOOKUP($P465,Member_Tab,4,FALSE())),0,(VLOOKUP($P465,Member_Tab,4,FALSE()) * 0.2 * AE$7) * (IF(AND(AE$5 &gt;= VLOOKUP($P465,Member_Tab,6,FALSE()), AE$5 &lt;= VLOOKUP($P465,Member_Tab,7,FALSE())),1,0))  )</f>
        <v>0</v>
      </c>
      <c r="AF465" s="76" t="n">
        <f aca="false">IF(ISERROR(VLOOKUP($P465,Member_Tab,4,FALSE())),0,(VLOOKUP($P465,Member_Tab,4,FALSE()) * 0.2 * AF$7) * (IF(AND(AF$5 &gt;= VLOOKUP($P465,Member_Tab,6,FALSE()), AF$5 &lt;= VLOOKUP($P465,Member_Tab,7,FALSE())),1,0))  )</f>
        <v>0</v>
      </c>
      <c r="AG465" s="76" t="n">
        <f aca="false">IF(ISERROR(VLOOKUP($P465,Member_Tab,4,FALSE())),0,(VLOOKUP($P465,Member_Tab,4,FALSE()) * 0.2 * AG$7) * (IF(AND(AG$5 &gt;= VLOOKUP($P465,Member_Tab,6,FALSE()), AG$5 &lt;= VLOOKUP($P465,Member_Tab,7,FALSE())),1,0))  )</f>
        <v>0</v>
      </c>
      <c r="AH465" s="76" t="n">
        <f aca="false">IF(ISERROR(VLOOKUP($P465,Member_Tab,4,FALSE())),0,(VLOOKUP($P465,Member_Tab,4,FALSE()) * 0.2 * AH$7) * (IF(AND(AH$5 &gt;= VLOOKUP($P465,Member_Tab,6,FALSE()), AH$5 &lt;= VLOOKUP($P465,Member_Tab,7,FALSE())),1,0))  )</f>
        <v>0</v>
      </c>
      <c r="AI465" s="76" t="n">
        <f aca="false">IF(ISERROR(VLOOKUP($P465,Member_Tab,4,FALSE())),0,(VLOOKUP($P465,Member_Tab,4,FALSE()) * 0.2 * AI$7) * (IF(AND(AI$5 &gt;= VLOOKUP($P465,Member_Tab,6,FALSE()), AI$5 &lt;= VLOOKUP($P465,Member_Tab,7,FALSE())),1,0))  )</f>
        <v>0</v>
      </c>
      <c r="AJ465" s="76" t="n">
        <f aca="false">IF(ISERROR(VLOOKUP($P465,Member_Tab,4,FALSE())),0,(VLOOKUP($P465,Member_Tab,4,FALSE()) * 0.2 * AJ$7) * (IF(AND(AJ$5 &gt;= VLOOKUP($P465,Member_Tab,6,FALSE()), AJ$5 &lt;= VLOOKUP($P465,Member_Tab,7,FALSE())),1,0))  )</f>
        <v>0</v>
      </c>
      <c r="AK465" s="76" t="n">
        <f aca="false">IF(ISERROR(VLOOKUP($P465,Member_Tab,4,FALSE())),0,(VLOOKUP($P465,Member_Tab,4,FALSE()) * 0.2 * AK$7) * (IF(AND(AK$5 &gt;= VLOOKUP($P465,Member_Tab,6,FALSE()), AK$5 &lt;= VLOOKUP($P465,Member_Tab,7,FALSE())),1,0))  )</f>
        <v>0</v>
      </c>
      <c r="AL465" s="76" t="n">
        <f aca="false">IF(ISERROR(VLOOKUP($P465,Member_Tab,4,FALSE())),0,(VLOOKUP($P465,Member_Tab,4,FALSE()) * 0.2 * AL$7) * (IF(AND(AL$5 &gt;= VLOOKUP($P465,Member_Tab,6,FALSE()), AL$5 &lt;= VLOOKUP($P465,Member_Tab,7,FALSE())),1,0))  )</f>
        <v>0</v>
      </c>
      <c r="AM465" s="76" t="n">
        <f aca="false">IF(ISERROR(VLOOKUP($P465,Member_Tab,4,FALSE())),0,(VLOOKUP($P465,Member_Tab,4,FALSE()) * 0.2 * AM$7) * (IF(AND(AM$5 &gt;= VLOOKUP($P465,Member_Tab,6,FALSE()), AM$5 &lt;= VLOOKUP($P465,Member_Tab,7,FALSE())),1,0))  )</f>
        <v>0</v>
      </c>
      <c r="AN465" s="76" t="n">
        <f aca="false">IF(ISERROR(VLOOKUP($P465,Member_Tab,4,FALSE())),0,(VLOOKUP($P465,Member_Tab,4,FALSE()) * 0.2 * AN$7) * (IF(AND(AN$5 &gt;= VLOOKUP($P465,Member_Tab,6,FALSE()), AN$5 &lt;= VLOOKUP($P465,Member_Tab,7,FALSE())),1,0))  )</f>
        <v>0</v>
      </c>
      <c r="AO465" s="76" t="n">
        <f aca="false">IF(ISERROR(VLOOKUP($P465,Member_Tab,4,FALSE())),0,(VLOOKUP($P465,Member_Tab,4,FALSE()) * 0.2 * AO$7) * (IF(AND(AO$5 &gt;= VLOOKUP($P465,Member_Tab,6,FALSE()), AO$5 &lt;= VLOOKUP($P465,Member_Tab,7,FALSE())),1,0))  )</f>
        <v>0</v>
      </c>
      <c r="AP465" s="76" t="n">
        <f aca="false">IF(ISERROR(VLOOKUP($P465,Member_Tab,4,FALSE())),0,(VLOOKUP($P465,Member_Tab,4,FALSE()) * 0.2 * AP$7) * (IF(AND(AP$5 &gt;= VLOOKUP($P465,Member_Tab,6,FALSE()), AP$5 &lt;= VLOOKUP($P465,Member_Tab,7,FALSE())),1,0))  )</f>
        <v>0</v>
      </c>
      <c r="AQ465" s="76" t="n">
        <f aca="false">IF(ISERROR(VLOOKUP($P465,Member_Tab,4,FALSE())),0,(VLOOKUP($P465,Member_Tab,4,FALSE()) * 0.2 * AQ$7) * (IF(AND(AQ$5 &gt;= VLOOKUP($P465,Member_Tab,6,FALSE()), AQ$5 &lt;= VLOOKUP($P465,Member_Tab,7,FALSE())),1,0))  )</f>
        <v>0</v>
      </c>
      <c r="AR465" s="76" t="n">
        <f aca="false">IF(ISERROR(VLOOKUP($P465,Member_Tab,4,FALSE())),0,(VLOOKUP($P465,Member_Tab,4,FALSE()) * 0.2 * AR$7) * (IF(AND(AR$5 &gt;= VLOOKUP($P465,Member_Tab,6,FALSE()), AR$5 &lt;= VLOOKUP($P465,Member_Tab,7,FALSE())),1,0))  )</f>
        <v>0</v>
      </c>
      <c r="AS465" s="76" t="n">
        <f aca="false">IF(ISERROR(VLOOKUP($P465,Member_Tab,4,FALSE())),0,(VLOOKUP($P465,Member_Tab,4,FALSE()) * 0.2 * AS$7) * (IF(AND(AS$5 &gt;= VLOOKUP($P465,Member_Tab,6,FALSE()), AS$5 &lt;= VLOOKUP($P465,Member_Tab,7,FALSE())),1,0))  )</f>
        <v>0</v>
      </c>
      <c r="AT465" s="76" t="n">
        <f aca="false">IF(ISERROR(VLOOKUP($P465,Member_Tab,4,FALSE())),0,(VLOOKUP($P465,Member_Tab,4,FALSE()) * 0.2 * AT$7) * (IF(AND(AT$5 &gt;= VLOOKUP($P465,Member_Tab,6,FALSE()), AT$5 &lt;= VLOOKUP($P465,Member_Tab,7,FALSE())),1,0))  )</f>
        <v>0</v>
      </c>
      <c r="AU465" s="76" t="n">
        <f aca="false">IF(ISERROR(VLOOKUP($P465,Member_Tab,4,FALSE())),0,(VLOOKUP($P465,Member_Tab,4,FALSE()) * 0.2 * AU$7) * (IF(AND(AU$5 &gt;= VLOOKUP($P465,Member_Tab,6,FALSE()), AU$5 &lt;= VLOOKUP($P465,Member_Tab,7,FALSE())),1,0))  )</f>
        <v>0</v>
      </c>
      <c r="AV465" s="76" t="n">
        <f aca="false">IF(ISERROR(VLOOKUP($P465,Member_Tab,4,FALSE())),0,(VLOOKUP($P465,Member_Tab,4,FALSE()) * 0.2 * AV$7) * (IF(AND(AV$5 &gt;= VLOOKUP($P465,Member_Tab,6,FALSE()), AV$5 &lt;= VLOOKUP($P465,Member_Tab,7,FALSE())),1,0))  )</f>
        <v>0</v>
      </c>
      <c r="AW465" s="76" t="n">
        <f aca="false">IF(ISERROR(VLOOKUP($P465,Member_Tab,4,FALSE())),0,(VLOOKUP($P465,Member_Tab,4,FALSE()) * 0.2 * AW$7) * (IF(AND(AW$5 &gt;= VLOOKUP($P465,Member_Tab,6,FALSE()), AW$5 &lt;= VLOOKUP($P465,Member_Tab,7,FALSE())),1,0))  )</f>
        <v>0</v>
      </c>
      <c r="AX465" s="76" t="n">
        <f aca="false">IF(ISERROR(VLOOKUP($P465,Member_Tab,4,FALSE())),0,(VLOOKUP($P465,Member_Tab,4,FALSE()) * 0.2 * AX$7) * (IF(AND(AX$5 &gt;= VLOOKUP($P465,Member_Tab,6,FALSE()), AX$5 &lt;= VLOOKUP($P465,Member_Tab,7,FALSE())),1,0))  )</f>
        <v>0</v>
      </c>
      <c r="AY465" s="76" t="n">
        <f aca="false">IF(ISERROR(VLOOKUP($P465,Member_Tab,4,FALSE())),0,(VLOOKUP($P465,Member_Tab,4,FALSE()) * 0.2 * AY$7) * (IF(AND(AY$5 &gt;= VLOOKUP($P465,Member_Tab,6,FALSE()), AY$5 &lt;= VLOOKUP($P465,Member_Tab,7,FALSE())),1,0))  )</f>
        <v>0</v>
      </c>
      <c r="AZ465" s="76" t="n">
        <f aca="false">IF(ISERROR(VLOOKUP($P465,Member_Tab,4,FALSE())),0,(VLOOKUP($P465,Member_Tab,4,FALSE()) * 0.2 * AZ$7) * (IF(AND(AZ$5 &gt;= VLOOKUP($P465,Member_Tab,6,FALSE()), AZ$5 &lt;= VLOOKUP($P465,Member_Tab,7,FALSE())),1,0))  )</f>
        <v>0</v>
      </c>
      <c r="BA465" s="76" t="n">
        <f aca="false">IF(ISERROR(VLOOKUP($P465,Member_Tab,4,FALSE())),0,(VLOOKUP($P465,Member_Tab,4,FALSE()) * 0.2 * BA$7) * (IF(AND(BA$5 &gt;= VLOOKUP($P465,Member_Tab,6,FALSE()), BA$5 &lt;= VLOOKUP($P465,Member_Tab,7,FALSE())),1,0))  )</f>
        <v>0</v>
      </c>
      <c r="BB465" s="76" t="n">
        <f aca="false">IF(ISERROR(VLOOKUP($P465,Member_Tab,4,FALSE())),0,(VLOOKUP($P465,Member_Tab,4,FALSE()) * 0.2 * BB$7) * (IF(AND(BB$5 &gt;= VLOOKUP($P465,Member_Tab,6,FALSE()), BB$5 &lt;= VLOOKUP($P465,Member_Tab,7,FALSE())),1,0))  )</f>
        <v>0</v>
      </c>
    </row>
    <row r="466" s="173" customFormat="true" ht="15" hidden="true" customHeight="false" outlineLevel="1" collapsed="false">
      <c r="E466" s="40"/>
      <c r="K466" s="40"/>
      <c r="L466" s="40"/>
      <c r="M466" s="40"/>
      <c r="N466" s="40"/>
      <c r="P466" s="177" t="n">
        <f aca="false">P329</f>
        <v>0</v>
      </c>
      <c r="Q466" s="40"/>
      <c r="R466" s="178"/>
      <c r="S466" s="76" t="n">
        <f aca="false">IF(ISERROR(VLOOKUP($P466,Member_Tab,4,FALSE())),0,(VLOOKUP($P466,Member_Tab,4,FALSE()) * 0.2 * S$7) * (IF(AND(S$5 &gt;= VLOOKUP($P466,Member_Tab,6,FALSE()), S$5 &lt;= VLOOKUP($P466,Member_Tab,7,FALSE())),1,0))  )</f>
        <v>0</v>
      </c>
      <c r="T466" s="76" t="n">
        <f aca="false">IF(ISERROR(VLOOKUP($P466,Member_Tab,4,FALSE())),0,(VLOOKUP($P466,Member_Tab,4,FALSE()) * 0.2 * T$7) * (IF(AND(T$5 &gt;= VLOOKUP($P466,Member_Tab,6,FALSE()), T$5 &lt;= VLOOKUP($P466,Member_Tab,7,FALSE())),1,0))  )</f>
        <v>0</v>
      </c>
      <c r="U466" s="76" t="n">
        <f aca="false">IF(ISERROR(VLOOKUP($P466,Member_Tab,4,FALSE())),0,(VLOOKUP($P466,Member_Tab,4,FALSE()) * 0.2 * U$7) * (IF(AND(U$5 &gt;= VLOOKUP($P466,Member_Tab,6,FALSE()), U$5 &lt;= VLOOKUP($P466,Member_Tab,7,FALSE())),1,0))  )</f>
        <v>0</v>
      </c>
      <c r="V466" s="76" t="n">
        <f aca="false">IF(ISERROR(VLOOKUP($P466,Member_Tab,4,FALSE())),0,(VLOOKUP($P466,Member_Tab,4,FALSE()) * 0.2 * V$7) * (IF(AND(V$5 &gt;= VLOOKUP($P466,Member_Tab,6,FALSE()), V$5 &lt;= VLOOKUP($P466,Member_Tab,7,FALSE())),1,0))  )</f>
        <v>0</v>
      </c>
      <c r="W466" s="76" t="n">
        <f aca="false">IF(ISERROR(VLOOKUP($P466,Member_Tab,4,FALSE())),0,(VLOOKUP($P466,Member_Tab,4,FALSE()) * 0.2 * W$7) * (IF(AND(W$5 &gt;= VLOOKUP($P466,Member_Tab,6,FALSE()), W$5 &lt;= VLOOKUP($P466,Member_Tab,7,FALSE())),1,0))  )</f>
        <v>0</v>
      </c>
      <c r="X466" s="76" t="n">
        <f aca="false">IF(ISERROR(VLOOKUP($P466,Member_Tab,4,FALSE())),0,(VLOOKUP($P466,Member_Tab,4,FALSE()) * 0.2 * X$7) * (IF(AND(X$5 &gt;= VLOOKUP($P466,Member_Tab,6,FALSE()), X$5 &lt;= VLOOKUP($P466,Member_Tab,7,FALSE())),1,0))  )</f>
        <v>0</v>
      </c>
      <c r="Y466" s="76" t="n">
        <f aca="false">IF(ISERROR(VLOOKUP($P466,Member_Tab,4,FALSE())),0,(VLOOKUP($P466,Member_Tab,4,FALSE()) * 0.2 * Y$7) * (IF(AND(Y$5 &gt;= VLOOKUP($P466,Member_Tab,6,FALSE()), Y$5 &lt;= VLOOKUP($P466,Member_Tab,7,FALSE())),1,0))  )</f>
        <v>0</v>
      </c>
      <c r="Z466" s="76" t="n">
        <f aca="false">IF(ISERROR(VLOOKUP($P466,Member_Tab,4,FALSE())),0,(VLOOKUP($P466,Member_Tab,4,FALSE()) * 0.2 * Z$7) * (IF(AND(Z$5 &gt;= VLOOKUP($P466,Member_Tab,6,FALSE()), Z$5 &lt;= VLOOKUP($P466,Member_Tab,7,FALSE())),1,0))  )</f>
        <v>0</v>
      </c>
      <c r="AA466" s="76" t="n">
        <f aca="false">IF(ISERROR(VLOOKUP($P466,Member_Tab,4,FALSE())),0,(VLOOKUP($P466,Member_Tab,4,FALSE()) * 0.2 * AA$7) * (IF(AND(AA$5 &gt;= VLOOKUP($P466,Member_Tab,6,FALSE()), AA$5 &lt;= VLOOKUP($P466,Member_Tab,7,FALSE())),1,0))  )</f>
        <v>0</v>
      </c>
      <c r="AB466" s="76" t="n">
        <f aca="false">IF(ISERROR(VLOOKUP($P466,Member_Tab,4,FALSE())),0,(VLOOKUP($P466,Member_Tab,4,FALSE()) * 0.2 * AB$7) * (IF(AND(AB$5 &gt;= VLOOKUP($P466,Member_Tab,6,FALSE()), AB$5 &lt;= VLOOKUP($P466,Member_Tab,7,FALSE())),1,0))  )</f>
        <v>0</v>
      </c>
      <c r="AC466" s="76" t="n">
        <f aca="false">IF(ISERROR(VLOOKUP($P466,Member_Tab,4,FALSE())),0,(VLOOKUP($P466,Member_Tab,4,FALSE()) * 0.2 * AC$7) * (IF(AND(AC$5 &gt;= VLOOKUP($P466,Member_Tab,6,FALSE()), AC$5 &lt;= VLOOKUP($P466,Member_Tab,7,FALSE())),1,0))  )</f>
        <v>0</v>
      </c>
      <c r="AD466" s="76" t="n">
        <f aca="false">IF(ISERROR(VLOOKUP($P466,Member_Tab,4,FALSE())),0,(VLOOKUP($P466,Member_Tab,4,FALSE()) * 0.2 * AD$7) * (IF(AND(AD$5 &gt;= VLOOKUP($P466,Member_Tab,6,FALSE()), AD$5 &lt;= VLOOKUP($P466,Member_Tab,7,FALSE())),1,0))  )</f>
        <v>0</v>
      </c>
      <c r="AE466" s="76" t="n">
        <f aca="false">IF(ISERROR(VLOOKUP($P466,Member_Tab,4,FALSE())),0,(VLOOKUP($P466,Member_Tab,4,FALSE()) * 0.2 * AE$7) * (IF(AND(AE$5 &gt;= VLOOKUP($P466,Member_Tab,6,FALSE()), AE$5 &lt;= VLOOKUP($P466,Member_Tab,7,FALSE())),1,0))  )</f>
        <v>0</v>
      </c>
      <c r="AF466" s="76" t="n">
        <f aca="false">IF(ISERROR(VLOOKUP($P466,Member_Tab,4,FALSE())),0,(VLOOKUP($P466,Member_Tab,4,FALSE()) * 0.2 * AF$7) * (IF(AND(AF$5 &gt;= VLOOKUP($P466,Member_Tab,6,FALSE()), AF$5 &lt;= VLOOKUP($P466,Member_Tab,7,FALSE())),1,0))  )</f>
        <v>0</v>
      </c>
      <c r="AG466" s="76" t="n">
        <f aca="false">IF(ISERROR(VLOOKUP($P466,Member_Tab,4,FALSE())),0,(VLOOKUP($P466,Member_Tab,4,FALSE()) * 0.2 * AG$7) * (IF(AND(AG$5 &gt;= VLOOKUP($P466,Member_Tab,6,FALSE()), AG$5 &lt;= VLOOKUP($P466,Member_Tab,7,FALSE())),1,0))  )</f>
        <v>0</v>
      </c>
      <c r="AH466" s="76" t="n">
        <f aca="false">IF(ISERROR(VLOOKUP($P466,Member_Tab,4,FALSE())),0,(VLOOKUP($P466,Member_Tab,4,FALSE()) * 0.2 * AH$7) * (IF(AND(AH$5 &gt;= VLOOKUP($P466,Member_Tab,6,FALSE()), AH$5 &lt;= VLOOKUP($P466,Member_Tab,7,FALSE())),1,0))  )</f>
        <v>0</v>
      </c>
      <c r="AI466" s="76" t="n">
        <f aca="false">IF(ISERROR(VLOOKUP($P466,Member_Tab,4,FALSE())),0,(VLOOKUP($P466,Member_Tab,4,FALSE()) * 0.2 * AI$7) * (IF(AND(AI$5 &gt;= VLOOKUP($P466,Member_Tab,6,FALSE()), AI$5 &lt;= VLOOKUP($P466,Member_Tab,7,FALSE())),1,0))  )</f>
        <v>0</v>
      </c>
      <c r="AJ466" s="76" t="n">
        <f aca="false">IF(ISERROR(VLOOKUP($P466,Member_Tab,4,FALSE())),0,(VLOOKUP($P466,Member_Tab,4,FALSE()) * 0.2 * AJ$7) * (IF(AND(AJ$5 &gt;= VLOOKUP($P466,Member_Tab,6,FALSE()), AJ$5 &lt;= VLOOKUP($P466,Member_Tab,7,FALSE())),1,0))  )</f>
        <v>0</v>
      </c>
      <c r="AK466" s="76" t="n">
        <f aca="false">IF(ISERROR(VLOOKUP($P466,Member_Tab,4,FALSE())),0,(VLOOKUP($P466,Member_Tab,4,FALSE()) * 0.2 * AK$7) * (IF(AND(AK$5 &gt;= VLOOKUP($P466,Member_Tab,6,FALSE()), AK$5 &lt;= VLOOKUP($P466,Member_Tab,7,FALSE())),1,0))  )</f>
        <v>0</v>
      </c>
      <c r="AL466" s="76" t="n">
        <f aca="false">IF(ISERROR(VLOOKUP($P466,Member_Tab,4,FALSE())),0,(VLOOKUP($P466,Member_Tab,4,FALSE()) * 0.2 * AL$7) * (IF(AND(AL$5 &gt;= VLOOKUP($P466,Member_Tab,6,FALSE()), AL$5 &lt;= VLOOKUP($P466,Member_Tab,7,FALSE())),1,0))  )</f>
        <v>0</v>
      </c>
      <c r="AM466" s="76" t="n">
        <f aca="false">IF(ISERROR(VLOOKUP($P466,Member_Tab,4,FALSE())),0,(VLOOKUP($P466,Member_Tab,4,FALSE()) * 0.2 * AM$7) * (IF(AND(AM$5 &gt;= VLOOKUP($P466,Member_Tab,6,FALSE()), AM$5 &lt;= VLOOKUP($P466,Member_Tab,7,FALSE())),1,0))  )</f>
        <v>0</v>
      </c>
      <c r="AN466" s="76" t="n">
        <f aca="false">IF(ISERROR(VLOOKUP($P466,Member_Tab,4,FALSE())),0,(VLOOKUP($P466,Member_Tab,4,FALSE()) * 0.2 * AN$7) * (IF(AND(AN$5 &gt;= VLOOKUP($P466,Member_Tab,6,FALSE()), AN$5 &lt;= VLOOKUP($P466,Member_Tab,7,FALSE())),1,0))  )</f>
        <v>0</v>
      </c>
      <c r="AO466" s="76" t="n">
        <f aca="false">IF(ISERROR(VLOOKUP($P466,Member_Tab,4,FALSE())),0,(VLOOKUP($P466,Member_Tab,4,FALSE()) * 0.2 * AO$7) * (IF(AND(AO$5 &gt;= VLOOKUP($P466,Member_Tab,6,FALSE()), AO$5 &lt;= VLOOKUP($P466,Member_Tab,7,FALSE())),1,0))  )</f>
        <v>0</v>
      </c>
      <c r="AP466" s="76" t="n">
        <f aca="false">IF(ISERROR(VLOOKUP($P466,Member_Tab,4,FALSE())),0,(VLOOKUP($P466,Member_Tab,4,FALSE()) * 0.2 * AP$7) * (IF(AND(AP$5 &gt;= VLOOKUP($P466,Member_Tab,6,FALSE()), AP$5 &lt;= VLOOKUP($P466,Member_Tab,7,FALSE())),1,0))  )</f>
        <v>0</v>
      </c>
      <c r="AQ466" s="76" t="n">
        <f aca="false">IF(ISERROR(VLOOKUP($P466,Member_Tab,4,FALSE())),0,(VLOOKUP($P466,Member_Tab,4,FALSE()) * 0.2 * AQ$7) * (IF(AND(AQ$5 &gt;= VLOOKUP($P466,Member_Tab,6,FALSE()), AQ$5 &lt;= VLOOKUP($P466,Member_Tab,7,FALSE())),1,0))  )</f>
        <v>0</v>
      </c>
      <c r="AR466" s="76" t="n">
        <f aca="false">IF(ISERROR(VLOOKUP($P466,Member_Tab,4,FALSE())),0,(VLOOKUP($P466,Member_Tab,4,FALSE()) * 0.2 * AR$7) * (IF(AND(AR$5 &gt;= VLOOKUP($P466,Member_Tab,6,FALSE()), AR$5 &lt;= VLOOKUP($P466,Member_Tab,7,FALSE())),1,0))  )</f>
        <v>0</v>
      </c>
      <c r="AS466" s="76" t="n">
        <f aca="false">IF(ISERROR(VLOOKUP($P466,Member_Tab,4,FALSE())),0,(VLOOKUP($P466,Member_Tab,4,FALSE()) * 0.2 * AS$7) * (IF(AND(AS$5 &gt;= VLOOKUP($P466,Member_Tab,6,FALSE()), AS$5 &lt;= VLOOKUP($P466,Member_Tab,7,FALSE())),1,0))  )</f>
        <v>0</v>
      </c>
      <c r="AT466" s="76" t="n">
        <f aca="false">IF(ISERROR(VLOOKUP($P466,Member_Tab,4,FALSE())),0,(VLOOKUP($P466,Member_Tab,4,FALSE()) * 0.2 * AT$7) * (IF(AND(AT$5 &gt;= VLOOKUP($P466,Member_Tab,6,FALSE()), AT$5 &lt;= VLOOKUP($P466,Member_Tab,7,FALSE())),1,0))  )</f>
        <v>0</v>
      </c>
      <c r="AU466" s="76" t="n">
        <f aca="false">IF(ISERROR(VLOOKUP($P466,Member_Tab,4,FALSE())),0,(VLOOKUP($P466,Member_Tab,4,FALSE()) * 0.2 * AU$7) * (IF(AND(AU$5 &gt;= VLOOKUP($P466,Member_Tab,6,FALSE()), AU$5 &lt;= VLOOKUP($P466,Member_Tab,7,FALSE())),1,0))  )</f>
        <v>0</v>
      </c>
      <c r="AV466" s="76" t="n">
        <f aca="false">IF(ISERROR(VLOOKUP($P466,Member_Tab,4,FALSE())),0,(VLOOKUP($P466,Member_Tab,4,FALSE()) * 0.2 * AV$7) * (IF(AND(AV$5 &gt;= VLOOKUP($P466,Member_Tab,6,FALSE()), AV$5 &lt;= VLOOKUP($P466,Member_Tab,7,FALSE())),1,0))  )</f>
        <v>0</v>
      </c>
      <c r="AW466" s="76" t="n">
        <f aca="false">IF(ISERROR(VLOOKUP($P466,Member_Tab,4,FALSE())),0,(VLOOKUP($P466,Member_Tab,4,FALSE()) * 0.2 * AW$7) * (IF(AND(AW$5 &gt;= VLOOKUP($P466,Member_Tab,6,FALSE()), AW$5 &lt;= VLOOKUP($P466,Member_Tab,7,FALSE())),1,0))  )</f>
        <v>0</v>
      </c>
      <c r="AX466" s="76" t="n">
        <f aca="false">IF(ISERROR(VLOOKUP($P466,Member_Tab,4,FALSE())),0,(VLOOKUP($P466,Member_Tab,4,FALSE()) * 0.2 * AX$7) * (IF(AND(AX$5 &gt;= VLOOKUP($P466,Member_Tab,6,FALSE()), AX$5 &lt;= VLOOKUP($P466,Member_Tab,7,FALSE())),1,0))  )</f>
        <v>0</v>
      </c>
      <c r="AY466" s="76" t="n">
        <f aca="false">IF(ISERROR(VLOOKUP($P466,Member_Tab,4,FALSE())),0,(VLOOKUP($P466,Member_Tab,4,FALSE()) * 0.2 * AY$7) * (IF(AND(AY$5 &gt;= VLOOKUP($P466,Member_Tab,6,FALSE()), AY$5 &lt;= VLOOKUP($P466,Member_Tab,7,FALSE())),1,0))  )</f>
        <v>0</v>
      </c>
      <c r="AZ466" s="76" t="n">
        <f aca="false">IF(ISERROR(VLOOKUP($P466,Member_Tab,4,FALSE())),0,(VLOOKUP($P466,Member_Tab,4,FALSE()) * 0.2 * AZ$7) * (IF(AND(AZ$5 &gt;= VLOOKUP($P466,Member_Tab,6,FALSE()), AZ$5 &lt;= VLOOKUP($P466,Member_Tab,7,FALSE())),1,0))  )</f>
        <v>0</v>
      </c>
      <c r="BA466" s="76" t="n">
        <f aca="false">IF(ISERROR(VLOOKUP($P466,Member_Tab,4,FALSE())),0,(VLOOKUP($P466,Member_Tab,4,FALSE()) * 0.2 * BA$7) * (IF(AND(BA$5 &gt;= VLOOKUP($P466,Member_Tab,6,FALSE()), BA$5 &lt;= VLOOKUP($P466,Member_Tab,7,FALSE())),1,0))  )</f>
        <v>0</v>
      </c>
      <c r="BB466" s="76" t="n">
        <f aca="false">IF(ISERROR(VLOOKUP($P466,Member_Tab,4,FALSE())),0,(VLOOKUP($P466,Member_Tab,4,FALSE()) * 0.2 * BB$7) * (IF(AND(BB$5 &gt;= VLOOKUP($P466,Member_Tab,6,FALSE()), BB$5 &lt;= VLOOKUP($P466,Member_Tab,7,FALSE())),1,0))  )</f>
        <v>0</v>
      </c>
    </row>
    <row r="467" s="173" customFormat="true" ht="15" hidden="true" customHeight="false" outlineLevel="1" collapsed="false">
      <c r="E467" s="40"/>
      <c r="K467" s="40"/>
      <c r="L467" s="40"/>
      <c r="M467" s="40"/>
      <c r="N467" s="40"/>
      <c r="P467" s="177" t="n">
        <f aca="false">P330</f>
        <v>0</v>
      </c>
      <c r="Q467" s="40"/>
      <c r="R467" s="178"/>
      <c r="S467" s="76" t="n">
        <f aca="false">IF(ISERROR(VLOOKUP($P467,Member_Tab,4,FALSE())),0,(VLOOKUP($P467,Member_Tab,4,FALSE()) * 0.2 * S$7) * (IF(AND(S$5 &gt;= VLOOKUP($P467,Member_Tab,6,FALSE()), S$5 &lt;= VLOOKUP($P467,Member_Tab,7,FALSE())),1,0))  )</f>
        <v>0</v>
      </c>
      <c r="T467" s="76" t="n">
        <f aca="false">IF(ISERROR(VLOOKUP($P467,Member_Tab,4,FALSE())),0,(VLOOKUP($P467,Member_Tab,4,FALSE()) * 0.2 * T$7) * (IF(AND(T$5 &gt;= VLOOKUP($P467,Member_Tab,6,FALSE()), T$5 &lt;= VLOOKUP($P467,Member_Tab,7,FALSE())),1,0))  )</f>
        <v>0</v>
      </c>
      <c r="U467" s="76" t="n">
        <f aca="false">IF(ISERROR(VLOOKUP($P467,Member_Tab,4,FALSE())),0,(VLOOKUP($P467,Member_Tab,4,FALSE()) * 0.2 * U$7) * (IF(AND(U$5 &gt;= VLOOKUP($P467,Member_Tab,6,FALSE()), U$5 &lt;= VLOOKUP($P467,Member_Tab,7,FALSE())),1,0))  )</f>
        <v>0</v>
      </c>
      <c r="V467" s="76" t="n">
        <f aca="false">IF(ISERROR(VLOOKUP($P467,Member_Tab,4,FALSE())),0,(VLOOKUP($P467,Member_Tab,4,FALSE()) * 0.2 * V$7) * (IF(AND(V$5 &gt;= VLOOKUP($P467,Member_Tab,6,FALSE()), V$5 &lt;= VLOOKUP($P467,Member_Tab,7,FALSE())),1,0))  )</f>
        <v>0</v>
      </c>
      <c r="W467" s="76" t="n">
        <f aca="false">IF(ISERROR(VLOOKUP($P467,Member_Tab,4,FALSE())),0,(VLOOKUP($P467,Member_Tab,4,FALSE()) * 0.2 * W$7) * (IF(AND(W$5 &gt;= VLOOKUP($P467,Member_Tab,6,FALSE()), W$5 &lt;= VLOOKUP($P467,Member_Tab,7,FALSE())),1,0))  )</f>
        <v>0</v>
      </c>
      <c r="X467" s="76" t="n">
        <f aca="false">IF(ISERROR(VLOOKUP($P467,Member_Tab,4,FALSE())),0,(VLOOKUP($P467,Member_Tab,4,FALSE()) * 0.2 * X$7) * (IF(AND(X$5 &gt;= VLOOKUP($P467,Member_Tab,6,FALSE()), X$5 &lt;= VLOOKUP($P467,Member_Tab,7,FALSE())),1,0))  )</f>
        <v>0</v>
      </c>
      <c r="Y467" s="76" t="n">
        <f aca="false">IF(ISERROR(VLOOKUP($P467,Member_Tab,4,FALSE())),0,(VLOOKUP($P467,Member_Tab,4,FALSE()) * 0.2 * Y$7) * (IF(AND(Y$5 &gt;= VLOOKUP($P467,Member_Tab,6,FALSE()), Y$5 &lt;= VLOOKUP($P467,Member_Tab,7,FALSE())),1,0))  )</f>
        <v>0</v>
      </c>
      <c r="Z467" s="76" t="n">
        <f aca="false">IF(ISERROR(VLOOKUP($P467,Member_Tab,4,FALSE())),0,(VLOOKUP($P467,Member_Tab,4,FALSE()) * 0.2 * Z$7) * (IF(AND(Z$5 &gt;= VLOOKUP($P467,Member_Tab,6,FALSE()), Z$5 &lt;= VLOOKUP($P467,Member_Tab,7,FALSE())),1,0))  )</f>
        <v>0</v>
      </c>
      <c r="AA467" s="76" t="n">
        <f aca="false">IF(ISERROR(VLOOKUP($P467,Member_Tab,4,FALSE())),0,(VLOOKUP($P467,Member_Tab,4,FALSE()) * 0.2 * AA$7) * (IF(AND(AA$5 &gt;= VLOOKUP($P467,Member_Tab,6,FALSE()), AA$5 &lt;= VLOOKUP($P467,Member_Tab,7,FALSE())),1,0))  )</f>
        <v>0</v>
      </c>
      <c r="AB467" s="76" t="n">
        <f aca="false">IF(ISERROR(VLOOKUP($P467,Member_Tab,4,FALSE())),0,(VLOOKUP($P467,Member_Tab,4,FALSE()) * 0.2 * AB$7) * (IF(AND(AB$5 &gt;= VLOOKUP($P467,Member_Tab,6,FALSE()), AB$5 &lt;= VLOOKUP($P467,Member_Tab,7,FALSE())),1,0))  )</f>
        <v>0</v>
      </c>
      <c r="AC467" s="76" t="n">
        <f aca="false">IF(ISERROR(VLOOKUP($P467,Member_Tab,4,FALSE())),0,(VLOOKUP($P467,Member_Tab,4,FALSE()) * 0.2 * AC$7) * (IF(AND(AC$5 &gt;= VLOOKUP($P467,Member_Tab,6,FALSE()), AC$5 &lt;= VLOOKUP($P467,Member_Tab,7,FALSE())),1,0))  )</f>
        <v>0</v>
      </c>
      <c r="AD467" s="76" t="n">
        <f aca="false">IF(ISERROR(VLOOKUP($P467,Member_Tab,4,FALSE())),0,(VLOOKUP($P467,Member_Tab,4,FALSE()) * 0.2 * AD$7) * (IF(AND(AD$5 &gt;= VLOOKUP($P467,Member_Tab,6,FALSE()), AD$5 &lt;= VLOOKUP($P467,Member_Tab,7,FALSE())),1,0))  )</f>
        <v>0</v>
      </c>
      <c r="AE467" s="76" t="n">
        <f aca="false">IF(ISERROR(VLOOKUP($P467,Member_Tab,4,FALSE())),0,(VLOOKUP($P467,Member_Tab,4,FALSE()) * 0.2 * AE$7) * (IF(AND(AE$5 &gt;= VLOOKUP($P467,Member_Tab,6,FALSE()), AE$5 &lt;= VLOOKUP($P467,Member_Tab,7,FALSE())),1,0))  )</f>
        <v>0</v>
      </c>
      <c r="AF467" s="76" t="n">
        <f aca="false">IF(ISERROR(VLOOKUP($P467,Member_Tab,4,FALSE())),0,(VLOOKUP($P467,Member_Tab,4,FALSE()) * 0.2 * AF$7) * (IF(AND(AF$5 &gt;= VLOOKUP($P467,Member_Tab,6,FALSE()), AF$5 &lt;= VLOOKUP($P467,Member_Tab,7,FALSE())),1,0))  )</f>
        <v>0</v>
      </c>
      <c r="AG467" s="76" t="n">
        <f aca="false">IF(ISERROR(VLOOKUP($P467,Member_Tab,4,FALSE())),0,(VLOOKUP($P467,Member_Tab,4,FALSE()) * 0.2 * AG$7) * (IF(AND(AG$5 &gt;= VLOOKUP($P467,Member_Tab,6,FALSE()), AG$5 &lt;= VLOOKUP($P467,Member_Tab,7,FALSE())),1,0))  )</f>
        <v>0</v>
      </c>
      <c r="AH467" s="76" t="n">
        <f aca="false">IF(ISERROR(VLOOKUP($P467,Member_Tab,4,FALSE())),0,(VLOOKUP($P467,Member_Tab,4,FALSE()) * 0.2 * AH$7) * (IF(AND(AH$5 &gt;= VLOOKUP($P467,Member_Tab,6,FALSE()), AH$5 &lt;= VLOOKUP($P467,Member_Tab,7,FALSE())),1,0))  )</f>
        <v>0</v>
      </c>
      <c r="AI467" s="76" t="n">
        <f aca="false">IF(ISERROR(VLOOKUP($P467,Member_Tab,4,FALSE())),0,(VLOOKUP($P467,Member_Tab,4,FALSE()) * 0.2 * AI$7) * (IF(AND(AI$5 &gt;= VLOOKUP($P467,Member_Tab,6,FALSE()), AI$5 &lt;= VLOOKUP($P467,Member_Tab,7,FALSE())),1,0))  )</f>
        <v>0</v>
      </c>
      <c r="AJ467" s="76" t="n">
        <f aca="false">IF(ISERROR(VLOOKUP($P467,Member_Tab,4,FALSE())),0,(VLOOKUP($P467,Member_Tab,4,FALSE()) * 0.2 * AJ$7) * (IF(AND(AJ$5 &gt;= VLOOKUP($P467,Member_Tab,6,FALSE()), AJ$5 &lt;= VLOOKUP($P467,Member_Tab,7,FALSE())),1,0))  )</f>
        <v>0</v>
      </c>
      <c r="AK467" s="76" t="n">
        <f aca="false">IF(ISERROR(VLOOKUP($P467,Member_Tab,4,FALSE())),0,(VLOOKUP($P467,Member_Tab,4,FALSE()) * 0.2 * AK$7) * (IF(AND(AK$5 &gt;= VLOOKUP($P467,Member_Tab,6,FALSE()), AK$5 &lt;= VLOOKUP($P467,Member_Tab,7,FALSE())),1,0))  )</f>
        <v>0</v>
      </c>
      <c r="AL467" s="76" t="n">
        <f aca="false">IF(ISERROR(VLOOKUP($P467,Member_Tab,4,FALSE())),0,(VLOOKUP($P467,Member_Tab,4,FALSE()) * 0.2 * AL$7) * (IF(AND(AL$5 &gt;= VLOOKUP($P467,Member_Tab,6,FALSE()), AL$5 &lt;= VLOOKUP($P467,Member_Tab,7,FALSE())),1,0))  )</f>
        <v>0</v>
      </c>
      <c r="AM467" s="76" t="n">
        <f aca="false">IF(ISERROR(VLOOKUP($P467,Member_Tab,4,FALSE())),0,(VLOOKUP($P467,Member_Tab,4,FALSE()) * 0.2 * AM$7) * (IF(AND(AM$5 &gt;= VLOOKUP($P467,Member_Tab,6,FALSE()), AM$5 &lt;= VLOOKUP($P467,Member_Tab,7,FALSE())),1,0))  )</f>
        <v>0</v>
      </c>
      <c r="AN467" s="76" t="n">
        <f aca="false">IF(ISERROR(VLOOKUP($P467,Member_Tab,4,FALSE())),0,(VLOOKUP($P467,Member_Tab,4,FALSE()) * 0.2 * AN$7) * (IF(AND(AN$5 &gt;= VLOOKUP($P467,Member_Tab,6,FALSE()), AN$5 &lt;= VLOOKUP($P467,Member_Tab,7,FALSE())),1,0))  )</f>
        <v>0</v>
      </c>
      <c r="AO467" s="76" t="n">
        <f aca="false">IF(ISERROR(VLOOKUP($P467,Member_Tab,4,FALSE())),0,(VLOOKUP($P467,Member_Tab,4,FALSE()) * 0.2 * AO$7) * (IF(AND(AO$5 &gt;= VLOOKUP($P467,Member_Tab,6,FALSE()), AO$5 &lt;= VLOOKUP($P467,Member_Tab,7,FALSE())),1,0))  )</f>
        <v>0</v>
      </c>
      <c r="AP467" s="76" t="n">
        <f aca="false">IF(ISERROR(VLOOKUP($P467,Member_Tab,4,FALSE())),0,(VLOOKUP($P467,Member_Tab,4,FALSE()) * 0.2 * AP$7) * (IF(AND(AP$5 &gt;= VLOOKUP($P467,Member_Tab,6,FALSE()), AP$5 &lt;= VLOOKUP($P467,Member_Tab,7,FALSE())),1,0))  )</f>
        <v>0</v>
      </c>
      <c r="AQ467" s="76" t="n">
        <f aca="false">IF(ISERROR(VLOOKUP($P467,Member_Tab,4,FALSE())),0,(VLOOKUP($P467,Member_Tab,4,FALSE()) * 0.2 * AQ$7) * (IF(AND(AQ$5 &gt;= VLOOKUP($P467,Member_Tab,6,FALSE()), AQ$5 &lt;= VLOOKUP($P467,Member_Tab,7,FALSE())),1,0))  )</f>
        <v>0</v>
      </c>
      <c r="AR467" s="76" t="n">
        <f aca="false">IF(ISERROR(VLOOKUP($P467,Member_Tab,4,FALSE())),0,(VLOOKUP($P467,Member_Tab,4,FALSE()) * 0.2 * AR$7) * (IF(AND(AR$5 &gt;= VLOOKUP($P467,Member_Tab,6,FALSE()), AR$5 &lt;= VLOOKUP($P467,Member_Tab,7,FALSE())),1,0))  )</f>
        <v>0</v>
      </c>
      <c r="AS467" s="76" t="n">
        <f aca="false">IF(ISERROR(VLOOKUP($P467,Member_Tab,4,FALSE())),0,(VLOOKUP($P467,Member_Tab,4,FALSE()) * 0.2 * AS$7) * (IF(AND(AS$5 &gt;= VLOOKUP($P467,Member_Tab,6,FALSE()), AS$5 &lt;= VLOOKUP($P467,Member_Tab,7,FALSE())),1,0))  )</f>
        <v>0</v>
      </c>
      <c r="AT467" s="76" t="n">
        <f aca="false">IF(ISERROR(VLOOKUP($P467,Member_Tab,4,FALSE())),0,(VLOOKUP($P467,Member_Tab,4,FALSE()) * 0.2 * AT$7) * (IF(AND(AT$5 &gt;= VLOOKUP($P467,Member_Tab,6,FALSE()), AT$5 &lt;= VLOOKUP($P467,Member_Tab,7,FALSE())),1,0))  )</f>
        <v>0</v>
      </c>
      <c r="AU467" s="76" t="n">
        <f aca="false">IF(ISERROR(VLOOKUP($P467,Member_Tab,4,FALSE())),0,(VLOOKUP($P467,Member_Tab,4,FALSE()) * 0.2 * AU$7) * (IF(AND(AU$5 &gt;= VLOOKUP($P467,Member_Tab,6,FALSE()), AU$5 &lt;= VLOOKUP($P467,Member_Tab,7,FALSE())),1,0))  )</f>
        <v>0</v>
      </c>
      <c r="AV467" s="76" t="n">
        <f aca="false">IF(ISERROR(VLOOKUP($P467,Member_Tab,4,FALSE())),0,(VLOOKUP($P467,Member_Tab,4,FALSE()) * 0.2 * AV$7) * (IF(AND(AV$5 &gt;= VLOOKUP($P467,Member_Tab,6,FALSE()), AV$5 &lt;= VLOOKUP($P467,Member_Tab,7,FALSE())),1,0))  )</f>
        <v>0</v>
      </c>
      <c r="AW467" s="76" t="n">
        <f aca="false">IF(ISERROR(VLOOKUP($P467,Member_Tab,4,FALSE())),0,(VLOOKUP($P467,Member_Tab,4,FALSE()) * 0.2 * AW$7) * (IF(AND(AW$5 &gt;= VLOOKUP($P467,Member_Tab,6,FALSE()), AW$5 &lt;= VLOOKUP($P467,Member_Tab,7,FALSE())),1,0))  )</f>
        <v>0</v>
      </c>
      <c r="AX467" s="76" t="n">
        <f aca="false">IF(ISERROR(VLOOKUP($P467,Member_Tab,4,FALSE())),0,(VLOOKUP($P467,Member_Tab,4,FALSE()) * 0.2 * AX$7) * (IF(AND(AX$5 &gt;= VLOOKUP($P467,Member_Tab,6,FALSE()), AX$5 &lt;= VLOOKUP($P467,Member_Tab,7,FALSE())),1,0))  )</f>
        <v>0</v>
      </c>
      <c r="AY467" s="76" t="n">
        <f aca="false">IF(ISERROR(VLOOKUP($P467,Member_Tab,4,FALSE())),0,(VLOOKUP($P467,Member_Tab,4,FALSE()) * 0.2 * AY$7) * (IF(AND(AY$5 &gt;= VLOOKUP($P467,Member_Tab,6,FALSE()), AY$5 &lt;= VLOOKUP($P467,Member_Tab,7,FALSE())),1,0))  )</f>
        <v>0</v>
      </c>
      <c r="AZ467" s="76" t="n">
        <f aca="false">IF(ISERROR(VLOOKUP($P467,Member_Tab,4,FALSE())),0,(VLOOKUP($P467,Member_Tab,4,FALSE()) * 0.2 * AZ$7) * (IF(AND(AZ$5 &gt;= VLOOKUP($P467,Member_Tab,6,FALSE()), AZ$5 &lt;= VLOOKUP($P467,Member_Tab,7,FALSE())),1,0))  )</f>
        <v>0</v>
      </c>
      <c r="BA467" s="76" t="n">
        <f aca="false">IF(ISERROR(VLOOKUP($P467,Member_Tab,4,FALSE())),0,(VLOOKUP($P467,Member_Tab,4,FALSE()) * 0.2 * BA$7) * (IF(AND(BA$5 &gt;= VLOOKUP($P467,Member_Tab,6,FALSE()), BA$5 &lt;= VLOOKUP($P467,Member_Tab,7,FALSE())),1,0))  )</f>
        <v>0</v>
      </c>
      <c r="BB467" s="76" t="n">
        <f aca="false">IF(ISERROR(VLOOKUP($P467,Member_Tab,4,FALSE())),0,(VLOOKUP($P467,Member_Tab,4,FALSE()) * 0.2 * BB$7) * (IF(AND(BB$5 &gt;= VLOOKUP($P467,Member_Tab,6,FALSE()), BB$5 &lt;= VLOOKUP($P467,Member_Tab,7,FALSE())),1,0))  )</f>
        <v>0</v>
      </c>
    </row>
    <row r="468" s="173" customFormat="true" ht="15" hidden="true" customHeight="false" outlineLevel="1" collapsed="false">
      <c r="E468" s="40"/>
      <c r="K468" s="40"/>
      <c r="L468" s="40"/>
      <c r="M468" s="40"/>
      <c r="N468" s="40"/>
      <c r="P468" s="177" t="n">
        <f aca="false">P331</f>
        <v>0</v>
      </c>
      <c r="Q468" s="40"/>
      <c r="R468" s="178"/>
      <c r="S468" s="76" t="n">
        <f aca="false">IF(ISERROR(VLOOKUP($P468,Member_Tab,4,FALSE())),0,(VLOOKUP($P468,Member_Tab,4,FALSE()) * 0.2 * S$7) * (IF(AND(S$5 &gt;= VLOOKUP($P468,Member_Tab,6,FALSE()), S$5 &lt;= VLOOKUP($P468,Member_Tab,7,FALSE())),1,0))  )</f>
        <v>0</v>
      </c>
      <c r="T468" s="76" t="n">
        <f aca="false">IF(ISERROR(VLOOKUP($P468,Member_Tab,4,FALSE())),0,(VLOOKUP($P468,Member_Tab,4,FALSE()) * 0.2 * T$7) * (IF(AND(T$5 &gt;= VLOOKUP($P468,Member_Tab,6,FALSE()), T$5 &lt;= VLOOKUP($P468,Member_Tab,7,FALSE())),1,0))  )</f>
        <v>0</v>
      </c>
      <c r="U468" s="76" t="n">
        <f aca="false">IF(ISERROR(VLOOKUP($P468,Member_Tab,4,FALSE())),0,(VLOOKUP($P468,Member_Tab,4,FALSE()) * 0.2 * U$7) * (IF(AND(U$5 &gt;= VLOOKUP($P468,Member_Tab,6,FALSE()), U$5 &lt;= VLOOKUP($P468,Member_Tab,7,FALSE())),1,0))  )</f>
        <v>0</v>
      </c>
      <c r="V468" s="76" t="n">
        <f aca="false">IF(ISERROR(VLOOKUP($P468,Member_Tab,4,FALSE())),0,(VLOOKUP($P468,Member_Tab,4,FALSE()) * 0.2 * V$7) * (IF(AND(V$5 &gt;= VLOOKUP($P468,Member_Tab,6,FALSE()), V$5 &lt;= VLOOKUP($P468,Member_Tab,7,FALSE())),1,0))  )</f>
        <v>0</v>
      </c>
      <c r="W468" s="76" t="n">
        <f aca="false">IF(ISERROR(VLOOKUP($P468,Member_Tab,4,FALSE())),0,(VLOOKUP($P468,Member_Tab,4,FALSE()) * 0.2 * W$7) * (IF(AND(W$5 &gt;= VLOOKUP($P468,Member_Tab,6,FALSE()), W$5 &lt;= VLOOKUP($P468,Member_Tab,7,FALSE())),1,0))  )</f>
        <v>0</v>
      </c>
      <c r="X468" s="76" t="n">
        <f aca="false">IF(ISERROR(VLOOKUP($P468,Member_Tab,4,FALSE())),0,(VLOOKUP($P468,Member_Tab,4,FALSE()) * 0.2 * X$7) * (IF(AND(X$5 &gt;= VLOOKUP($P468,Member_Tab,6,FALSE()), X$5 &lt;= VLOOKUP($P468,Member_Tab,7,FALSE())),1,0))  )</f>
        <v>0</v>
      </c>
      <c r="Y468" s="76" t="n">
        <f aca="false">IF(ISERROR(VLOOKUP($P468,Member_Tab,4,FALSE())),0,(VLOOKUP($P468,Member_Tab,4,FALSE()) * 0.2 * Y$7) * (IF(AND(Y$5 &gt;= VLOOKUP($P468,Member_Tab,6,FALSE()), Y$5 &lt;= VLOOKUP($P468,Member_Tab,7,FALSE())),1,0))  )</f>
        <v>0</v>
      </c>
      <c r="Z468" s="76" t="n">
        <f aca="false">IF(ISERROR(VLOOKUP($P468,Member_Tab,4,FALSE())),0,(VLOOKUP($P468,Member_Tab,4,FALSE()) * 0.2 * Z$7) * (IF(AND(Z$5 &gt;= VLOOKUP($P468,Member_Tab,6,FALSE()), Z$5 &lt;= VLOOKUP($P468,Member_Tab,7,FALSE())),1,0))  )</f>
        <v>0</v>
      </c>
      <c r="AA468" s="76" t="n">
        <f aca="false">IF(ISERROR(VLOOKUP($P468,Member_Tab,4,FALSE())),0,(VLOOKUP($P468,Member_Tab,4,FALSE()) * 0.2 * AA$7) * (IF(AND(AA$5 &gt;= VLOOKUP($P468,Member_Tab,6,FALSE()), AA$5 &lt;= VLOOKUP($P468,Member_Tab,7,FALSE())),1,0))  )</f>
        <v>0</v>
      </c>
      <c r="AB468" s="76" t="n">
        <f aca="false">IF(ISERROR(VLOOKUP($P468,Member_Tab,4,FALSE())),0,(VLOOKUP($P468,Member_Tab,4,FALSE()) * 0.2 * AB$7) * (IF(AND(AB$5 &gt;= VLOOKUP($P468,Member_Tab,6,FALSE()), AB$5 &lt;= VLOOKUP($P468,Member_Tab,7,FALSE())),1,0))  )</f>
        <v>0</v>
      </c>
      <c r="AC468" s="76" t="n">
        <f aca="false">IF(ISERROR(VLOOKUP($P468,Member_Tab,4,FALSE())),0,(VLOOKUP($P468,Member_Tab,4,FALSE()) * 0.2 * AC$7) * (IF(AND(AC$5 &gt;= VLOOKUP($P468,Member_Tab,6,FALSE()), AC$5 &lt;= VLOOKUP($P468,Member_Tab,7,FALSE())),1,0))  )</f>
        <v>0</v>
      </c>
      <c r="AD468" s="76" t="n">
        <f aca="false">IF(ISERROR(VLOOKUP($P468,Member_Tab,4,FALSE())),0,(VLOOKUP($P468,Member_Tab,4,FALSE()) * 0.2 * AD$7) * (IF(AND(AD$5 &gt;= VLOOKUP($P468,Member_Tab,6,FALSE()), AD$5 &lt;= VLOOKUP($P468,Member_Tab,7,FALSE())),1,0))  )</f>
        <v>0</v>
      </c>
      <c r="AE468" s="76" t="n">
        <f aca="false">IF(ISERROR(VLOOKUP($P468,Member_Tab,4,FALSE())),0,(VLOOKUP($P468,Member_Tab,4,FALSE()) * 0.2 * AE$7) * (IF(AND(AE$5 &gt;= VLOOKUP($P468,Member_Tab,6,FALSE()), AE$5 &lt;= VLOOKUP($P468,Member_Tab,7,FALSE())),1,0))  )</f>
        <v>0</v>
      </c>
      <c r="AF468" s="76" t="n">
        <f aca="false">IF(ISERROR(VLOOKUP($P468,Member_Tab,4,FALSE())),0,(VLOOKUP($P468,Member_Tab,4,FALSE()) * 0.2 * AF$7) * (IF(AND(AF$5 &gt;= VLOOKUP($P468,Member_Tab,6,FALSE()), AF$5 &lt;= VLOOKUP($P468,Member_Tab,7,FALSE())),1,0))  )</f>
        <v>0</v>
      </c>
      <c r="AG468" s="76" t="n">
        <f aca="false">IF(ISERROR(VLOOKUP($P468,Member_Tab,4,FALSE())),0,(VLOOKUP($P468,Member_Tab,4,FALSE()) * 0.2 * AG$7) * (IF(AND(AG$5 &gt;= VLOOKUP($P468,Member_Tab,6,FALSE()), AG$5 &lt;= VLOOKUP($P468,Member_Tab,7,FALSE())),1,0))  )</f>
        <v>0</v>
      </c>
      <c r="AH468" s="76" t="n">
        <f aca="false">IF(ISERROR(VLOOKUP($P468,Member_Tab,4,FALSE())),0,(VLOOKUP($P468,Member_Tab,4,FALSE()) * 0.2 * AH$7) * (IF(AND(AH$5 &gt;= VLOOKUP($P468,Member_Tab,6,FALSE()), AH$5 &lt;= VLOOKUP($P468,Member_Tab,7,FALSE())),1,0))  )</f>
        <v>0</v>
      </c>
      <c r="AI468" s="76" t="n">
        <f aca="false">IF(ISERROR(VLOOKUP($P468,Member_Tab,4,FALSE())),0,(VLOOKUP($P468,Member_Tab,4,FALSE()) * 0.2 * AI$7) * (IF(AND(AI$5 &gt;= VLOOKUP($P468,Member_Tab,6,FALSE()), AI$5 &lt;= VLOOKUP($P468,Member_Tab,7,FALSE())),1,0))  )</f>
        <v>0</v>
      </c>
      <c r="AJ468" s="76" t="n">
        <f aca="false">IF(ISERROR(VLOOKUP($P468,Member_Tab,4,FALSE())),0,(VLOOKUP($P468,Member_Tab,4,FALSE()) * 0.2 * AJ$7) * (IF(AND(AJ$5 &gt;= VLOOKUP($P468,Member_Tab,6,FALSE()), AJ$5 &lt;= VLOOKUP($P468,Member_Tab,7,FALSE())),1,0))  )</f>
        <v>0</v>
      </c>
      <c r="AK468" s="76" t="n">
        <f aca="false">IF(ISERROR(VLOOKUP($P468,Member_Tab,4,FALSE())),0,(VLOOKUP($P468,Member_Tab,4,FALSE()) * 0.2 * AK$7) * (IF(AND(AK$5 &gt;= VLOOKUP($P468,Member_Tab,6,FALSE()), AK$5 &lt;= VLOOKUP($P468,Member_Tab,7,FALSE())),1,0))  )</f>
        <v>0</v>
      </c>
      <c r="AL468" s="76" t="n">
        <f aca="false">IF(ISERROR(VLOOKUP($P468,Member_Tab,4,FALSE())),0,(VLOOKUP($P468,Member_Tab,4,FALSE()) * 0.2 * AL$7) * (IF(AND(AL$5 &gt;= VLOOKUP($P468,Member_Tab,6,FALSE()), AL$5 &lt;= VLOOKUP($P468,Member_Tab,7,FALSE())),1,0))  )</f>
        <v>0</v>
      </c>
      <c r="AM468" s="76" t="n">
        <f aca="false">IF(ISERROR(VLOOKUP($P468,Member_Tab,4,FALSE())),0,(VLOOKUP($P468,Member_Tab,4,FALSE()) * 0.2 * AM$7) * (IF(AND(AM$5 &gt;= VLOOKUP($P468,Member_Tab,6,FALSE()), AM$5 &lt;= VLOOKUP($P468,Member_Tab,7,FALSE())),1,0))  )</f>
        <v>0</v>
      </c>
      <c r="AN468" s="76" t="n">
        <f aca="false">IF(ISERROR(VLOOKUP($P468,Member_Tab,4,FALSE())),0,(VLOOKUP($P468,Member_Tab,4,FALSE()) * 0.2 * AN$7) * (IF(AND(AN$5 &gt;= VLOOKUP($P468,Member_Tab,6,FALSE()), AN$5 &lt;= VLOOKUP($P468,Member_Tab,7,FALSE())),1,0))  )</f>
        <v>0</v>
      </c>
      <c r="AO468" s="76" t="n">
        <f aca="false">IF(ISERROR(VLOOKUP($P468,Member_Tab,4,FALSE())),0,(VLOOKUP($P468,Member_Tab,4,FALSE()) * 0.2 * AO$7) * (IF(AND(AO$5 &gt;= VLOOKUP($P468,Member_Tab,6,FALSE()), AO$5 &lt;= VLOOKUP($P468,Member_Tab,7,FALSE())),1,0))  )</f>
        <v>0</v>
      </c>
      <c r="AP468" s="76" t="n">
        <f aca="false">IF(ISERROR(VLOOKUP($P468,Member_Tab,4,FALSE())),0,(VLOOKUP($P468,Member_Tab,4,FALSE()) * 0.2 * AP$7) * (IF(AND(AP$5 &gt;= VLOOKUP($P468,Member_Tab,6,FALSE()), AP$5 &lt;= VLOOKUP($P468,Member_Tab,7,FALSE())),1,0))  )</f>
        <v>0</v>
      </c>
      <c r="AQ468" s="76" t="n">
        <f aca="false">IF(ISERROR(VLOOKUP($P468,Member_Tab,4,FALSE())),0,(VLOOKUP($P468,Member_Tab,4,FALSE()) * 0.2 * AQ$7) * (IF(AND(AQ$5 &gt;= VLOOKUP($P468,Member_Tab,6,FALSE()), AQ$5 &lt;= VLOOKUP($P468,Member_Tab,7,FALSE())),1,0))  )</f>
        <v>0</v>
      </c>
      <c r="AR468" s="76" t="n">
        <f aca="false">IF(ISERROR(VLOOKUP($P468,Member_Tab,4,FALSE())),0,(VLOOKUP($P468,Member_Tab,4,FALSE()) * 0.2 * AR$7) * (IF(AND(AR$5 &gt;= VLOOKUP($P468,Member_Tab,6,FALSE()), AR$5 &lt;= VLOOKUP($P468,Member_Tab,7,FALSE())),1,0))  )</f>
        <v>0</v>
      </c>
      <c r="AS468" s="76" t="n">
        <f aca="false">IF(ISERROR(VLOOKUP($P468,Member_Tab,4,FALSE())),0,(VLOOKUP($P468,Member_Tab,4,FALSE()) * 0.2 * AS$7) * (IF(AND(AS$5 &gt;= VLOOKUP($P468,Member_Tab,6,FALSE()), AS$5 &lt;= VLOOKUP($P468,Member_Tab,7,FALSE())),1,0))  )</f>
        <v>0</v>
      </c>
      <c r="AT468" s="76" t="n">
        <f aca="false">IF(ISERROR(VLOOKUP($P468,Member_Tab,4,FALSE())),0,(VLOOKUP($P468,Member_Tab,4,FALSE()) * 0.2 * AT$7) * (IF(AND(AT$5 &gt;= VLOOKUP($P468,Member_Tab,6,FALSE()), AT$5 &lt;= VLOOKUP($P468,Member_Tab,7,FALSE())),1,0))  )</f>
        <v>0</v>
      </c>
      <c r="AU468" s="76" t="n">
        <f aca="false">IF(ISERROR(VLOOKUP($P468,Member_Tab,4,FALSE())),0,(VLOOKUP($P468,Member_Tab,4,FALSE()) * 0.2 * AU$7) * (IF(AND(AU$5 &gt;= VLOOKUP($P468,Member_Tab,6,FALSE()), AU$5 &lt;= VLOOKUP($P468,Member_Tab,7,FALSE())),1,0))  )</f>
        <v>0</v>
      </c>
      <c r="AV468" s="76" t="n">
        <f aca="false">IF(ISERROR(VLOOKUP($P468,Member_Tab,4,FALSE())),0,(VLOOKUP($P468,Member_Tab,4,FALSE()) * 0.2 * AV$7) * (IF(AND(AV$5 &gt;= VLOOKUP($P468,Member_Tab,6,FALSE()), AV$5 &lt;= VLOOKUP($P468,Member_Tab,7,FALSE())),1,0))  )</f>
        <v>0</v>
      </c>
      <c r="AW468" s="76" t="n">
        <f aca="false">IF(ISERROR(VLOOKUP($P468,Member_Tab,4,FALSE())),0,(VLOOKUP($P468,Member_Tab,4,FALSE()) * 0.2 * AW$7) * (IF(AND(AW$5 &gt;= VLOOKUP($P468,Member_Tab,6,FALSE()), AW$5 &lt;= VLOOKUP($P468,Member_Tab,7,FALSE())),1,0))  )</f>
        <v>0</v>
      </c>
      <c r="AX468" s="76" t="n">
        <f aca="false">IF(ISERROR(VLOOKUP($P468,Member_Tab,4,FALSE())),0,(VLOOKUP($P468,Member_Tab,4,FALSE()) * 0.2 * AX$7) * (IF(AND(AX$5 &gt;= VLOOKUP($P468,Member_Tab,6,FALSE()), AX$5 &lt;= VLOOKUP($P468,Member_Tab,7,FALSE())),1,0))  )</f>
        <v>0</v>
      </c>
      <c r="AY468" s="76" t="n">
        <f aca="false">IF(ISERROR(VLOOKUP($P468,Member_Tab,4,FALSE())),0,(VLOOKUP($P468,Member_Tab,4,FALSE()) * 0.2 * AY$7) * (IF(AND(AY$5 &gt;= VLOOKUP($P468,Member_Tab,6,FALSE()), AY$5 &lt;= VLOOKUP($P468,Member_Tab,7,FALSE())),1,0))  )</f>
        <v>0</v>
      </c>
      <c r="AZ468" s="76" t="n">
        <f aca="false">IF(ISERROR(VLOOKUP($P468,Member_Tab,4,FALSE())),0,(VLOOKUP($P468,Member_Tab,4,FALSE()) * 0.2 * AZ$7) * (IF(AND(AZ$5 &gt;= VLOOKUP($P468,Member_Tab,6,FALSE()), AZ$5 &lt;= VLOOKUP($P468,Member_Tab,7,FALSE())),1,0))  )</f>
        <v>0</v>
      </c>
      <c r="BA468" s="76" t="n">
        <f aca="false">IF(ISERROR(VLOOKUP($P468,Member_Tab,4,FALSE())),0,(VLOOKUP($P468,Member_Tab,4,FALSE()) * 0.2 * BA$7) * (IF(AND(BA$5 &gt;= VLOOKUP($P468,Member_Tab,6,FALSE()), BA$5 &lt;= VLOOKUP($P468,Member_Tab,7,FALSE())),1,0))  )</f>
        <v>0</v>
      </c>
      <c r="BB468" s="76" t="n">
        <f aca="false">IF(ISERROR(VLOOKUP($P468,Member_Tab,4,FALSE())),0,(VLOOKUP($P468,Member_Tab,4,FALSE()) * 0.2 * BB$7) * (IF(AND(BB$5 &gt;= VLOOKUP($P468,Member_Tab,6,FALSE()), BB$5 &lt;= VLOOKUP($P468,Member_Tab,7,FALSE())),1,0))  )</f>
        <v>0</v>
      </c>
    </row>
    <row r="469" s="173" customFormat="true" ht="15" hidden="true" customHeight="false" outlineLevel="1" collapsed="false">
      <c r="E469" s="40"/>
      <c r="K469" s="40"/>
      <c r="L469" s="40"/>
      <c r="M469" s="40"/>
      <c r="N469" s="40"/>
      <c r="P469" s="177" t="n">
        <f aca="false">P332</f>
        <v>0</v>
      </c>
      <c r="Q469" s="40"/>
      <c r="R469" s="178"/>
      <c r="S469" s="76" t="n">
        <f aca="false">IF(ISERROR(VLOOKUP($P469,Member_Tab,4,FALSE())),0,(VLOOKUP($P469,Member_Tab,4,FALSE()) * 0.2 * S$7) * (IF(AND(S$5 &gt;= VLOOKUP($P469,Member_Tab,6,FALSE()), S$5 &lt;= VLOOKUP($P469,Member_Tab,7,FALSE())),1,0))  )</f>
        <v>0</v>
      </c>
      <c r="T469" s="76" t="n">
        <f aca="false">IF(ISERROR(VLOOKUP($P469,Member_Tab,4,FALSE())),0,(VLOOKUP($P469,Member_Tab,4,FALSE()) * 0.2 * T$7) * (IF(AND(T$5 &gt;= VLOOKUP($P469,Member_Tab,6,FALSE()), T$5 &lt;= VLOOKUP($P469,Member_Tab,7,FALSE())),1,0))  )</f>
        <v>0</v>
      </c>
      <c r="U469" s="76" t="n">
        <f aca="false">IF(ISERROR(VLOOKUP($P469,Member_Tab,4,FALSE())),0,(VLOOKUP($P469,Member_Tab,4,FALSE()) * 0.2 * U$7) * (IF(AND(U$5 &gt;= VLOOKUP($P469,Member_Tab,6,FALSE()), U$5 &lt;= VLOOKUP($P469,Member_Tab,7,FALSE())),1,0))  )</f>
        <v>0</v>
      </c>
      <c r="V469" s="76" t="n">
        <f aca="false">IF(ISERROR(VLOOKUP($P469,Member_Tab,4,FALSE())),0,(VLOOKUP($P469,Member_Tab,4,FALSE()) * 0.2 * V$7) * (IF(AND(V$5 &gt;= VLOOKUP($P469,Member_Tab,6,FALSE()), V$5 &lt;= VLOOKUP($P469,Member_Tab,7,FALSE())),1,0))  )</f>
        <v>0</v>
      </c>
      <c r="W469" s="76" t="n">
        <f aca="false">IF(ISERROR(VLOOKUP($P469,Member_Tab,4,FALSE())),0,(VLOOKUP($P469,Member_Tab,4,FALSE()) * 0.2 * W$7) * (IF(AND(W$5 &gt;= VLOOKUP($P469,Member_Tab,6,FALSE()), W$5 &lt;= VLOOKUP($P469,Member_Tab,7,FALSE())),1,0))  )</f>
        <v>0</v>
      </c>
      <c r="X469" s="76" t="n">
        <f aca="false">IF(ISERROR(VLOOKUP($P469,Member_Tab,4,FALSE())),0,(VLOOKUP($P469,Member_Tab,4,FALSE()) * 0.2 * X$7) * (IF(AND(X$5 &gt;= VLOOKUP($P469,Member_Tab,6,FALSE()), X$5 &lt;= VLOOKUP($P469,Member_Tab,7,FALSE())),1,0))  )</f>
        <v>0</v>
      </c>
      <c r="Y469" s="76" t="n">
        <f aca="false">IF(ISERROR(VLOOKUP($P469,Member_Tab,4,FALSE())),0,(VLOOKUP($P469,Member_Tab,4,FALSE()) * 0.2 * Y$7) * (IF(AND(Y$5 &gt;= VLOOKUP($P469,Member_Tab,6,FALSE()), Y$5 &lt;= VLOOKUP($P469,Member_Tab,7,FALSE())),1,0))  )</f>
        <v>0</v>
      </c>
      <c r="Z469" s="76" t="n">
        <f aca="false">IF(ISERROR(VLOOKUP($P469,Member_Tab,4,FALSE())),0,(VLOOKUP($P469,Member_Tab,4,FALSE()) * 0.2 * Z$7) * (IF(AND(Z$5 &gt;= VLOOKUP($P469,Member_Tab,6,FALSE()), Z$5 &lt;= VLOOKUP($P469,Member_Tab,7,FALSE())),1,0))  )</f>
        <v>0</v>
      </c>
      <c r="AA469" s="76" t="n">
        <f aca="false">IF(ISERROR(VLOOKUP($P469,Member_Tab,4,FALSE())),0,(VLOOKUP($P469,Member_Tab,4,FALSE()) * 0.2 * AA$7) * (IF(AND(AA$5 &gt;= VLOOKUP($P469,Member_Tab,6,FALSE()), AA$5 &lt;= VLOOKUP($P469,Member_Tab,7,FALSE())),1,0))  )</f>
        <v>0</v>
      </c>
      <c r="AB469" s="76" t="n">
        <f aca="false">IF(ISERROR(VLOOKUP($P469,Member_Tab,4,FALSE())),0,(VLOOKUP($P469,Member_Tab,4,FALSE()) * 0.2 * AB$7) * (IF(AND(AB$5 &gt;= VLOOKUP($P469,Member_Tab,6,FALSE()), AB$5 &lt;= VLOOKUP($P469,Member_Tab,7,FALSE())),1,0))  )</f>
        <v>0</v>
      </c>
      <c r="AC469" s="76" t="n">
        <f aca="false">IF(ISERROR(VLOOKUP($P469,Member_Tab,4,FALSE())),0,(VLOOKUP($P469,Member_Tab,4,FALSE()) * 0.2 * AC$7) * (IF(AND(AC$5 &gt;= VLOOKUP($P469,Member_Tab,6,FALSE()), AC$5 &lt;= VLOOKUP($P469,Member_Tab,7,FALSE())),1,0))  )</f>
        <v>0</v>
      </c>
      <c r="AD469" s="76" t="n">
        <f aca="false">IF(ISERROR(VLOOKUP($P469,Member_Tab,4,FALSE())),0,(VLOOKUP($P469,Member_Tab,4,FALSE()) * 0.2 * AD$7) * (IF(AND(AD$5 &gt;= VLOOKUP($P469,Member_Tab,6,FALSE()), AD$5 &lt;= VLOOKUP($P469,Member_Tab,7,FALSE())),1,0))  )</f>
        <v>0</v>
      </c>
      <c r="AE469" s="76" t="n">
        <f aca="false">IF(ISERROR(VLOOKUP($P469,Member_Tab,4,FALSE())),0,(VLOOKUP($P469,Member_Tab,4,FALSE()) * 0.2 * AE$7) * (IF(AND(AE$5 &gt;= VLOOKUP($P469,Member_Tab,6,FALSE()), AE$5 &lt;= VLOOKUP($P469,Member_Tab,7,FALSE())),1,0))  )</f>
        <v>0</v>
      </c>
      <c r="AF469" s="76" t="n">
        <f aca="false">IF(ISERROR(VLOOKUP($P469,Member_Tab,4,FALSE())),0,(VLOOKUP($P469,Member_Tab,4,FALSE()) * 0.2 * AF$7) * (IF(AND(AF$5 &gt;= VLOOKUP($P469,Member_Tab,6,FALSE()), AF$5 &lt;= VLOOKUP($P469,Member_Tab,7,FALSE())),1,0))  )</f>
        <v>0</v>
      </c>
      <c r="AG469" s="76" t="n">
        <f aca="false">IF(ISERROR(VLOOKUP($P469,Member_Tab,4,FALSE())),0,(VLOOKUP($P469,Member_Tab,4,FALSE()) * 0.2 * AG$7) * (IF(AND(AG$5 &gt;= VLOOKUP($P469,Member_Tab,6,FALSE()), AG$5 &lt;= VLOOKUP($P469,Member_Tab,7,FALSE())),1,0))  )</f>
        <v>0</v>
      </c>
      <c r="AH469" s="76" t="n">
        <f aca="false">IF(ISERROR(VLOOKUP($P469,Member_Tab,4,FALSE())),0,(VLOOKUP($P469,Member_Tab,4,FALSE()) * 0.2 * AH$7) * (IF(AND(AH$5 &gt;= VLOOKUP($P469,Member_Tab,6,FALSE()), AH$5 &lt;= VLOOKUP($P469,Member_Tab,7,FALSE())),1,0))  )</f>
        <v>0</v>
      </c>
      <c r="AI469" s="76" t="n">
        <f aca="false">IF(ISERROR(VLOOKUP($P469,Member_Tab,4,FALSE())),0,(VLOOKUP($P469,Member_Tab,4,FALSE()) * 0.2 * AI$7) * (IF(AND(AI$5 &gt;= VLOOKUP($P469,Member_Tab,6,FALSE()), AI$5 &lt;= VLOOKUP($P469,Member_Tab,7,FALSE())),1,0))  )</f>
        <v>0</v>
      </c>
      <c r="AJ469" s="76" t="n">
        <f aca="false">IF(ISERROR(VLOOKUP($P469,Member_Tab,4,FALSE())),0,(VLOOKUP($P469,Member_Tab,4,FALSE()) * 0.2 * AJ$7) * (IF(AND(AJ$5 &gt;= VLOOKUP($P469,Member_Tab,6,FALSE()), AJ$5 &lt;= VLOOKUP($P469,Member_Tab,7,FALSE())),1,0))  )</f>
        <v>0</v>
      </c>
      <c r="AK469" s="76" t="n">
        <f aca="false">IF(ISERROR(VLOOKUP($P469,Member_Tab,4,FALSE())),0,(VLOOKUP($P469,Member_Tab,4,FALSE()) * 0.2 * AK$7) * (IF(AND(AK$5 &gt;= VLOOKUP($P469,Member_Tab,6,FALSE()), AK$5 &lt;= VLOOKUP($P469,Member_Tab,7,FALSE())),1,0))  )</f>
        <v>0</v>
      </c>
      <c r="AL469" s="76" t="n">
        <f aca="false">IF(ISERROR(VLOOKUP($P469,Member_Tab,4,FALSE())),0,(VLOOKUP($P469,Member_Tab,4,FALSE()) * 0.2 * AL$7) * (IF(AND(AL$5 &gt;= VLOOKUP($P469,Member_Tab,6,FALSE()), AL$5 &lt;= VLOOKUP($P469,Member_Tab,7,FALSE())),1,0))  )</f>
        <v>0</v>
      </c>
      <c r="AM469" s="76" t="n">
        <f aca="false">IF(ISERROR(VLOOKUP($P469,Member_Tab,4,FALSE())),0,(VLOOKUP($P469,Member_Tab,4,FALSE()) * 0.2 * AM$7) * (IF(AND(AM$5 &gt;= VLOOKUP($P469,Member_Tab,6,FALSE()), AM$5 &lt;= VLOOKUP($P469,Member_Tab,7,FALSE())),1,0))  )</f>
        <v>0</v>
      </c>
      <c r="AN469" s="76" t="n">
        <f aca="false">IF(ISERROR(VLOOKUP($P469,Member_Tab,4,FALSE())),0,(VLOOKUP($P469,Member_Tab,4,FALSE()) * 0.2 * AN$7) * (IF(AND(AN$5 &gt;= VLOOKUP($P469,Member_Tab,6,FALSE()), AN$5 &lt;= VLOOKUP($P469,Member_Tab,7,FALSE())),1,0))  )</f>
        <v>0</v>
      </c>
      <c r="AO469" s="76" t="n">
        <f aca="false">IF(ISERROR(VLOOKUP($P469,Member_Tab,4,FALSE())),0,(VLOOKUP($P469,Member_Tab,4,FALSE()) * 0.2 * AO$7) * (IF(AND(AO$5 &gt;= VLOOKUP($P469,Member_Tab,6,FALSE()), AO$5 &lt;= VLOOKUP($P469,Member_Tab,7,FALSE())),1,0))  )</f>
        <v>0</v>
      </c>
      <c r="AP469" s="76" t="n">
        <f aca="false">IF(ISERROR(VLOOKUP($P469,Member_Tab,4,FALSE())),0,(VLOOKUP($P469,Member_Tab,4,FALSE()) * 0.2 * AP$7) * (IF(AND(AP$5 &gt;= VLOOKUP($P469,Member_Tab,6,FALSE()), AP$5 &lt;= VLOOKUP($P469,Member_Tab,7,FALSE())),1,0))  )</f>
        <v>0</v>
      </c>
      <c r="AQ469" s="76" t="n">
        <f aca="false">IF(ISERROR(VLOOKUP($P469,Member_Tab,4,FALSE())),0,(VLOOKUP($P469,Member_Tab,4,FALSE()) * 0.2 * AQ$7) * (IF(AND(AQ$5 &gt;= VLOOKUP($P469,Member_Tab,6,FALSE()), AQ$5 &lt;= VLOOKUP($P469,Member_Tab,7,FALSE())),1,0))  )</f>
        <v>0</v>
      </c>
      <c r="AR469" s="76" t="n">
        <f aca="false">IF(ISERROR(VLOOKUP($P469,Member_Tab,4,FALSE())),0,(VLOOKUP($P469,Member_Tab,4,FALSE()) * 0.2 * AR$7) * (IF(AND(AR$5 &gt;= VLOOKUP($P469,Member_Tab,6,FALSE()), AR$5 &lt;= VLOOKUP($P469,Member_Tab,7,FALSE())),1,0))  )</f>
        <v>0</v>
      </c>
      <c r="AS469" s="76" t="n">
        <f aca="false">IF(ISERROR(VLOOKUP($P469,Member_Tab,4,FALSE())),0,(VLOOKUP($P469,Member_Tab,4,FALSE()) * 0.2 * AS$7) * (IF(AND(AS$5 &gt;= VLOOKUP($P469,Member_Tab,6,FALSE()), AS$5 &lt;= VLOOKUP($P469,Member_Tab,7,FALSE())),1,0))  )</f>
        <v>0</v>
      </c>
      <c r="AT469" s="76" t="n">
        <f aca="false">IF(ISERROR(VLOOKUP($P469,Member_Tab,4,FALSE())),0,(VLOOKUP($P469,Member_Tab,4,FALSE()) * 0.2 * AT$7) * (IF(AND(AT$5 &gt;= VLOOKUP($P469,Member_Tab,6,FALSE()), AT$5 &lt;= VLOOKUP($P469,Member_Tab,7,FALSE())),1,0))  )</f>
        <v>0</v>
      </c>
      <c r="AU469" s="76" t="n">
        <f aca="false">IF(ISERROR(VLOOKUP($P469,Member_Tab,4,FALSE())),0,(VLOOKUP($P469,Member_Tab,4,FALSE()) * 0.2 * AU$7) * (IF(AND(AU$5 &gt;= VLOOKUP($P469,Member_Tab,6,FALSE()), AU$5 &lt;= VLOOKUP($P469,Member_Tab,7,FALSE())),1,0))  )</f>
        <v>0</v>
      </c>
      <c r="AV469" s="76" t="n">
        <f aca="false">IF(ISERROR(VLOOKUP($P469,Member_Tab,4,FALSE())),0,(VLOOKUP($P469,Member_Tab,4,FALSE()) * 0.2 * AV$7) * (IF(AND(AV$5 &gt;= VLOOKUP($P469,Member_Tab,6,FALSE()), AV$5 &lt;= VLOOKUP($P469,Member_Tab,7,FALSE())),1,0))  )</f>
        <v>0</v>
      </c>
      <c r="AW469" s="76" t="n">
        <f aca="false">IF(ISERROR(VLOOKUP($P469,Member_Tab,4,FALSE())),0,(VLOOKUP($P469,Member_Tab,4,FALSE()) * 0.2 * AW$7) * (IF(AND(AW$5 &gt;= VLOOKUP($P469,Member_Tab,6,FALSE()), AW$5 &lt;= VLOOKUP($P469,Member_Tab,7,FALSE())),1,0))  )</f>
        <v>0</v>
      </c>
      <c r="AX469" s="76" t="n">
        <f aca="false">IF(ISERROR(VLOOKUP($P469,Member_Tab,4,FALSE())),0,(VLOOKUP($P469,Member_Tab,4,FALSE()) * 0.2 * AX$7) * (IF(AND(AX$5 &gt;= VLOOKUP($P469,Member_Tab,6,FALSE()), AX$5 &lt;= VLOOKUP($P469,Member_Tab,7,FALSE())),1,0))  )</f>
        <v>0</v>
      </c>
      <c r="AY469" s="76" t="n">
        <f aca="false">IF(ISERROR(VLOOKUP($P469,Member_Tab,4,FALSE())),0,(VLOOKUP($P469,Member_Tab,4,FALSE()) * 0.2 * AY$7) * (IF(AND(AY$5 &gt;= VLOOKUP($P469,Member_Tab,6,FALSE()), AY$5 &lt;= VLOOKUP($P469,Member_Tab,7,FALSE())),1,0))  )</f>
        <v>0</v>
      </c>
      <c r="AZ469" s="76" t="n">
        <f aca="false">IF(ISERROR(VLOOKUP($P469,Member_Tab,4,FALSE())),0,(VLOOKUP($P469,Member_Tab,4,FALSE()) * 0.2 * AZ$7) * (IF(AND(AZ$5 &gt;= VLOOKUP($P469,Member_Tab,6,FALSE()), AZ$5 &lt;= VLOOKUP($P469,Member_Tab,7,FALSE())),1,0))  )</f>
        <v>0</v>
      </c>
      <c r="BA469" s="76" t="n">
        <f aca="false">IF(ISERROR(VLOOKUP($P469,Member_Tab,4,FALSE())),0,(VLOOKUP($P469,Member_Tab,4,FALSE()) * 0.2 * BA$7) * (IF(AND(BA$5 &gt;= VLOOKUP($P469,Member_Tab,6,FALSE()), BA$5 &lt;= VLOOKUP($P469,Member_Tab,7,FALSE())),1,0))  )</f>
        <v>0</v>
      </c>
      <c r="BB469" s="76" t="n">
        <f aca="false">IF(ISERROR(VLOOKUP($P469,Member_Tab,4,FALSE())),0,(VLOOKUP($P469,Member_Tab,4,FALSE()) * 0.2 * BB$7) * (IF(AND(BB$5 &gt;= VLOOKUP($P469,Member_Tab,6,FALSE()), BB$5 &lt;= VLOOKUP($P469,Member_Tab,7,FALSE())),1,0))  )</f>
        <v>0</v>
      </c>
    </row>
    <row r="470" s="173" customFormat="true" ht="15" hidden="true" customHeight="false" outlineLevel="1" collapsed="false">
      <c r="E470" s="40"/>
      <c r="K470" s="40"/>
      <c r="L470" s="40"/>
      <c r="M470" s="40"/>
      <c r="N470" s="40"/>
      <c r="P470" s="177" t="n">
        <f aca="false">P333</f>
        <v>0</v>
      </c>
      <c r="Q470" s="40"/>
      <c r="R470" s="178"/>
      <c r="S470" s="76" t="n">
        <f aca="false">IF(ISERROR(VLOOKUP($P470,Member_Tab,4,FALSE())),0,(VLOOKUP($P470,Member_Tab,4,FALSE()) * 0.2 * S$7) * (IF(AND(S$5 &gt;= VLOOKUP($P470,Member_Tab,6,FALSE()), S$5 &lt;= VLOOKUP($P470,Member_Tab,7,FALSE())),1,0))  )</f>
        <v>0</v>
      </c>
      <c r="T470" s="76" t="n">
        <f aca="false">IF(ISERROR(VLOOKUP($P470,Member_Tab,4,FALSE())),0,(VLOOKUP($P470,Member_Tab,4,FALSE()) * 0.2 * T$7) * (IF(AND(T$5 &gt;= VLOOKUP($P470,Member_Tab,6,FALSE()), T$5 &lt;= VLOOKUP($P470,Member_Tab,7,FALSE())),1,0))  )</f>
        <v>0</v>
      </c>
      <c r="U470" s="76" t="n">
        <f aca="false">IF(ISERROR(VLOOKUP($P470,Member_Tab,4,FALSE())),0,(VLOOKUP($P470,Member_Tab,4,FALSE()) * 0.2 * U$7) * (IF(AND(U$5 &gt;= VLOOKUP($P470,Member_Tab,6,FALSE()), U$5 &lt;= VLOOKUP($P470,Member_Tab,7,FALSE())),1,0))  )</f>
        <v>0</v>
      </c>
      <c r="V470" s="76" t="n">
        <f aca="false">IF(ISERROR(VLOOKUP($P470,Member_Tab,4,FALSE())),0,(VLOOKUP($P470,Member_Tab,4,FALSE()) * 0.2 * V$7) * (IF(AND(V$5 &gt;= VLOOKUP($P470,Member_Tab,6,FALSE()), V$5 &lt;= VLOOKUP($P470,Member_Tab,7,FALSE())),1,0))  )</f>
        <v>0</v>
      </c>
      <c r="W470" s="76" t="n">
        <f aca="false">IF(ISERROR(VLOOKUP($P470,Member_Tab,4,FALSE())),0,(VLOOKUP($P470,Member_Tab,4,FALSE()) * 0.2 * W$7) * (IF(AND(W$5 &gt;= VLOOKUP($P470,Member_Tab,6,FALSE()), W$5 &lt;= VLOOKUP($P470,Member_Tab,7,FALSE())),1,0))  )</f>
        <v>0</v>
      </c>
      <c r="X470" s="76" t="n">
        <f aca="false">IF(ISERROR(VLOOKUP($P470,Member_Tab,4,FALSE())),0,(VLOOKUP($P470,Member_Tab,4,FALSE()) * 0.2 * X$7) * (IF(AND(X$5 &gt;= VLOOKUP($P470,Member_Tab,6,FALSE()), X$5 &lt;= VLOOKUP($P470,Member_Tab,7,FALSE())),1,0))  )</f>
        <v>0</v>
      </c>
      <c r="Y470" s="76" t="n">
        <f aca="false">IF(ISERROR(VLOOKUP($P470,Member_Tab,4,FALSE())),0,(VLOOKUP($P470,Member_Tab,4,FALSE()) * 0.2 * Y$7) * (IF(AND(Y$5 &gt;= VLOOKUP($P470,Member_Tab,6,FALSE()), Y$5 &lt;= VLOOKUP($P470,Member_Tab,7,FALSE())),1,0))  )</f>
        <v>0</v>
      </c>
      <c r="Z470" s="76" t="n">
        <f aca="false">IF(ISERROR(VLOOKUP($P470,Member_Tab,4,FALSE())),0,(VLOOKUP($P470,Member_Tab,4,FALSE()) * 0.2 * Z$7) * (IF(AND(Z$5 &gt;= VLOOKUP($P470,Member_Tab,6,FALSE()), Z$5 &lt;= VLOOKUP($P470,Member_Tab,7,FALSE())),1,0))  )</f>
        <v>0</v>
      </c>
      <c r="AA470" s="76" t="n">
        <f aca="false">IF(ISERROR(VLOOKUP($P470,Member_Tab,4,FALSE())),0,(VLOOKUP($P470,Member_Tab,4,FALSE()) * 0.2 * AA$7) * (IF(AND(AA$5 &gt;= VLOOKUP($P470,Member_Tab,6,FALSE()), AA$5 &lt;= VLOOKUP($P470,Member_Tab,7,FALSE())),1,0))  )</f>
        <v>0</v>
      </c>
      <c r="AB470" s="76" t="n">
        <f aca="false">IF(ISERROR(VLOOKUP($P470,Member_Tab,4,FALSE())),0,(VLOOKUP($P470,Member_Tab,4,FALSE()) * 0.2 * AB$7) * (IF(AND(AB$5 &gt;= VLOOKUP($P470,Member_Tab,6,FALSE()), AB$5 &lt;= VLOOKUP($P470,Member_Tab,7,FALSE())),1,0))  )</f>
        <v>0</v>
      </c>
      <c r="AC470" s="76" t="n">
        <f aca="false">IF(ISERROR(VLOOKUP($P470,Member_Tab,4,FALSE())),0,(VLOOKUP($P470,Member_Tab,4,FALSE()) * 0.2 * AC$7) * (IF(AND(AC$5 &gt;= VLOOKUP($P470,Member_Tab,6,FALSE()), AC$5 &lt;= VLOOKUP($P470,Member_Tab,7,FALSE())),1,0))  )</f>
        <v>0</v>
      </c>
      <c r="AD470" s="76" t="n">
        <f aca="false">IF(ISERROR(VLOOKUP($P470,Member_Tab,4,FALSE())),0,(VLOOKUP($P470,Member_Tab,4,FALSE()) * 0.2 * AD$7) * (IF(AND(AD$5 &gt;= VLOOKUP($P470,Member_Tab,6,FALSE()), AD$5 &lt;= VLOOKUP($P470,Member_Tab,7,FALSE())),1,0))  )</f>
        <v>0</v>
      </c>
      <c r="AE470" s="76" t="n">
        <f aca="false">IF(ISERROR(VLOOKUP($P470,Member_Tab,4,FALSE())),0,(VLOOKUP($P470,Member_Tab,4,FALSE()) * 0.2 * AE$7) * (IF(AND(AE$5 &gt;= VLOOKUP($P470,Member_Tab,6,FALSE()), AE$5 &lt;= VLOOKUP($P470,Member_Tab,7,FALSE())),1,0))  )</f>
        <v>0</v>
      </c>
      <c r="AF470" s="76" t="n">
        <f aca="false">IF(ISERROR(VLOOKUP($P470,Member_Tab,4,FALSE())),0,(VLOOKUP($P470,Member_Tab,4,FALSE()) * 0.2 * AF$7) * (IF(AND(AF$5 &gt;= VLOOKUP($P470,Member_Tab,6,FALSE()), AF$5 &lt;= VLOOKUP($P470,Member_Tab,7,FALSE())),1,0))  )</f>
        <v>0</v>
      </c>
      <c r="AG470" s="76" t="n">
        <f aca="false">IF(ISERROR(VLOOKUP($P470,Member_Tab,4,FALSE())),0,(VLOOKUP($P470,Member_Tab,4,FALSE()) * 0.2 * AG$7) * (IF(AND(AG$5 &gt;= VLOOKUP($P470,Member_Tab,6,FALSE()), AG$5 &lt;= VLOOKUP($P470,Member_Tab,7,FALSE())),1,0))  )</f>
        <v>0</v>
      </c>
      <c r="AH470" s="76" t="n">
        <f aca="false">IF(ISERROR(VLOOKUP($P470,Member_Tab,4,FALSE())),0,(VLOOKUP($P470,Member_Tab,4,FALSE()) * 0.2 * AH$7) * (IF(AND(AH$5 &gt;= VLOOKUP($P470,Member_Tab,6,FALSE()), AH$5 &lt;= VLOOKUP($P470,Member_Tab,7,FALSE())),1,0))  )</f>
        <v>0</v>
      </c>
      <c r="AI470" s="76" t="n">
        <f aca="false">IF(ISERROR(VLOOKUP($P470,Member_Tab,4,FALSE())),0,(VLOOKUP($P470,Member_Tab,4,FALSE()) * 0.2 * AI$7) * (IF(AND(AI$5 &gt;= VLOOKUP($P470,Member_Tab,6,FALSE()), AI$5 &lt;= VLOOKUP($P470,Member_Tab,7,FALSE())),1,0))  )</f>
        <v>0</v>
      </c>
      <c r="AJ470" s="76" t="n">
        <f aca="false">IF(ISERROR(VLOOKUP($P470,Member_Tab,4,FALSE())),0,(VLOOKUP($P470,Member_Tab,4,FALSE()) * 0.2 * AJ$7) * (IF(AND(AJ$5 &gt;= VLOOKUP($P470,Member_Tab,6,FALSE()), AJ$5 &lt;= VLOOKUP($P470,Member_Tab,7,FALSE())),1,0))  )</f>
        <v>0</v>
      </c>
      <c r="AK470" s="76" t="n">
        <f aca="false">IF(ISERROR(VLOOKUP($P470,Member_Tab,4,FALSE())),0,(VLOOKUP($P470,Member_Tab,4,FALSE()) * 0.2 * AK$7) * (IF(AND(AK$5 &gt;= VLOOKUP($P470,Member_Tab,6,FALSE()), AK$5 &lt;= VLOOKUP($P470,Member_Tab,7,FALSE())),1,0))  )</f>
        <v>0</v>
      </c>
      <c r="AL470" s="76" t="n">
        <f aca="false">IF(ISERROR(VLOOKUP($P470,Member_Tab,4,FALSE())),0,(VLOOKUP($P470,Member_Tab,4,FALSE()) * 0.2 * AL$7) * (IF(AND(AL$5 &gt;= VLOOKUP($P470,Member_Tab,6,FALSE()), AL$5 &lt;= VLOOKUP($P470,Member_Tab,7,FALSE())),1,0))  )</f>
        <v>0</v>
      </c>
      <c r="AM470" s="76" t="n">
        <f aca="false">IF(ISERROR(VLOOKUP($P470,Member_Tab,4,FALSE())),0,(VLOOKUP($P470,Member_Tab,4,FALSE()) * 0.2 * AM$7) * (IF(AND(AM$5 &gt;= VLOOKUP($P470,Member_Tab,6,FALSE()), AM$5 &lt;= VLOOKUP($P470,Member_Tab,7,FALSE())),1,0))  )</f>
        <v>0</v>
      </c>
      <c r="AN470" s="76" t="n">
        <f aca="false">IF(ISERROR(VLOOKUP($P470,Member_Tab,4,FALSE())),0,(VLOOKUP($P470,Member_Tab,4,FALSE()) * 0.2 * AN$7) * (IF(AND(AN$5 &gt;= VLOOKUP($P470,Member_Tab,6,FALSE()), AN$5 &lt;= VLOOKUP($P470,Member_Tab,7,FALSE())),1,0))  )</f>
        <v>0</v>
      </c>
      <c r="AO470" s="76" t="n">
        <f aca="false">IF(ISERROR(VLOOKUP($P470,Member_Tab,4,FALSE())),0,(VLOOKUP($P470,Member_Tab,4,FALSE()) * 0.2 * AO$7) * (IF(AND(AO$5 &gt;= VLOOKUP($P470,Member_Tab,6,FALSE()), AO$5 &lt;= VLOOKUP($P470,Member_Tab,7,FALSE())),1,0))  )</f>
        <v>0</v>
      </c>
      <c r="AP470" s="76" t="n">
        <f aca="false">IF(ISERROR(VLOOKUP($P470,Member_Tab,4,FALSE())),0,(VLOOKUP($P470,Member_Tab,4,FALSE()) * 0.2 * AP$7) * (IF(AND(AP$5 &gt;= VLOOKUP($P470,Member_Tab,6,FALSE()), AP$5 &lt;= VLOOKUP($P470,Member_Tab,7,FALSE())),1,0))  )</f>
        <v>0</v>
      </c>
      <c r="AQ470" s="76" t="n">
        <f aca="false">IF(ISERROR(VLOOKUP($P470,Member_Tab,4,FALSE())),0,(VLOOKUP($P470,Member_Tab,4,FALSE()) * 0.2 * AQ$7) * (IF(AND(AQ$5 &gt;= VLOOKUP($P470,Member_Tab,6,FALSE()), AQ$5 &lt;= VLOOKUP($P470,Member_Tab,7,FALSE())),1,0))  )</f>
        <v>0</v>
      </c>
      <c r="AR470" s="76" t="n">
        <f aca="false">IF(ISERROR(VLOOKUP($P470,Member_Tab,4,FALSE())),0,(VLOOKUP($P470,Member_Tab,4,FALSE()) * 0.2 * AR$7) * (IF(AND(AR$5 &gt;= VLOOKUP($P470,Member_Tab,6,FALSE()), AR$5 &lt;= VLOOKUP($P470,Member_Tab,7,FALSE())),1,0))  )</f>
        <v>0</v>
      </c>
      <c r="AS470" s="76" t="n">
        <f aca="false">IF(ISERROR(VLOOKUP($P470,Member_Tab,4,FALSE())),0,(VLOOKUP($P470,Member_Tab,4,FALSE()) * 0.2 * AS$7) * (IF(AND(AS$5 &gt;= VLOOKUP($P470,Member_Tab,6,FALSE()), AS$5 &lt;= VLOOKUP($P470,Member_Tab,7,FALSE())),1,0))  )</f>
        <v>0</v>
      </c>
      <c r="AT470" s="76" t="n">
        <f aca="false">IF(ISERROR(VLOOKUP($P470,Member_Tab,4,FALSE())),0,(VLOOKUP($P470,Member_Tab,4,FALSE()) * 0.2 * AT$7) * (IF(AND(AT$5 &gt;= VLOOKUP($P470,Member_Tab,6,FALSE()), AT$5 &lt;= VLOOKUP($P470,Member_Tab,7,FALSE())),1,0))  )</f>
        <v>0</v>
      </c>
      <c r="AU470" s="76" t="n">
        <f aca="false">IF(ISERROR(VLOOKUP($P470,Member_Tab,4,FALSE())),0,(VLOOKUP($P470,Member_Tab,4,FALSE()) * 0.2 * AU$7) * (IF(AND(AU$5 &gt;= VLOOKUP($P470,Member_Tab,6,FALSE()), AU$5 &lt;= VLOOKUP($P470,Member_Tab,7,FALSE())),1,0))  )</f>
        <v>0</v>
      </c>
      <c r="AV470" s="76" t="n">
        <f aca="false">IF(ISERROR(VLOOKUP($P470,Member_Tab,4,FALSE())),0,(VLOOKUP($P470,Member_Tab,4,FALSE()) * 0.2 * AV$7) * (IF(AND(AV$5 &gt;= VLOOKUP($P470,Member_Tab,6,FALSE()), AV$5 &lt;= VLOOKUP($P470,Member_Tab,7,FALSE())),1,0))  )</f>
        <v>0</v>
      </c>
      <c r="AW470" s="76" t="n">
        <f aca="false">IF(ISERROR(VLOOKUP($P470,Member_Tab,4,FALSE())),0,(VLOOKUP($P470,Member_Tab,4,FALSE()) * 0.2 * AW$7) * (IF(AND(AW$5 &gt;= VLOOKUP($P470,Member_Tab,6,FALSE()), AW$5 &lt;= VLOOKUP($P470,Member_Tab,7,FALSE())),1,0))  )</f>
        <v>0</v>
      </c>
      <c r="AX470" s="76" t="n">
        <f aca="false">IF(ISERROR(VLOOKUP($P470,Member_Tab,4,FALSE())),0,(VLOOKUP($P470,Member_Tab,4,FALSE()) * 0.2 * AX$7) * (IF(AND(AX$5 &gt;= VLOOKUP($P470,Member_Tab,6,FALSE()), AX$5 &lt;= VLOOKUP($P470,Member_Tab,7,FALSE())),1,0))  )</f>
        <v>0</v>
      </c>
      <c r="AY470" s="76" t="n">
        <f aca="false">IF(ISERROR(VLOOKUP($P470,Member_Tab,4,FALSE())),0,(VLOOKUP($P470,Member_Tab,4,FALSE()) * 0.2 * AY$7) * (IF(AND(AY$5 &gt;= VLOOKUP($P470,Member_Tab,6,FALSE()), AY$5 &lt;= VLOOKUP($P470,Member_Tab,7,FALSE())),1,0))  )</f>
        <v>0</v>
      </c>
      <c r="AZ470" s="76" t="n">
        <f aca="false">IF(ISERROR(VLOOKUP($P470,Member_Tab,4,FALSE())),0,(VLOOKUP($P470,Member_Tab,4,FALSE()) * 0.2 * AZ$7) * (IF(AND(AZ$5 &gt;= VLOOKUP($P470,Member_Tab,6,FALSE()), AZ$5 &lt;= VLOOKUP($P470,Member_Tab,7,FALSE())),1,0))  )</f>
        <v>0</v>
      </c>
      <c r="BA470" s="76" t="n">
        <f aca="false">IF(ISERROR(VLOOKUP($P470,Member_Tab,4,FALSE())),0,(VLOOKUP($P470,Member_Tab,4,FALSE()) * 0.2 * BA$7) * (IF(AND(BA$5 &gt;= VLOOKUP($P470,Member_Tab,6,FALSE()), BA$5 &lt;= VLOOKUP($P470,Member_Tab,7,FALSE())),1,0))  )</f>
        <v>0</v>
      </c>
      <c r="BB470" s="76" t="n">
        <f aca="false">IF(ISERROR(VLOOKUP($P470,Member_Tab,4,FALSE())),0,(VLOOKUP($P470,Member_Tab,4,FALSE()) * 0.2 * BB$7) * (IF(AND(BB$5 &gt;= VLOOKUP($P470,Member_Tab,6,FALSE()), BB$5 &lt;= VLOOKUP($P470,Member_Tab,7,FALSE())),1,0))  )</f>
        <v>0</v>
      </c>
    </row>
    <row r="471" s="173" customFormat="true" ht="15" hidden="true" customHeight="false" outlineLevel="1" collapsed="false">
      <c r="E471" s="40"/>
      <c r="K471" s="40"/>
      <c r="L471" s="40"/>
      <c r="M471" s="40"/>
      <c r="N471" s="40"/>
      <c r="P471" s="177" t="n">
        <f aca="false">P334</f>
        <v>0</v>
      </c>
      <c r="Q471" s="40"/>
      <c r="R471" s="178"/>
      <c r="S471" s="76" t="n">
        <f aca="false">IF(ISERROR(VLOOKUP($P471,Member_Tab,4,FALSE())),0,(VLOOKUP($P471,Member_Tab,4,FALSE()) * 0.2 * S$7) * (IF(AND(S$5 &gt;= VLOOKUP($P471,Member_Tab,6,FALSE()), S$5 &lt;= VLOOKUP($P471,Member_Tab,7,FALSE())),1,0))  )</f>
        <v>0</v>
      </c>
      <c r="T471" s="76" t="n">
        <f aca="false">IF(ISERROR(VLOOKUP($P471,Member_Tab,4,FALSE())),0,(VLOOKUP($P471,Member_Tab,4,FALSE()) * 0.2 * T$7) * (IF(AND(T$5 &gt;= VLOOKUP($P471,Member_Tab,6,FALSE()), T$5 &lt;= VLOOKUP($P471,Member_Tab,7,FALSE())),1,0))  )</f>
        <v>0</v>
      </c>
      <c r="U471" s="76" t="n">
        <f aca="false">IF(ISERROR(VLOOKUP($P471,Member_Tab,4,FALSE())),0,(VLOOKUP($P471,Member_Tab,4,FALSE()) * 0.2 * U$7) * (IF(AND(U$5 &gt;= VLOOKUP($P471,Member_Tab,6,FALSE()), U$5 &lt;= VLOOKUP($P471,Member_Tab,7,FALSE())),1,0))  )</f>
        <v>0</v>
      </c>
      <c r="V471" s="76" t="n">
        <f aca="false">IF(ISERROR(VLOOKUP($P471,Member_Tab,4,FALSE())),0,(VLOOKUP($P471,Member_Tab,4,FALSE()) * 0.2 * V$7) * (IF(AND(V$5 &gt;= VLOOKUP($P471,Member_Tab,6,FALSE()), V$5 &lt;= VLOOKUP($P471,Member_Tab,7,FALSE())),1,0))  )</f>
        <v>0</v>
      </c>
      <c r="W471" s="76" t="n">
        <f aca="false">IF(ISERROR(VLOOKUP($P471,Member_Tab,4,FALSE())),0,(VLOOKUP($P471,Member_Tab,4,FALSE()) * 0.2 * W$7) * (IF(AND(W$5 &gt;= VLOOKUP($P471,Member_Tab,6,FALSE()), W$5 &lt;= VLOOKUP($P471,Member_Tab,7,FALSE())),1,0))  )</f>
        <v>0</v>
      </c>
      <c r="X471" s="76" t="n">
        <f aca="false">IF(ISERROR(VLOOKUP($P471,Member_Tab,4,FALSE())),0,(VLOOKUP($P471,Member_Tab,4,FALSE()) * 0.2 * X$7) * (IF(AND(X$5 &gt;= VLOOKUP($P471,Member_Tab,6,FALSE()), X$5 &lt;= VLOOKUP($P471,Member_Tab,7,FALSE())),1,0))  )</f>
        <v>0</v>
      </c>
      <c r="Y471" s="76" t="n">
        <f aca="false">IF(ISERROR(VLOOKUP($P471,Member_Tab,4,FALSE())),0,(VLOOKUP($P471,Member_Tab,4,FALSE()) * 0.2 * Y$7) * (IF(AND(Y$5 &gt;= VLOOKUP($P471,Member_Tab,6,FALSE()), Y$5 &lt;= VLOOKUP($P471,Member_Tab,7,FALSE())),1,0))  )</f>
        <v>0</v>
      </c>
      <c r="Z471" s="76" t="n">
        <f aca="false">IF(ISERROR(VLOOKUP($P471,Member_Tab,4,FALSE())),0,(VLOOKUP($P471,Member_Tab,4,FALSE()) * 0.2 * Z$7) * (IF(AND(Z$5 &gt;= VLOOKUP($P471,Member_Tab,6,FALSE()), Z$5 &lt;= VLOOKUP($P471,Member_Tab,7,FALSE())),1,0))  )</f>
        <v>0</v>
      </c>
      <c r="AA471" s="76" t="n">
        <f aca="false">IF(ISERROR(VLOOKUP($P471,Member_Tab,4,FALSE())),0,(VLOOKUP($P471,Member_Tab,4,FALSE()) * 0.2 * AA$7) * (IF(AND(AA$5 &gt;= VLOOKUP($P471,Member_Tab,6,FALSE()), AA$5 &lt;= VLOOKUP($P471,Member_Tab,7,FALSE())),1,0))  )</f>
        <v>0</v>
      </c>
      <c r="AB471" s="76" t="n">
        <f aca="false">IF(ISERROR(VLOOKUP($P471,Member_Tab,4,FALSE())),0,(VLOOKUP($P471,Member_Tab,4,FALSE()) * 0.2 * AB$7) * (IF(AND(AB$5 &gt;= VLOOKUP($P471,Member_Tab,6,FALSE()), AB$5 &lt;= VLOOKUP($P471,Member_Tab,7,FALSE())),1,0))  )</f>
        <v>0</v>
      </c>
      <c r="AC471" s="76" t="n">
        <f aca="false">IF(ISERROR(VLOOKUP($P471,Member_Tab,4,FALSE())),0,(VLOOKUP($P471,Member_Tab,4,FALSE()) * 0.2 * AC$7) * (IF(AND(AC$5 &gt;= VLOOKUP($P471,Member_Tab,6,FALSE()), AC$5 &lt;= VLOOKUP($P471,Member_Tab,7,FALSE())),1,0))  )</f>
        <v>0</v>
      </c>
      <c r="AD471" s="76" t="n">
        <f aca="false">IF(ISERROR(VLOOKUP($P471,Member_Tab,4,FALSE())),0,(VLOOKUP($P471,Member_Tab,4,FALSE()) * 0.2 * AD$7) * (IF(AND(AD$5 &gt;= VLOOKUP($P471,Member_Tab,6,FALSE()), AD$5 &lt;= VLOOKUP($P471,Member_Tab,7,FALSE())),1,0))  )</f>
        <v>0</v>
      </c>
      <c r="AE471" s="76" t="n">
        <f aca="false">IF(ISERROR(VLOOKUP($P471,Member_Tab,4,FALSE())),0,(VLOOKUP($P471,Member_Tab,4,FALSE()) * 0.2 * AE$7) * (IF(AND(AE$5 &gt;= VLOOKUP($P471,Member_Tab,6,FALSE()), AE$5 &lt;= VLOOKUP($P471,Member_Tab,7,FALSE())),1,0))  )</f>
        <v>0</v>
      </c>
      <c r="AF471" s="76" t="n">
        <f aca="false">IF(ISERROR(VLOOKUP($P471,Member_Tab,4,FALSE())),0,(VLOOKUP($P471,Member_Tab,4,FALSE()) * 0.2 * AF$7) * (IF(AND(AF$5 &gt;= VLOOKUP($P471,Member_Tab,6,FALSE()), AF$5 &lt;= VLOOKUP($P471,Member_Tab,7,FALSE())),1,0))  )</f>
        <v>0</v>
      </c>
      <c r="AG471" s="76" t="n">
        <f aca="false">IF(ISERROR(VLOOKUP($P471,Member_Tab,4,FALSE())),0,(VLOOKUP($P471,Member_Tab,4,FALSE()) * 0.2 * AG$7) * (IF(AND(AG$5 &gt;= VLOOKUP($P471,Member_Tab,6,FALSE()), AG$5 &lt;= VLOOKUP($P471,Member_Tab,7,FALSE())),1,0))  )</f>
        <v>0</v>
      </c>
      <c r="AH471" s="76" t="n">
        <f aca="false">IF(ISERROR(VLOOKUP($P471,Member_Tab,4,FALSE())),0,(VLOOKUP($P471,Member_Tab,4,FALSE()) * 0.2 * AH$7) * (IF(AND(AH$5 &gt;= VLOOKUP($P471,Member_Tab,6,FALSE()), AH$5 &lt;= VLOOKUP($P471,Member_Tab,7,FALSE())),1,0))  )</f>
        <v>0</v>
      </c>
      <c r="AI471" s="76" t="n">
        <f aca="false">IF(ISERROR(VLOOKUP($P471,Member_Tab,4,FALSE())),0,(VLOOKUP($P471,Member_Tab,4,FALSE()) * 0.2 * AI$7) * (IF(AND(AI$5 &gt;= VLOOKUP($P471,Member_Tab,6,FALSE()), AI$5 &lt;= VLOOKUP($P471,Member_Tab,7,FALSE())),1,0))  )</f>
        <v>0</v>
      </c>
      <c r="AJ471" s="76" t="n">
        <f aca="false">IF(ISERROR(VLOOKUP($P471,Member_Tab,4,FALSE())),0,(VLOOKUP($P471,Member_Tab,4,FALSE()) * 0.2 * AJ$7) * (IF(AND(AJ$5 &gt;= VLOOKUP($P471,Member_Tab,6,FALSE()), AJ$5 &lt;= VLOOKUP($P471,Member_Tab,7,FALSE())),1,0))  )</f>
        <v>0</v>
      </c>
      <c r="AK471" s="76" t="n">
        <f aca="false">IF(ISERROR(VLOOKUP($P471,Member_Tab,4,FALSE())),0,(VLOOKUP($P471,Member_Tab,4,FALSE()) * 0.2 * AK$7) * (IF(AND(AK$5 &gt;= VLOOKUP($P471,Member_Tab,6,FALSE()), AK$5 &lt;= VLOOKUP($P471,Member_Tab,7,FALSE())),1,0))  )</f>
        <v>0</v>
      </c>
      <c r="AL471" s="76" t="n">
        <f aca="false">IF(ISERROR(VLOOKUP($P471,Member_Tab,4,FALSE())),0,(VLOOKUP($P471,Member_Tab,4,FALSE()) * 0.2 * AL$7) * (IF(AND(AL$5 &gt;= VLOOKUP($P471,Member_Tab,6,FALSE()), AL$5 &lt;= VLOOKUP($P471,Member_Tab,7,FALSE())),1,0))  )</f>
        <v>0</v>
      </c>
      <c r="AM471" s="76" t="n">
        <f aca="false">IF(ISERROR(VLOOKUP($P471,Member_Tab,4,FALSE())),0,(VLOOKUP($P471,Member_Tab,4,FALSE()) * 0.2 * AM$7) * (IF(AND(AM$5 &gt;= VLOOKUP($P471,Member_Tab,6,FALSE()), AM$5 &lt;= VLOOKUP($P471,Member_Tab,7,FALSE())),1,0))  )</f>
        <v>0</v>
      </c>
      <c r="AN471" s="76" t="n">
        <f aca="false">IF(ISERROR(VLOOKUP($P471,Member_Tab,4,FALSE())),0,(VLOOKUP($P471,Member_Tab,4,FALSE()) * 0.2 * AN$7) * (IF(AND(AN$5 &gt;= VLOOKUP($P471,Member_Tab,6,FALSE()), AN$5 &lt;= VLOOKUP($P471,Member_Tab,7,FALSE())),1,0))  )</f>
        <v>0</v>
      </c>
      <c r="AO471" s="76" t="n">
        <f aca="false">IF(ISERROR(VLOOKUP($P471,Member_Tab,4,FALSE())),0,(VLOOKUP($P471,Member_Tab,4,FALSE()) * 0.2 * AO$7) * (IF(AND(AO$5 &gt;= VLOOKUP($P471,Member_Tab,6,FALSE()), AO$5 &lt;= VLOOKUP($P471,Member_Tab,7,FALSE())),1,0))  )</f>
        <v>0</v>
      </c>
      <c r="AP471" s="76" t="n">
        <f aca="false">IF(ISERROR(VLOOKUP($P471,Member_Tab,4,FALSE())),0,(VLOOKUP($P471,Member_Tab,4,FALSE()) * 0.2 * AP$7) * (IF(AND(AP$5 &gt;= VLOOKUP($P471,Member_Tab,6,FALSE()), AP$5 &lt;= VLOOKUP($P471,Member_Tab,7,FALSE())),1,0))  )</f>
        <v>0</v>
      </c>
      <c r="AQ471" s="76" t="n">
        <f aca="false">IF(ISERROR(VLOOKUP($P471,Member_Tab,4,FALSE())),0,(VLOOKUP($P471,Member_Tab,4,FALSE()) * 0.2 * AQ$7) * (IF(AND(AQ$5 &gt;= VLOOKUP($P471,Member_Tab,6,FALSE()), AQ$5 &lt;= VLOOKUP($P471,Member_Tab,7,FALSE())),1,0))  )</f>
        <v>0</v>
      </c>
      <c r="AR471" s="76" t="n">
        <f aca="false">IF(ISERROR(VLOOKUP($P471,Member_Tab,4,FALSE())),0,(VLOOKUP($P471,Member_Tab,4,FALSE()) * 0.2 * AR$7) * (IF(AND(AR$5 &gt;= VLOOKUP($P471,Member_Tab,6,FALSE()), AR$5 &lt;= VLOOKUP($P471,Member_Tab,7,FALSE())),1,0))  )</f>
        <v>0</v>
      </c>
      <c r="AS471" s="76" t="n">
        <f aca="false">IF(ISERROR(VLOOKUP($P471,Member_Tab,4,FALSE())),0,(VLOOKUP($P471,Member_Tab,4,FALSE()) * 0.2 * AS$7) * (IF(AND(AS$5 &gt;= VLOOKUP($P471,Member_Tab,6,FALSE()), AS$5 &lt;= VLOOKUP($P471,Member_Tab,7,FALSE())),1,0))  )</f>
        <v>0</v>
      </c>
      <c r="AT471" s="76" t="n">
        <f aca="false">IF(ISERROR(VLOOKUP($P471,Member_Tab,4,FALSE())),0,(VLOOKUP($P471,Member_Tab,4,FALSE()) * 0.2 * AT$7) * (IF(AND(AT$5 &gt;= VLOOKUP($P471,Member_Tab,6,FALSE()), AT$5 &lt;= VLOOKUP($P471,Member_Tab,7,FALSE())),1,0))  )</f>
        <v>0</v>
      </c>
      <c r="AU471" s="76" t="n">
        <f aca="false">IF(ISERROR(VLOOKUP($P471,Member_Tab,4,FALSE())),0,(VLOOKUP($P471,Member_Tab,4,FALSE()) * 0.2 * AU$7) * (IF(AND(AU$5 &gt;= VLOOKUP($P471,Member_Tab,6,FALSE()), AU$5 &lt;= VLOOKUP($P471,Member_Tab,7,FALSE())),1,0))  )</f>
        <v>0</v>
      </c>
      <c r="AV471" s="76" t="n">
        <f aca="false">IF(ISERROR(VLOOKUP($P471,Member_Tab,4,FALSE())),0,(VLOOKUP($P471,Member_Tab,4,FALSE()) * 0.2 * AV$7) * (IF(AND(AV$5 &gt;= VLOOKUP($P471,Member_Tab,6,FALSE()), AV$5 &lt;= VLOOKUP($P471,Member_Tab,7,FALSE())),1,0))  )</f>
        <v>0</v>
      </c>
      <c r="AW471" s="76" t="n">
        <f aca="false">IF(ISERROR(VLOOKUP($P471,Member_Tab,4,FALSE())),0,(VLOOKUP($P471,Member_Tab,4,FALSE()) * 0.2 * AW$7) * (IF(AND(AW$5 &gt;= VLOOKUP($P471,Member_Tab,6,FALSE()), AW$5 &lt;= VLOOKUP($P471,Member_Tab,7,FALSE())),1,0))  )</f>
        <v>0</v>
      </c>
      <c r="AX471" s="76" t="n">
        <f aca="false">IF(ISERROR(VLOOKUP($P471,Member_Tab,4,FALSE())),0,(VLOOKUP($P471,Member_Tab,4,FALSE()) * 0.2 * AX$7) * (IF(AND(AX$5 &gt;= VLOOKUP($P471,Member_Tab,6,FALSE()), AX$5 &lt;= VLOOKUP($P471,Member_Tab,7,FALSE())),1,0))  )</f>
        <v>0</v>
      </c>
      <c r="AY471" s="76" t="n">
        <f aca="false">IF(ISERROR(VLOOKUP($P471,Member_Tab,4,FALSE())),0,(VLOOKUP($P471,Member_Tab,4,FALSE()) * 0.2 * AY$7) * (IF(AND(AY$5 &gt;= VLOOKUP($P471,Member_Tab,6,FALSE()), AY$5 &lt;= VLOOKUP($P471,Member_Tab,7,FALSE())),1,0))  )</f>
        <v>0</v>
      </c>
      <c r="AZ471" s="76" t="n">
        <f aca="false">IF(ISERROR(VLOOKUP($P471,Member_Tab,4,FALSE())),0,(VLOOKUP($P471,Member_Tab,4,FALSE()) * 0.2 * AZ$7) * (IF(AND(AZ$5 &gt;= VLOOKUP($P471,Member_Tab,6,FALSE()), AZ$5 &lt;= VLOOKUP($P471,Member_Tab,7,FALSE())),1,0))  )</f>
        <v>0</v>
      </c>
      <c r="BA471" s="76" t="n">
        <f aca="false">IF(ISERROR(VLOOKUP($P471,Member_Tab,4,FALSE())),0,(VLOOKUP($P471,Member_Tab,4,FALSE()) * 0.2 * BA$7) * (IF(AND(BA$5 &gt;= VLOOKUP($P471,Member_Tab,6,FALSE()), BA$5 &lt;= VLOOKUP($P471,Member_Tab,7,FALSE())),1,0))  )</f>
        <v>0</v>
      </c>
      <c r="BB471" s="76" t="n">
        <f aca="false">IF(ISERROR(VLOOKUP($P471,Member_Tab,4,FALSE())),0,(VLOOKUP($P471,Member_Tab,4,FALSE()) * 0.2 * BB$7) * (IF(AND(BB$5 &gt;= VLOOKUP($P471,Member_Tab,6,FALSE()), BB$5 &lt;= VLOOKUP($P471,Member_Tab,7,FALSE())),1,0))  )</f>
        <v>0</v>
      </c>
    </row>
    <row r="472" s="173" customFormat="true" ht="15" hidden="true" customHeight="false" outlineLevel="1" collapsed="false">
      <c r="E472" s="40"/>
      <c r="K472" s="40"/>
      <c r="L472" s="40"/>
      <c r="M472" s="40"/>
      <c r="N472" s="40"/>
      <c r="P472" s="177" t="n">
        <f aca="false">P335</f>
        <v>0</v>
      </c>
      <c r="Q472" s="40"/>
      <c r="R472" s="178"/>
      <c r="S472" s="76" t="n">
        <f aca="false">IF(ISERROR(VLOOKUP($P472,Member_Tab,4,FALSE())),0,(VLOOKUP($P472,Member_Tab,4,FALSE()) * 0.2 * S$7) * (IF(AND(S$5 &gt;= VLOOKUP($P472,Member_Tab,6,FALSE()), S$5 &lt;= VLOOKUP($P472,Member_Tab,7,FALSE())),1,0))  )</f>
        <v>0</v>
      </c>
      <c r="T472" s="76" t="n">
        <f aca="false">IF(ISERROR(VLOOKUP($P472,Member_Tab,4,FALSE())),0,(VLOOKUP($P472,Member_Tab,4,FALSE()) * 0.2 * T$7) * (IF(AND(T$5 &gt;= VLOOKUP($P472,Member_Tab,6,FALSE()), T$5 &lt;= VLOOKUP($P472,Member_Tab,7,FALSE())),1,0))  )</f>
        <v>0</v>
      </c>
      <c r="U472" s="76" t="n">
        <f aca="false">IF(ISERROR(VLOOKUP($P472,Member_Tab,4,FALSE())),0,(VLOOKUP($P472,Member_Tab,4,FALSE()) * 0.2 * U$7) * (IF(AND(U$5 &gt;= VLOOKUP($P472,Member_Tab,6,FALSE()), U$5 &lt;= VLOOKUP($P472,Member_Tab,7,FALSE())),1,0))  )</f>
        <v>0</v>
      </c>
      <c r="V472" s="76" t="n">
        <f aca="false">IF(ISERROR(VLOOKUP($P472,Member_Tab,4,FALSE())),0,(VLOOKUP($P472,Member_Tab,4,FALSE()) * 0.2 * V$7) * (IF(AND(V$5 &gt;= VLOOKUP($P472,Member_Tab,6,FALSE()), V$5 &lt;= VLOOKUP($P472,Member_Tab,7,FALSE())),1,0))  )</f>
        <v>0</v>
      </c>
      <c r="W472" s="76" t="n">
        <f aca="false">IF(ISERROR(VLOOKUP($P472,Member_Tab,4,FALSE())),0,(VLOOKUP($P472,Member_Tab,4,FALSE()) * 0.2 * W$7) * (IF(AND(W$5 &gt;= VLOOKUP($P472,Member_Tab,6,FALSE()), W$5 &lt;= VLOOKUP($P472,Member_Tab,7,FALSE())),1,0))  )</f>
        <v>0</v>
      </c>
      <c r="X472" s="76" t="n">
        <f aca="false">IF(ISERROR(VLOOKUP($P472,Member_Tab,4,FALSE())),0,(VLOOKUP($P472,Member_Tab,4,FALSE()) * 0.2 * X$7) * (IF(AND(X$5 &gt;= VLOOKUP($P472,Member_Tab,6,FALSE()), X$5 &lt;= VLOOKUP($P472,Member_Tab,7,FALSE())),1,0))  )</f>
        <v>0</v>
      </c>
      <c r="Y472" s="76" t="n">
        <f aca="false">IF(ISERROR(VLOOKUP($P472,Member_Tab,4,FALSE())),0,(VLOOKUP($P472,Member_Tab,4,FALSE()) * 0.2 * Y$7) * (IF(AND(Y$5 &gt;= VLOOKUP($P472,Member_Tab,6,FALSE()), Y$5 &lt;= VLOOKUP($P472,Member_Tab,7,FALSE())),1,0))  )</f>
        <v>0</v>
      </c>
      <c r="Z472" s="76" t="n">
        <f aca="false">IF(ISERROR(VLOOKUP($P472,Member_Tab,4,FALSE())),0,(VLOOKUP($P472,Member_Tab,4,FALSE()) * 0.2 * Z$7) * (IF(AND(Z$5 &gt;= VLOOKUP($P472,Member_Tab,6,FALSE()), Z$5 &lt;= VLOOKUP($P472,Member_Tab,7,FALSE())),1,0))  )</f>
        <v>0</v>
      </c>
      <c r="AA472" s="76" t="n">
        <f aca="false">IF(ISERROR(VLOOKUP($P472,Member_Tab,4,FALSE())),0,(VLOOKUP($P472,Member_Tab,4,FALSE()) * 0.2 * AA$7) * (IF(AND(AA$5 &gt;= VLOOKUP($P472,Member_Tab,6,FALSE()), AA$5 &lt;= VLOOKUP($P472,Member_Tab,7,FALSE())),1,0))  )</f>
        <v>0</v>
      </c>
      <c r="AB472" s="76" t="n">
        <f aca="false">IF(ISERROR(VLOOKUP($P472,Member_Tab,4,FALSE())),0,(VLOOKUP($P472,Member_Tab,4,FALSE()) * 0.2 * AB$7) * (IF(AND(AB$5 &gt;= VLOOKUP($P472,Member_Tab,6,FALSE()), AB$5 &lt;= VLOOKUP($P472,Member_Tab,7,FALSE())),1,0))  )</f>
        <v>0</v>
      </c>
      <c r="AC472" s="76" t="n">
        <f aca="false">IF(ISERROR(VLOOKUP($P472,Member_Tab,4,FALSE())),0,(VLOOKUP($P472,Member_Tab,4,FALSE()) * 0.2 * AC$7) * (IF(AND(AC$5 &gt;= VLOOKUP($P472,Member_Tab,6,FALSE()), AC$5 &lt;= VLOOKUP($P472,Member_Tab,7,FALSE())),1,0))  )</f>
        <v>0</v>
      </c>
      <c r="AD472" s="76" t="n">
        <f aca="false">IF(ISERROR(VLOOKUP($P472,Member_Tab,4,FALSE())),0,(VLOOKUP($P472,Member_Tab,4,FALSE()) * 0.2 * AD$7) * (IF(AND(AD$5 &gt;= VLOOKUP($P472,Member_Tab,6,FALSE()), AD$5 &lt;= VLOOKUP($P472,Member_Tab,7,FALSE())),1,0))  )</f>
        <v>0</v>
      </c>
      <c r="AE472" s="76" t="n">
        <f aca="false">IF(ISERROR(VLOOKUP($P472,Member_Tab,4,FALSE())),0,(VLOOKUP($P472,Member_Tab,4,FALSE()) * 0.2 * AE$7) * (IF(AND(AE$5 &gt;= VLOOKUP($P472,Member_Tab,6,FALSE()), AE$5 &lt;= VLOOKUP($P472,Member_Tab,7,FALSE())),1,0))  )</f>
        <v>0</v>
      </c>
      <c r="AF472" s="76" t="n">
        <f aca="false">IF(ISERROR(VLOOKUP($P472,Member_Tab,4,FALSE())),0,(VLOOKUP($P472,Member_Tab,4,FALSE()) * 0.2 * AF$7) * (IF(AND(AF$5 &gt;= VLOOKUP($P472,Member_Tab,6,FALSE()), AF$5 &lt;= VLOOKUP($P472,Member_Tab,7,FALSE())),1,0))  )</f>
        <v>0</v>
      </c>
      <c r="AG472" s="76" t="n">
        <f aca="false">IF(ISERROR(VLOOKUP($P472,Member_Tab,4,FALSE())),0,(VLOOKUP($P472,Member_Tab,4,FALSE()) * 0.2 * AG$7) * (IF(AND(AG$5 &gt;= VLOOKUP($P472,Member_Tab,6,FALSE()), AG$5 &lt;= VLOOKUP($P472,Member_Tab,7,FALSE())),1,0))  )</f>
        <v>0</v>
      </c>
      <c r="AH472" s="76" t="n">
        <f aca="false">IF(ISERROR(VLOOKUP($P472,Member_Tab,4,FALSE())),0,(VLOOKUP($P472,Member_Tab,4,FALSE()) * 0.2 * AH$7) * (IF(AND(AH$5 &gt;= VLOOKUP($P472,Member_Tab,6,FALSE()), AH$5 &lt;= VLOOKUP($P472,Member_Tab,7,FALSE())),1,0))  )</f>
        <v>0</v>
      </c>
      <c r="AI472" s="76" t="n">
        <f aca="false">IF(ISERROR(VLOOKUP($P472,Member_Tab,4,FALSE())),0,(VLOOKUP($P472,Member_Tab,4,FALSE()) * 0.2 * AI$7) * (IF(AND(AI$5 &gt;= VLOOKUP($P472,Member_Tab,6,FALSE()), AI$5 &lt;= VLOOKUP($P472,Member_Tab,7,FALSE())),1,0))  )</f>
        <v>0</v>
      </c>
      <c r="AJ472" s="76" t="n">
        <f aca="false">IF(ISERROR(VLOOKUP($P472,Member_Tab,4,FALSE())),0,(VLOOKUP($P472,Member_Tab,4,FALSE()) * 0.2 * AJ$7) * (IF(AND(AJ$5 &gt;= VLOOKUP($P472,Member_Tab,6,FALSE()), AJ$5 &lt;= VLOOKUP($P472,Member_Tab,7,FALSE())),1,0))  )</f>
        <v>0</v>
      </c>
      <c r="AK472" s="76" t="n">
        <f aca="false">IF(ISERROR(VLOOKUP($P472,Member_Tab,4,FALSE())),0,(VLOOKUP($P472,Member_Tab,4,FALSE()) * 0.2 * AK$7) * (IF(AND(AK$5 &gt;= VLOOKUP($P472,Member_Tab,6,FALSE()), AK$5 &lt;= VLOOKUP($P472,Member_Tab,7,FALSE())),1,0))  )</f>
        <v>0</v>
      </c>
      <c r="AL472" s="76" t="n">
        <f aca="false">IF(ISERROR(VLOOKUP($P472,Member_Tab,4,FALSE())),0,(VLOOKUP($P472,Member_Tab,4,FALSE()) * 0.2 * AL$7) * (IF(AND(AL$5 &gt;= VLOOKUP($P472,Member_Tab,6,FALSE()), AL$5 &lt;= VLOOKUP($P472,Member_Tab,7,FALSE())),1,0))  )</f>
        <v>0</v>
      </c>
      <c r="AM472" s="76" t="n">
        <f aca="false">IF(ISERROR(VLOOKUP($P472,Member_Tab,4,FALSE())),0,(VLOOKUP($P472,Member_Tab,4,FALSE()) * 0.2 * AM$7) * (IF(AND(AM$5 &gt;= VLOOKUP($P472,Member_Tab,6,FALSE()), AM$5 &lt;= VLOOKUP($P472,Member_Tab,7,FALSE())),1,0))  )</f>
        <v>0</v>
      </c>
      <c r="AN472" s="76" t="n">
        <f aca="false">IF(ISERROR(VLOOKUP($P472,Member_Tab,4,FALSE())),0,(VLOOKUP($P472,Member_Tab,4,FALSE()) * 0.2 * AN$7) * (IF(AND(AN$5 &gt;= VLOOKUP($P472,Member_Tab,6,FALSE()), AN$5 &lt;= VLOOKUP($P472,Member_Tab,7,FALSE())),1,0))  )</f>
        <v>0</v>
      </c>
      <c r="AO472" s="76" t="n">
        <f aca="false">IF(ISERROR(VLOOKUP($P472,Member_Tab,4,FALSE())),0,(VLOOKUP($P472,Member_Tab,4,FALSE()) * 0.2 * AO$7) * (IF(AND(AO$5 &gt;= VLOOKUP($P472,Member_Tab,6,FALSE()), AO$5 &lt;= VLOOKUP($P472,Member_Tab,7,FALSE())),1,0))  )</f>
        <v>0</v>
      </c>
      <c r="AP472" s="76" t="n">
        <f aca="false">IF(ISERROR(VLOOKUP($P472,Member_Tab,4,FALSE())),0,(VLOOKUP($P472,Member_Tab,4,FALSE()) * 0.2 * AP$7) * (IF(AND(AP$5 &gt;= VLOOKUP($P472,Member_Tab,6,FALSE()), AP$5 &lt;= VLOOKUP($P472,Member_Tab,7,FALSE())),1,0))  )</f>
        <v>0</v>
      </c>
      <c r="AQ472" s="76" t="n">
        <f aca="false">IF(ISERROR(VLOOKUP($P472,Member_Tab,4,FALSE())),0,(VLOOKUP($P472,Member_Tab,4,FALSE()) * 0.2 * AQ$7) * (IF(AND(AQ$5 &gt;= VLOOKUP($P472,Member_Tab,6,FALSE()), AQ$5 &lt;= VLOOKUP($P472,Member_Tab,7,FALSE())),1,0))  )</f>
        <v>0</v>
      </c>
      <c r="AR472" s="76" t="n">
        <f aca="false">IF(ISERROR(VLOOKUP($P472,Member_Tab,4,FALSE())),0,(VLOOKUP($P472,Member_Tab,4,FALSE()) * 0.2 * AR$7) * (IF(AND(AR$5 &gt;= VLOOKUP($P472,Member_Tab,6,FALSE()), AR$5 &lt;= VLOOKUP($P472,Member_Tab,7,FALSE())),1,0))  )</f>
        <v>0</v>
      </c>
      <c r="AS472" s="76" t="n">
        <f aca="false">IF(ISERROR(VLOOKUP($P472,Member_Tab,4,FALSE())),0,(VLOOKUP($P472,Member_Tab,4,FALSE()) * 0.2 * AS$7) * (IF(AND(AS$5 &gt;= VLOOKUP($P472,Member_Tab,6,FALSE()), AS$5 &lt;= VLOOKUP($P472,Member_Tab,7,FALSE())),1,0))  )</f>
        <v>0</v>
      </c>
      <c r="AT472" s="76" t="n">
        <f aca="false">IF(ISERROR(VLOOKUP($P472,Member_Tab,4,FALSE())),0,(VLOOKUP($P472,Member_Tab,4,FALSE()) * 0.2 * AT$7) * (IF(AND(AT$5 &gt;= VLOOKUP($P472,Member_Tab,6,FALSE()), AT$5 &lt;= VLOOKUP($P472,Member_Tab,7,FALSE())),1,0))  )</f>
        <v>0</v>
      </c>
      <c r="AU472" s="76" t="n">
        <f aca="false">IF(ISERROR(VLOOKUP($P472,Member_Tab,4,FALSE())),0,(VLOOKUP($P472,Member_Tab,4,FALSE()) * 0.2 * AU$7) * (IF(AND(AU$5 &gt;= VLOOKUP($P472,Member_Tab,6,FALSE()), AU$5 &lt;= VLOOKUP($P472,Member_Tab,7,FALSE())),1,0))  )</f>
        <v>0</v>
      </c>
      <c r="AV472" s="76" t="n">
        <f aca="false">IF(ISERROR(VLOOKUP($P472,Member_Tab,4,FALSE())),0,(VLOOKUP($P472,Member_Tab,4,FALSE()) * 0.2 * AV$7) * (IF(AND(AV$5 &gt;= VLOOKUP($P472,Member_Tab,6,FALSE()), AV$5 &lt;= VLOOKUP($P472,Member_Tab,7,FALSE())),1,0))  )</f>
        <v>0</v>
      </c>
      <c r="AW472" s="76" t="n">
        <f aca="false">IF(ISERROR(VLOOKUP($P472,Member_Tab,4,FALSE())),0,(VLOOKUP($P472,Member_Tab,4,FALSE()) * 0.2 * AW$7) * (IF(AND(AW$5 &gt;= VLOOKUP($P472,Member_Tab,6,FALSE()), AW$5 &lt;= VLOOKUP($P472,Member_Tab,7,FALSE())),1,0))  )</f>
        <v>0</v>
      </c>
      <c r="AX472" s="76" t="n">
        <f aca="false">IF(ISERROR(VLOOKUP($P472,Member_Tab,4,FALSE())),0,(VLOOKUP($P472,Member_Tab,4,FALSE()) * 0.2 * AX$7) * (IF(AND(AX$5 &gt;= VLOOKUP($P472,Member_Tab,6,FALSE()), AX$5 &lt;= VLOOKUP($P472,Member_Tab,7,FALSE())),1,0))  )</f>
        <v>0</v>
      </c>
      <c r="AY472" s="76" t="n">
        <f aca="false">IF(ISERROR(VLOOKUP($P472,Member_Tab,4,FALSE())),0,(VLOOKUP($P472,Member_Tab,4,FALSE()) * 0.2 * AY$7) * (IF(AND(AY$5 &gt;= VLOOKUP($P472,Member_Tab,6,FALSE()), AY$5 &lt;= VLOOKUP($P472,Member_Tab,7,FALSE())),1,0))  )</f>
        <v>0</v>
      </c>
      <c r="AZ472" s="76" t="n">
        <f aca="false">IF(ISERROR(VLOOKUP($P472,Member_Tab,4,FALSE())),0,(VLOOKUP($P472,Member_Tab,4,FALSE()) * 0.2 * AZ$7) * (IF(AND(AZ$5 &gt;= VLOOKUP($P472,Member_Tab,6,FALSE()), AZ$5 &lt;= VLOOKUP($P472,Member_Tab,7,FALSE())),1,0))  )</f>
        <v>0</v>
      </c>
      <c r="BA472" s="76" t="n">
        <f aca="false">IF(ISERROR(VLOOKUP($P472,Member_Tab,4,FALSE())),0,(VLOOKUP($P472,Member_Tab,4,FALSE()) * 0.2 * BA$7) * (IF(AND(BA$5 &gt;= VLOOKUP($P472,Member_Tab,6,FALSE()), BA$5 &lt;= VLOOKUP($P472,Member_Tab,7,FALSE())),1,0))  )</f>
        <v>0</v>
      </c>
      <c r="BB472" s="76" t="n">
        <f aca="false">IF(ISERROR(VLOOKUP($P472,Member_Tab,4,FALSE())),0,(VLOOKUP($P472,Member_Tab,4,FALSE()) * 0.2 * BB$7) * (IF(AND(BB$5 &gt;= VLOOKUP($P472,Member_Tab,6,FALSE()), BB$5 &lt;= VLOOKUP($P472,Member_Tab,7,FALSE())),1,0))  )</f>
        <v>0</v>
      </c>
    </row>
    <row r="473" s="173" customFormat="true" ht="15" hidden="true" customHeight="false" outlineLevel="1" collapsed="false">
      <c r="E473" s="40"/>
      <c r="K473" s="40"/>
      <c r="L473" s="40"/>
      <c r="M473" s="40"/>
      <c r="N473" s="40"/>
      <c r="P473" s="177" t="n">
        <f aca="false">P336</f>
        <v>0</v>
      </c>
      <c r="Q473" s="40"/>
      <c r="R473" s="178"/>
      <c r="S473" s="76" t="n">
        <f aca="false">IF(ISERROR(VLOOKUP($P473,Member_Tab,4,FALSE())),0,(VLOOKUP($P473,Member_Tab,4,FALSE()) * 0.2 * S$7) * (IF(AND(S$5 &gt;= VLOOKUP($P473,Member_Tab,6,FALSE()), S$5 &lt;= VLOOKUP($P473,Member_Tab,7,FALSE())),1,0))  )</f>
        <v>0</v>
      </c>
      <c r="T473" s="76" t="n">
        <f aca="false">IF(ISERROR(VLOOKUP($P473,Member_Tab,4,FALSE())),0,(VLOOKUP($P473,Member_Tab,4,FALSE()) * 0.2 * T$7) * (IF(AND(T$5 &gt;= VLOOKUP($P473,Member_Tab,6,FALSE()), T$5 &lt;= VLOOKUP($P473,Member_Tab,7,FALSE())),1,0))  )</f>
        <v>0</v>
      </c>
      <c r="U473" s="76" t="n">
        <f aca="false">IF(ISERROR(VLOOKUP($P473,Member_Tab,4,FALSE())),0,(VLOOKUP($P473,Member_Tab,4,FALSE()) * 0.2 * U$7) * (IF(AND(U$5 &gt;= VLOOKUP($P473,Member_Tab,6,FALSE()), U$5 &lt;= VLOOKUP($P473,Member_Tab,7,FALSE())),1,0))  )</f>
        <v>0</v>
      </c>
      <c r="V473" s="76" t="n">
        <f aca="false">IF(ISERROR(VLOOKUP($P473,Member_Tab,4,FALSE())),0,(VLOOKUP($P473,Member_Tab,4,FALSE()) * 0.2 * V$7) * (IF(AND(V$5 &gt;= VLOOKUP($P473,Member_Tab,6,FALSE()), V$5 &lt;= VLOOKUP($P473,Member_Tab,7,FALSE())),1,0))  )</f>
        <v>0</v>
      </c>
      <c r="W473" s="76" t="n">
        <f aca="false">IF(ISERROR(VLOOKUP($P473,Member_Tab,4,FALSE())),0,(VLOOKUP($P473,Member_Tab,4,FALSE()) * 0.2 * W$7) * (IF(AND(W$5 &gt;= VLOOKUP($P473,Member_Tab,6,FALSE()), W$5 &lt;= VLOOKUP($P473,Member_Tab,7,FALSE())),1,0))  )</f>
        <v>0</v>
      </c>
      <c r="X473" s="76" t="n">
        <f aca="false">IF(ISERROR(VLOOKUP($P473,Member_Tab,4,FALSE())),0,(VLOOKUP($P473,Member_Tab,4,FALSE()) * 0.2 * X$7) * (IF(AND(X$5 &gt;= VLOOKUP($P473,Member_Tab,6,FALSE()), X$5 &lt;= VLOOKUP($P473,Member_Tab,7,FALSE())),1,0))  )</f>
        <v>0</v>
      </c>
      <c r="Y473" s="76" t="n">
        <f aca="false">IF(ISERROR(VLOOKUP($P473,Member_Tab,4,FALSE())),0,(VLOOKUP($P473,Member_Tab,4,FALSE()) * 0.2 * Y$7) * (IF(AND(Y$5 &gt;= VLOOKUP($P473,Member_Tab,6,FALSE()), Y$5 &lt;= VLOOKUP($P473,Member_Tab,7,FALSE())),1,0))  )</f>
        <v>0</v>
      </c>
      <c r="Z473" s="76" t="n">
        <f aca="false">IF(ISERROR(VLOOKUP($P473,Member_Tab,4,FALSE())),0,(VLOOKUP($P473,Member_Tab,4,FALSE()) * 0.2 * Z$7) * (IF(AND(Z$5 &gt;= VLOOKUP($P473,Member_Tab,6,FALSE()), Z$5 &lt;= VLOOKUP($P473,Member_Tab,7,FALSE())),1,0))  )</f>
        <v>0</v>
      </c>
      <c r="AA473" s="76" t="n">
        <f aca="false">IF(ISERROR(VLOOKUP($P473,Member_Tab,4,FALSE())),0,(VLOOKUP($P473,Member_Tab,4,FALSE()) * 0.2 * AA$7) * (IF(AND(AA$5 &gt;= VLOOKUP($P473,Member_Tab,6,FALSE()), AA$5 &lt;= VLOOKUP($P473,Member_Tab,7,FALSE())),1,0))  )</f>
        <v>0</v>
      </c>
      <c r="AB473" s="76" t="n">
        <f aca="false">IF(ISERROR(VLOOKUP($P473,Member_Tab,4,FALSE())),0,(VLOOKUP($P473,Member_Tab,4,FALSE()) * 0.2 * AB$7) * (IF(AND(AB$5 &gt;= VLOOKUP($P473,Member_Tab,6,FALSE()), AB$5 &lt;= VLOOKUP($P473,Member_Tab,7,FALSE())),1,0))  )</f>
        <v>0</v>
      </c>
      <c r="AC473" s="76" t="n">
        <f aca="false">IF(ISERROR(VLOOKUP($P473,Member_Tab,4,FALSE())),0,(VLOOKUP($P473,Member_Tab,4,FALSE()) * 0.2 * AC$7) * (IF(AND(AC$5 &gt;= VLOOKUP($P473,Member_Tab,6,FALSE()), AC$5 &lt;= VLOOKUP($P473,Member_Tab,7,FALSE())),1,0))  )</f>
        <v>0</v>
      </c>
      <c r="AD473" s="76" t="n">
        <f aca="false">IF(ISERROR(VLOOKUP($P473,Member_Tab,4,FALSE())),0,(VLOOKUP($P473,Member_Tab,4,FALSE()) * 0.2 * AD$7) * (IF(AND(AD$5 &gt;= VLOOKUP($P473,Member_Tab,6,FALSE()), AD$5 &lt;= VLOOKUP($P473,Member_Tab,7,FALSE())),1,0))  )</f>
        <v>0</v>
      </c>
      <c r="AE473" s="76" t="n">
        <f aca="false">IF(ISERROR(VLOOKUP($P473,Member_Tab,4,FALSE())),0,(VLOOKUP($P473,Member_Tab,4,FALSE()) * 0.2 * AE$7) * (IF(AND(AE$5 &gt;= VLOOKUP($P473,Member_Tab,6,FALSE()), AE$5 &lt;= VLOOKUP($P473,Member_Tab,7,FALSE())),1,0))  )</f>
        <v>0</v>
      </c>
      <c r="AF473" s="76" t="n">
        <f aca="false">IF(ISERROR(VLOOKUP($P473,Member_Tab,4,FALSE())),0,(VLOOKUP($P473,Member_Tab,4,FALSE()) * 0.2 * AF$7) * (IF(AND(AF$5 &gt;= VLOOKUP($P473,Member_Tab,6,FALSE()), AF$5 &lt;= VLOOKUP($P473,Member_Tab,7,FALSE())),1,0))  )</f>
        <v>0</v>
      </c>
      <c r="AG473" s="76" t="n">
        <f aca="false">IF(ISERROR(VLOOKUP($P473,Member_Tab,4,FALSE())),0,(VLOOKUP($P473,Member_Tab,4,FALSE()) * 0.2 * AG$7) * (IF(AND(AG$5 &gt;= VLOOKUP($P473,Member_Tab,6,FALSE()), AG$5 &lt;= VLOOKUP($P473,Member_Tab,7,FALSE())),1,0))  )</f>
        <v>0</v>
      </c>
      <c r="AH473" s="76" t="n">
        <f aca="false">IF(ISERROR(VLOOKUP($P473,Member_Tab,4,FALSE())),0,(VLOOKUP($P473,Member_Tab,4,FALSE()) * 0.2 * AH$7) * (IF(AND(AH$5 &gt;= VLOOKUP($P473,Member_Tab,6,FALSE()), AH$5 &lt;= VLOOKUP($P473,Member_Tab,7,FALSE())),1,0))  )</f>
        <v>0</v>
      </c>
      <c r="AI473" s="76" t="n">
        <f aca="false">IF(ISERROR(VLOOKUP($P473,Member_Tab,4,FALSE())),0,(VLOOKUP($P473,Member_Tab,4,FALSE()) * 0.2 * AI$7) * (IF(AND(AI$5 &gt;= VLOOKUP($P473,Member_Tab,6,FALSE()), AI$5 &lt;= VLOOKUP($P473,Member_Tab,7,FALSE())),1,0))  )</f>
        <v>0</v>
      </c>
      <c r="AJ473" s="76" t="n">
        <f aca="false">IF(ISERROR(VLOOKUP($P473,Member_Tab,4,FALSE())),0,(VLOOKUP($P473,Member_Tab,4,FALSE()) * 0.2 * AJ$7) * (IF(AND(AJ$5 &gt;= VLOOKUP($P473,Member_Tab,6,FALSE()), AJ$5 &lt;= VLOOKUP($P473,Member_Tab,7,FALSE())),1,0))  )</f>
        <v>0</v>
      </c>
      <c r="AK473" s="76" t="n">
        <f aca="false">IF(ISERROR(VLOOKUP($P473,Member_Tab,4,FALSE())),0,(VLOOKUP($P473,Member_Tab,4,FALSE()) * 0.2 * AK$7) * (IF(AND(AK$5 &gt;= VLOOKUP($P473,Member_Tab,6,FALSE()), AK$5 &lt;= VLOOKUP($P473,Member_Tab,7,FALSE())),1,0))  )</f>
        <v>0</v>
      </c>
      <c r="AL473" s="76" t="n">
        <f aca="false">IF(ISERROR(VLOOKUP($P473,Member_Tab,4,FALSE())),0,(VLOOKUP($P473,Member_Tab,4,FALSE()) * 0.2 * AL$7) * (IF(AND(AL$5 &gt;= VLOOKUP($P473,Member_Tab,6,FALSE()), AL$5 &lt;= VLOOKUP($P473,Member_Tab,7,FALSE())),1,0))  )</f>
        <v>0</v>
      </c>
      <c r="AM473" s="76" t="n">
        <f aca="false">IF(ISERROR(VLOOKUP($P473,Member_Tab,4,FALSE())),0,(VLOOKUP($P473,Member_Tab,4,FALSE()) * 0.2 * AM$7) * (IF(AND(AM$5 &gt;= VLOOKUP($P473,Member_Tab,6,FALSE()), AM$5 &lt;= VLOOKUP($P473,Member_Tab,7,FALSE())),1,0))  )</f>
        <v>0</v>
      </c>
      <c r="AN473" s="76" t="n">
        <f aca="false">IF(ISERROR(VLOOKUP($P473,Member_Tab,4,FALSE())),0,(VLOOKUP($P473,Member_Tab,4,FALSE()) * 0.2 * AN$7) * (IF(AND(AN$5 &gt;= VLOOKUP($P473,Member_Tab,6,FALSE()), AN$5 &lt;= VLOOKUP($P473,Member_Tab,7,FALSE())),1,0))  )</f>
        <v>0</v>
      </c>
      <c r="AO473" s="76" t="n">
        <f aca="false">IF(ISERROR(VLOOKUP($P473,Member_Tab,4,FALSE())),0,(VLOOKUP($P473,Member_Tab,4,FALSE()) * 0.2 * AO$7) * (IF(AND(AO$5 &gt;= VLOOKUP($P473,Member_Tab,6,FALSE()), AO$5 &lt;= VLOOKUP($P473,Member_Tab,7,FALSE())),1,0))  )</f>
        <v>0</v>
      </c>
      <c r="AP473" s="76" t="n">
        <f aca="false">IF(ISERROR(VLOOKUP($P473,Member_Tab,4,FALSE())),0,(VLOOKUP($P473,Member_Tab,4,FALSE()) * 0.2 * AP$7) * (IF(AND(AP$5 &gt;= VLOOKUP($P473,Member_Tab,6,FALSE()), AP$5 &lt;= VLOOKUP($P473,Member_Tab,7,FALSE())),1,0))  )</f>
        <v>0</v>
      </c>
      <c r="AQ473" s="76" t="n">
        <f aca="false">IF(ISERROR(VLOOKUP($P473,Member_Tab,4,FALSE())),0,(VLOOKUP($P473,Member_Tab,4,FALSE()) * 0.2 * AQ$7) * (IF(AND(AQ$5 &gt;= VLOOKUP($P473,Member_Tab,6,FALSE()), AQ$5 &lt;= VLOOKUP($P473,Member_Tab,7,FALSE())),1,0))  )</f>
        <v>0</v>
      </c>
      <c r="AR473" s="76" t="n">
        <f aca="false">IF(ISERROR(VLOOKUP($P473,Member_Tab,4,FALSE())),0,(VLOOKUP($P473,Member_Tab,4,FALSE()) * 0.2 * AR$7) * (IF(AND(AR$5 &gt;= VLOOKUP($P473,Member_Tab,6,FALSE()), AR$5 &lt;= VLOOKUP($P473,Member_Tab,7,FALSE())),1,0))  )</f>
        <v>0</v>
      </c>
      <c r="AS473" s="76" t="n">
        <f aca="false">IF(ISERROR(VLOOKUP($P473,Member_Tab,4,FALSE())),0,(VLOOKUP($P473,Member_Tab,4,FALSE()) * 0.2 * AS$7) * (IF(AND(AS$5 &gt;= VLOOKUP($P473,Member_Tab,6,FALSE()), AS$5 &lt;= VLOOKUP($P473,Member_Tab,7,FALSE())),1,0))  )</f>
        <v>0</v>
      </c>
      <c r="AT473" s="76" t="n">
        <f aca="false">IF(ISERROR(VLOOKUP($P473,Member_Tab,4,FALSE())),0,(VLOOKUP($P473,Member_Tab,4,FALSE()) * 0.2 * AT$7) * (IF(AND(AT$5 &gt;= VLOOKUP($P473,Member_Tab,6,FALSE()), AT$5 &lt;= VLOOKUP($P473,Member_Tab,7,FALSE())),1,0))  )</f>
        <v>0</v>
      </c>
      <c r="AU473" s="76" t="n">
        <f aca="false">IF(ISERROR(VLOOKUP($P473,Member_Tab,4,FALSE())),0,(VLOOKUP($P473,Member_Tab,4,FALSE()) * 0.2 * AU$7) * (IF(AND(AU$5 &gt;= VLOOKUP($P473,Member_Tab,6,FALSE()), AU$5 &lt;= VLOOKUP($P473,Member_Tab,7,FALSE())),1,0))  )</f>
        <v>0</v>
      </c>
      <c r="AV473" s="76" t="n">
        <f aca="false">IF(ISERROR(VLOOKUP($P473,Member_Tab,4,FALSE())),0,(VLOOKUP($P473,Member_Tab,4,FALSE()) * 0.2 * AV$7) * (IF(AND(AV$5 &gt;= VLOOKUP($P473,Member_Tab,6,FALSE()), AV$5 &lt;= VLOOKUP($P473,Member_Tab,7,FALSE())),1,0))  )</f>
        <v>0</v>
      </c>
      <c r="AW473" s="76" t="n">
        <f aca="false">IF(ISERROR(VLOOKUP($P473,Member_Tab,4,FALSE())),0,(VLOOKUP($P473,Member_Tab,4,FALSE()) * 0.2 * AW$7) * (IF(AND(AW$5 &gt;= VLOOKUP($P473,Member_Tab,6,FALSE()), AW$5 &lt;= VLOOKUP($P473,Member_Tab,7,FALSE())),1,0))  )</f>
        <v>0</v>
      </c>
      <c r="AX473" s="76" t="n">
        <f aca="false">IF(ISERROR(VLOOKUP($P473,Member_Tab,4,FALSE())),0,(VLOOKUP($P473,Member_Tab,4,FALSE()) * 0.2 * AX$7) * (IF(AND(AX$5 &gt;= VLOOKUP($P473,Member_Tab,6,FALSE()), AX$5 &lt;= VLOOKUP($P473,Member_Tab,7,FALSE())),1,0))  )</f>
        <v>0</v>
      </c>
      <c r="AY473" s="76" t="n">
        <f aca="false">IF(ISERROR(VLOOKUP($P473,Member_Tab,4,FALSE())),0,(VLOOKUP($P473,Member_Tab,4,FALSE()) * 0.2 * AY$7) * (IF(AND(AY$5 &gt;= VLOOKUP($P473,Member_Tab,6,FALSE()), AY$5 &lt;= VLOOKUP($P473,Member_Tab,7,FALSE())),1,0))  )</f>
        <v>0</v>
      </c>
      <c r="AZ473" s="76" t="n">
        <f aca="false">IF(ISERROR(VLOOKUP($P473,Member_Tab,4,FALSE())),0,(VLOOKUP($P473,Member_Tab,4,FALSE()) * 0.2 * AZ$7) * (IF(AND(AZ$5 &gt;= VLOOKUP($P473,Member_Tab,6,FALSE()), AZ$5 &lt;= VLOOKUP($P473,Member_Tab,7,FALSE())),1,0))  )</f>
        <v>0</v>
      </c>
      <c r="BA473" s="76" t="n">
        <f aca="false">IF(ISERROR(VLOOKUP($P473,Member_Tab,4,FALSE())),0,(VLOOKUP($P473,Member_Tab,4,FALSE()) * 0.2 * BA$7) * (IF(AND(BA$5 &gt;= VLOOKUP($P473,Member_Tab,6,FALSE()), BA$5 &lt;= VLOOKUP($P473,Member_Tab,7,FALSE())),1,0))  )</f>
        <v>0</v>
      </c>
      <c r="BB473" s="76" t="n">
        <f aca="false">IF(ISERROR(VLOOKUP($P473,Member_Tab,4,FALSE())),0,(VLOOKUP($P473,Member_Tab,4,FALSE()) * 0.2 * BB$7) * (IF(AND(BB$5 &gt;= VLOOKUP($P473,Member_Tab,6,FALSE()), BB$5 &lt;= VLOOKUP($P473,Member_Tab,7,FALSE())),1,0))  )</f>
        <v>0</v>
      </c>
    </row>
    <row r="474" s="173" customFormat="true" ht="15" hidden="true" customHeight="false" outlineLevel="1" collapsed="false">
      <c r="E474" s="40"/>
      <c r="K474" s="40"/>
      <c r="L474" s="40"/>
      <c r="M474" s="40"/>
      <c r="N474" s="40"/>
      <c r="P474" s="177" t="n">
        <f aca="false">P337</f>
        <v>0</v>
      </c>
      <c r="Q474" s="40"/>
      <c r="R474" s="178"/>
      <c r="S474" s="76" t="n">
        <f aca="false">IF(ISERROR(VLOOKUP($P474,Member_Tab,4,FALSE())),0,(VLOOKUP($P474,Member_Tab,4,FALSE()) * 0.2 * S$7) * (IF(AND(S$5 &gt;= VLOOKUP($P474,Member_Tab,6,FALSE()), S$5 &lt;= VLOOKUP($P474,Member_Tab,7,FALSE())),1,0))  )</f>
        <v>0</v>
      </c>
      <c r="T474" s="76" t="n">
        <f aca="false">IF(ISERROR(VLOOKUP($P474,Member_Tab,4,FALSE())),0,(VLOOKUP($P474,Member_Tab,4,FALSE()) * 0.2 * T$7) * (IF(AND(T$5 &gt;= VLOOKUP($P474,Member_Tab,6,FALSE()), T$5 &lt;= VLOOKUP($P474,Member_Tab,7,FALSE())),1,0))  )</f>
        <v>0</v>
      </c>
      <c r="U474" s="76" t="n">
        <f aca="false">IF(ISERROR(VLOOKUP($P474,Member_Tab,4,FALSE())),0,(VLOOKUP($P474,Member_Tab,4,FALSE()) * 0.2 * U$7) * (IF(AND(U$5 &gt;= VLOOKUP($P474,Member_Tab,6,FALSE()), U$5 &lt;= VLOOKUP($P474,Member_Tab,7,FALSE())),1,0))  )</f>
        <v>0</v>
      </c>
      <c r="V474" s="76" t="n">
        <f aca="false">IF(ISERROR(VLOOKUP($P474,Member_Tab,4,FALSE())),0,(VLOOKUP($P474,Member_Tab,4,FALSE()) * 0.2 * V$7) * (IF(AND(V$5 &gt;= VLOOKUP($P474,Member_Tab,6,FALSE()), V$5 &lt;= VLOOKUP($P474,Member_Tab,7,FALSE())),1,0))  )</f>
        <v>0</v>
      </c>
      <c r="W474" s="76" t="n">
        <f aca="false">IF(ISERROR(VLOOKUP($P474,Member_Tab,4,FALSE())),0,(VLOOKUP($P474,Member_Tab,4,FALSE()) * 0.2 * W$7) * (IF(AND(W$5 &gt;= VLOOKUP($P474,Member_Tab,6,FALSE()), W$5 &lt;= VLOOKUP($P474,Member_Tab,7,FALSE())),1,0))  )</f>
        <v>0</v>
      </c>
      <c r="X474" s="76" t="n">
        <f aca="false">IF(ISERROR(VLOOKUP($P474,Member_Tab,4,FALSE())),0,(VLOOKUP($P474,Member_Tab,4,FALSE()) * 0.2 * X$7) * (IF(AND(X$5 &gt;= VLOOKUP($P474,Member_Tab,6,FALSE()), X$5 &lt;= VLOOKUP($P474,Member_Tab,7,FALSE())),1,0))  )</f>
        <v>0</v>
      </c>
      <c r="Y474" s="76" t="n">
        <f aca="false">IF(ISERROR(VLOOKUP($P474,Member_Tab,4,FALSE())),0,(VLOOKUP($P474,Member_Tab,4,FALSE()) * 0.2 * Y$7) * (IF(AND(Y$5 &gt;= VLOOKUP($P474,Member_Tab,6,FALSE()), Y$5 &lt;= VLOOKUP($P474,Member_Tab,7,FALSE())),1,0))  )</f>
        <v>0</v>
      </c>
      <c r="Z474" s="76" t="n">
        <f aca="false">IF(ISERROR(VLOOKUP($P474,Member_Tab,4,FALSE())),0,(VLOOKUP($P474,Member_Tab,4,FALSE()) * 0.2 * Z$7) * (IF(AND(Z$5 &gt;= VLOOKUP($P474,Member_Tab,6,FALSE()), Z$5 &lt;= VLOOKUP($P474,Member_Tab,7,FALSE())),1,0))  )</f>
        <v>0</v>
      </c>
      <c r="AA474" s="76" t="n">
        <f aca="false">IF(ISERROR(VLOOKUP($P474,Member_Tab,4,FALSE())),0,(VLOOKUP($P474,Member_Tab,4,FALSE()) * 0.2 * AA$7) * (IF(AND(AA$5 &gt;= VLOOKUP($P474,Member_Tab,6,FALSE()), AA$5 &lt;= VLOOKUP($P474,Member_Tab,7,FALSE())),1,0))  )</f>
        <v>0</v>
      </c>
      <c r="AB474" s="76" t="n">
        <f aca="false">IF(ISERROR(VLOOKUP($P474,Member_Tab,4,FALSE())),0,(VLOOKUP($P474,Member_Tab,4,FALSE()) * 0.2 * AB$7) * (IF(AND(AB$5 &gt;= VLOOKUP($P474,Member_Tab,6,FALSE()), AB$5 &lt;= VLOOKUP($P474,Member_Tab,7,FALSE())),1,0))  )</f>
        <v>0</v>
      </c>
      <c r="AC474" s="76" t="n">
        <f aca="false">IF(ISERROR(VLOOKUP($P474,Member_Tab,4,FALSE())),0,(VLOOKUP($P474,Member_Tab,4,FALSE()) * 0.2 * AC$7) * (IF(AND(AC$5 &gt;= VLOOKUP($P474,Member_Tab,6,FALSE()), AC$5 &lt;= VLOOKUP($P474,Member_Tab,7,FALSE())),1,0))  )</f>
        <v>0</v>
      </c>
      <c r="AD474" s="76" t="n">
        <f aca="false">IF(ISERROR(VLOOKUP($P474,Member_Tab,4,FALSE())),0,(VLOOKUP($P474,Member_Tab,4,FALSE()) * 0.2 * AD$7) * (IF(AND(AD$5 &gt;= VLOOKUP($P474,Member_Tab,6,FALSE()), AD$5 &lt;= VLOOKUP($P474,Member_Tab,7,FALSE())),1,0))  )</f>
        <v>0</v>
      </c>
      <c r="AE474" s="76" t="n">
        <f aca="false">IF(ISERROR(VLOOKUP($P474,Member_Tab,4,FALSE())),0,(VLOOKUP($P474,Member_Tab,4,FALSE()) * 0.2 * AE$7) * (IF(AND(AE$5 &gt;= VLOOKUP($P474,Member_Tab,6,FALSE()), AE$5 &lt;= VLOOKUP($P474,Member_Tab,7,FALSE())),1,0))  )</f>
        <v>0</v>
      </c>
      <c r="AF474" s="76" t="n">
        <f aca="false">IF(ISERROR(VLOOKUP($P474,Member_Tab,4,FALSE())),0,(VLOOKUP($P474,Member_Tab,4,FALSE()) * 0.2 * AF$7) * (IF(AND(AF$5 &gt;= VLOOKUP($P474,Member_Tab,6,FALSE()), AF$5 &lt;= VLOOKUP($P474,Member_Tab,7,FALSE())),1,0))  )</f>
        <v>0</v>
      </c>
      <c r="AG474" s="76" t="n">
        <f aca="false">IF(ISERROR(VLOOKUP($P474,Member_Tab,4,FALSE())),0,(VLOOKUP($P474,Member_Tab,4,FALSE()) * 0.2 * AG$7) * (IF(AND(AG$5 &gt;= VLOOKUP($P474,Member_Tab,6,FALSE()), AG$5 &lt;= VLOOKUP($P474,Member_Tab,7,FALSE())),1,0))  )</f>
        <v>0</v>
      </c>
      <c r="AH474" s="76" t="n">
        <f aca="false">IF(ISERROR(VLOOKUP($P474,Member_Tab,4,FALSE())),0,(VLOOKUP($P474,Member_Tab,4,FALSE()) * 0.2 * AH$7) * (IF(AND(AH$5 &gt;= VLOOKUP($P474,Member_Tab,6,FALSE()), AH$5 &lt;= VLOOKUP($P474,Member_Tab,7,FALSE())),1,0))  )</f>
        <v>0</v>
      </c>
      <c r="AI474" s="76" t="n">
        <f aca="false">IF(ISERROR(VLOOKUP($P474,Member_Tab,4,FALSE())),0,(VLOOKUP($P474,Member_Tab,4,FALSE()) * 0.2 * AI$7) * (IF(AND(AI$5 &gt;= VLOOKUP($P474,Member_Tab,6,FALSE()), AI$5 &lt;= VLOOKUP($P474,Member_Tab,7,FALSE())),1,0))  )</f>
        <v>0</v>
      </c>
      <c r="AJ474" s="76" t="n">
        <f aca="false">IF(ISERROR(VLOOKUP($P474,Member_Tab,4,FALSE())),0,(VLOOKUP($P474,Member_Tab,4,FALSE()) * 0.2 * AJ$7) * (IF(AND(AJ$5 &gt;= VLOOKUP($P474,Member_Tab,6,FALSE()), AJ$5 &lt;= VLOOKUP($P474,Member_Tab,7,FALSE())),1,0))  )</f>
        <v>0</v>
      </c>
      <c r="AK474" s="76" t="n">
        <f aca="false">IF(ISERROR(VLOOKUP($P474,Member_Tab,4,FALSE())),0,(VLOOKUP($P474,Member_Tab,4,FALSE()) * 0.2 * AK$7) * (IF(AND(AK$5 &gt;= VLOOKUP($P474,Member_Tab,6,FALSE()), AK$5 &lt;= VLOOKUP($P474,Member_Tab,7,FALSE())),1,0))  )</f>
        <v>0</v>
      </c>
      <c r="AL474" s="76" t="n">
        <f aca="false">IF(ISERROR(VLOOKUP($P474,Member_Tab,4,FALSE())),0,(VLOOKUP($P474,Member_Tab,4,FALSE()) * 0.2 * AL$7) * (IF(AND(AL$5 &gt;= VLOOKUP($P474,Member_Tab,6,FALSE()), AL$5 &lt;= VLOOKUP($P474,Member_Tab,7,FALSE())),1,0))  )</f>
        <v>0</v>
      </c>
      <c r="AM474" s="76" t="n">
        <f aca="false">IF(ISERROR(VLOOKUP($P474,Member_Tab,4,FALSE())),0,(VLOOKUP($P474,Member_Tab,4,FALSE()) * 0.2 * AM$7) * (IF(AND(AM$5 &gt;= VLOOKUP($P474,Member_Tab,6,FALSE()), AM$5 &lt;= VLOOKUP($P474,Member_Tab,7,FALSE())),1,0))  )</f>
        <v>0</v>
      </c>
      <c r="AN474" s="76" t="n">
        <f aca="false">IF(ISERROR(VLOOKUP($P474,Member_Tab,4,FALSE())),0,(VLOOKUP($P474,Member_Tab,4,FALSE()) * 0.2 * AN$7) * (IF(AND(AN$5 &gt;= VLOOKUP($P474,Member_Tab,6,FALSE()), AN$5 &lt;= VLOOKUP($P474,Member_Tab,7,FALSE())),1,0))  )</f>
        <v>0</v>
      </c>
      <c r="AO474" s="76" t="n">
        <f aca="false">IF(ISERROR(VLOOKUP($P474,Member_Tab,4,FALSE())),0,(VLOOKUP($P474,Member_Tab,4,FALSE()) * 0.2 * AO$7) * (IF(AND(AO$5 &gt;= VLOOKUP($P474,Member_Tab,6,FALSE()), AO$5 &lt;= VLOOKUP($P474,Member_Tab,7,FALSE())),1,0))  )</f>
        <v>0</v>
      </c>
      <c r="AP474" s="76" t="n">
        <f aca="false">IF(ISERROR(VLOOKUP($P474,Member_Tab,4,FALSE())),0,(VLOOKUP($P474,Member_Tab,4,FALSE()) * 0.2 * AP$7) * (IF(AND(AP$5 &gt;= VLOOKUP($P474,Member_Tab,6,FALSE()), AP$5 &lt;= VLOOKUP($P474,Member_Tab,7,FALSE())),1,0))  )</f>
        <v>0</v>
      </c>
      <c r="AQ474" s="76" t="n">
        <f aca="false">IF(ISERROR(VLOOKUP($P474,Member_Tab,4,FALSE())),0,(VLOOKUP($P474,Member_Tab,4,FALSE()) * 0.2 * AQ$7) * (IF(AND(AQ$5 &gt;= VLOOKUP($P474,Member_Tab,6,FALSE()), AQ$5 &lt;= VLOOKUP($P474,Member_Tab,7,FALSE())),1,0))  )</f>
        <v>0</v>
      </c>
      <c r="AR474" s="76" t="n">
        <f aca="false">IF(ISERROR(VLOOKUP($P474,Member_Tab,4,FALSE())),0,(VLOOKUP($P474,Member_Tab,4,FALSE()) * 0.2 * AR$7) * (IF(AND(AR$5 &gt;= VLOOKUP($P474,Member_Tab,6,FALSE()), AR$5 &lt;= VLOOKUP($P474,Member_Tab,7,FALSE())),1,0))  )</f>
        <v>0</v>
      </c>
      <c r="AS474" s="76" t="n">
        <f aca="false">IF(ISERROR(VLOOKUP($P474,Member_Tab,4,FALSE())),0,(VLOOKUP($P474,Member_Tab,4,FALSE()) * 0.2 * AS$7) * (IF(AND(AS$5 &gt;= VLOOKUP($P474,Member_Tab,6,FALSE()), AS$5 &lt;= VLOOKUP($P474,Member_Tab,7,FALSE())),1,0))  )</f>
        <v>0</v>
      </c>
      <c r="AT474" s="76" t="n">
        <f aca="false">IF(ISERROR(VLOOKUP($P474,Member_Tab,4,FALSE())),0,(VLOOKUP($P474,Member_Tab,4,FALSE()) * 0.2 * AT$7) * (IF(AND(AT$5 &gt;= VLOOKUP($P474,Member_Tab,6,FALSE()), AT$5 &lt;= VLOOKUP($P474,Member_Tab,7,FALSE())),1,0))  )</f>
        <v>0</v>
      </c>
      <c r="AU474" s="76" t="n">
        <f aca="false">IF(ISERROR(VLOOKUP($P474,Member_Tab,4,FALSE())),0,(VLOOKUP($P474,Member_Tab,4,FALSE()) * 0.2 * AU$7) * (IF(AND(AU$5 &gt;= VLOOKUP($P474,Member_Tab,6,FALSE()), AU$5 &lt;= VLOOKUP($P474,Member_Tab,7,FALSE())),1,0))  )</f>
        <v>0</v>
      </c>
      <c r="AV474" s="76" t="n">
        <f aca="false">IF(ISERROR(VLOOKUP($P474,Member_Tab,4,FALSE())),0,(VLOOKUP($P474,Member_Tab,4,FALSE()) * 0.2 * AV$7) * (IF(AND(AV$5 &gt;= VLOOKUP($P474,Member_Tab,6,FALSE()), AV$5 &lt;= VLOOKUP($P474,Member_Tab,7,FALSE())),1,0))  )</f>
        <v>0</v>
      </c>
      <c r="AW474" s="76" t="n">
        <f aca="false">IF(ISERROR(VLOOKUP($P474,Member_Tab,4,FALSE())),0,(VLOOKUP($P474,Member_Tab,4,FALSE()) * 0.2 * AW$7) * (IF(AND(AW$5 &gt;= VLOOKUP($P474,Member_Tab,6,FALSE()), AW$5 &lt;= VLOOKUP($P474,Member_Tab,7,FALSE())),1,0))  )</f>
        <v>0</v>
      </c>
      <c r="AX474" s="76" t="n">
        <f aca="false">IF(ISERROR(VLOOKUP($P474,Member_Tab,4,FALSE())),0,(VLOOKUP($P474,Member_Tab,4,FALSE()) * 0.2 * AX$7) * (IF(AND(AX$5 &gt;= VLOOKUP($P474,Member_Tab,6,FALSE()), AX$5 &lt;= VLOOKUP($P474,Member_Tab,7,FALSE())),1,0))  )</f>
        <v>0</v>
      </c>
      <c r="AY474" s="76" t="n">
        <f aca="false">IF(ISERROR(VLOOKUP($P474,Member_Tab,4,FALSE())),0,(VLOOKUP($P474,Member_Tab,4,FALSE()) * 0.2 * AY$7) * (IF(AND(AY$5 &gt;= VLOOKUP($P474,Member_Tab,6,FALSE()), AY$5 &lt;= VLOOKUP($P474,Member_Tab,7,FALSE())),1,0))  )</f>
        <v>0</v>
      </c>
      <c r="AZ474" s="76" t="n">
        <f aca="false">IF(ISERROR(VLOOKUP($P474,Member_Tab,4,FALSE())),0,(VLOOKUP($P474,Member_Tab,4,FALSE()) * 0.2 * AZ$7) * (IF(AND(AZ$5 &gt;= VLOOKUP($P474,Member_Tab,6,FALSE()), AZ$5 &lt;= VLOOKUP($P474,Member_Tab,7,FALSE())),1,0))  )</f>
        <v>0</v>
      </c>
      <c r="BA474" s="76" t="n">
        <f aca="false">IF(ISERROR(VLOOKUP($P474,Member_Tab,4,FALSE())),0,(VLOOKUP($P474,Member_Tab,4,FALSE()) * 0.2 * BA$7) * (IF(AND(BA$5 &gt;= VLOOKUP($P474,Member_Tab,6,FALSE()), BA$5 &lt;= VLOOKUP($P474,Member_Tab,7,FALSE())),1,0))  )</f>
        <v>0</v>
      </c>
      <c r="BB474" s="76" t="n">
        <f aca="false">IF(ISERROR(VLOOKUP($P474,Member_Tab,4,FALSE())),0,(VLOOKUP($P474,Member_Tab,4,FALSE()) * 0.2 * BB$7) * (IF(AND(BB$5 &gt;= VLOOKUP($P474,Member_Tab,6,FALSE()), BB$5 &lt;= VLOOKUP($P474,Member_Tab,7,FALSE())),1,0))  )</f>
        <v>0</v>
      </c>
    </row>
    <row r="475" s="173" customFormat="true" ht="15" hidden="true" customHeight="false" outlineLevel="1" collapsed="false">
      <c r="E475" s="40"/>
      <c r="K475" s="40"/>
      <c r="L475" s="40"/>
      <c r="M475" s="40"/>
      <c r="N475" s="40"/>
      <c r="P475" s="177" t="n">
        <f aca="false">P338</f>
        <v>0</v>
      </c>
      <c r="Q475" s="40"/>
      <c r="R475" s="178"/>
      <c r="S475" s="76" t="n">
        <f aca="false">IF(ISERROR(VLOOKUP($P475,Member_Tab,4,FALSE())),0,(VLOOKUP($P475,Member_Tab,4,FALSE()) * 0.2 * S$7) * (IF(AND(S$5 &gt;= VLOOKUP($P475,Member_Tab,6,FALSE()), S$5 &lt;= VLOOKUP($P475,Member_Tab,7,FALSE())),1,0))  )</f>
        <v>0</v>
      </c>
      <c r="T475" s="76" t="n">
        <f aca="false">IF(ISERROR(VLOOKUP($P475,Member_Tab,4,FALSE())),0,(VLOOKUP($P475,Member_Tab,4,FALSE()) * 0.2 * T$7) * (IF(AND(T$5 &gt;= VLOOKUP($P475,Member_Tab,6,FALSE()), T$5 &lt;= VLOOKUP($P475,Member_Tab,7,FALSE())),1,0))  )</f>
        <v>0</v>
      </c>
      <c r="U475" s="76" t="n">
        <f aca="false">IF(ISERROR(VLOOKUP($P475,Member_Tab,4,FALSE())),0,(VLOOKUP($P475,Member_Tab,4,FALSE()) * 0.2 * U$7) * (IF(AND(U$5 &gt;= VLOOKUP($P475,Member_Tab,6,FALSE()), U$5 &lt;= VLOOKUP($P475,Member_Tab,7,FALSE())),1,0))  )</f>
        <v>0</v>
      </c>
      <c r="V475" s="76" t="n">
        <f aca="false">IF(ISERROR(VLOOKUP($P475,Member_Tab,4,FALSE())),0,(VLOOKUP($P475,Member_Tab,4,FALSE()) * 0.2 * V$7) * (IF(AND(V$5 &gt;= VLOOKUP($P475,Member_Tab,6,FALSE()), V$5 &lt;= VLOOKUP($P475,Member_Tab,7,FALSE())),1,0))  )</f>
        <v>0</v>
      </c>
      <c r="W475" s="76" t="n">
        <f aca="false">IF(ISERROR(VLOOKUP($P475,Member_Tab,4,FALSE())),0,(VLOOKUP($P475,Member_Tab,4,FALSE()) * 0.2 * W$7) * (IF(AND(W$5 &gt;= VLOOKUP($P475,Member_Tab,6,FALSE()), W$5 &lt;= VLOOKUP($P475,Member_Tab,7,FALSE())),1,0))  )</f>
        <v>0</v>
      </c>
      <c r="X475" s="76" t="n">
        <f aca="false">IF(ISERROR(VLOOKUP($P475,Member_Tab,4,FALSE())),0,(VLOOKUP($P475,Member_Tab,4,FALSE()) * 0.2 * X$7) * (IF(AND(X$5 &gt;= VLOOKUP($P475,Member_Tab,6,FALSE()), X$5 &lt;= VLOOKUP($P475,Member_Tab,7,FALSE())),1,0))  )</f>
        <v>0</v>
      </c>
      <c r="Y475" s="76" t="n">
        <f aca="false">IF(ISERROR(VLOOKUP($P475,Member_Tab,4,FALSE())),0,(VLOOKUP($P475,Member_Tab,4,FALSE()) * 0.2 * Y$7) * (IF(AND(Y$5 &gt;= VLOOKUP($P475,Member_Tab,6,FALSE()), Y$5 &lt;= VLOOKUP($P475,Member_Tab,7,FALSE())),1,0))  )</f>
        <v>0</v>
      </c>
      <c r="Z475" s="76" t="n">
        <f aca="false">IF(ISERROR(VLOOKUP($P475,Member_Tab,4,FALSE())),0,(VLOOKUP($P475,Member_Tab,4,FALSE()) * 0.2 * Z$7) * (IF(AND(Z$5 &gt;= VLOOKUP($P475,Member_Tab,6,FALSE()), Z$5 &lt;= VLOOKUP($P475,Member_Tab,7,FALSE())),1,0))  )</f>
        <v>0</v>
      </c>
      <c r="AA475" s="76" t="n">
        <f aca="false">IF(ISERROR(VLOOKUP($P475,Member_Tab,4,FALSE())),0,(VLOOKUP($P475,Member_Tab,4,FALSE()) * 0.2 * AA$7) * (IF(AND(AA$5 &gt;= VLOOKUP($P475,Member_Tab,6,FALSE()), AA$5 &lt;= VLOOKUP($P475,Member_Tab,7,FALSE())),1,0))  )</f>
        <v>0</v>
      </c>
      <c r="AB475" s="76" t="n">
        <f aca="false">IF(ISERROR(VLOOKUP($P475,Member_Tab,4,FALSE())),0,(VLOOKUP($P475,Member_Tab,4,FALSE()) * 0.2 * AB$7) * (IF(AND(AB$5 &gt;= VLOOKUP($P475,Member_Tab,6,FALSE()), AB$5 &lt;= VLOOKUP($P475,Member_Tab,7,FALSE())),1,0))  )</f>
        <v>0</v>
      </c>
      <c r="AC475" s="76" t="n">
        <f aca="false">IF(ISERROR(VLOOKUP($P475,Member_Tab,4,FALSE())),0,(VLOOKUP($P475,Member_Tab,4,FALSE()) * 0.2 * AC$7) * (IF(AND(AC$5 &gt;= VLOOKUP($P475,Member_Tab,6,FALSE()), AC$5 &lt;= VLOOKUP($P475,Member_Tab,7,FALSE())),1,0))  )</f>
        <v>0</v>
      </c>
      <c r="AD475" s="76" t="n">
        <f aca="false">IF(ISERROR(VLOOKUP($P475,Member_Tab,4,FALSE())),0,(VLOOKUP($P475,Member_Tab,4,FALSE()) * 0.2 * AD$7) * (IF(AND(AD$5 &gt;= VLOOKUP($P475,Member_Tab,6,FALSE()), AD$5 &lt;= VLOOKUP($P475,Member_Tab,7,FALSE())),1,0))  )</f>
        <v>0</v>
      </c>
      <c r="AE475" s="76" t="n">
        <f aca="false">IF(ISERROR(VLOOKUP($P475,Member_Tab,4,FALSE())),0,(VLOOKUP($P475,Member_Tab,4,FALSE()) * 0.2 * AE$7) * (IF(AND(AE$5 &gt;= VLOOKUP($P475,Member_Tab,6,FALSE()), AE$5 &lt;= VLOOKUP($P475,Member_Tab,7,FALSE())),1,0))  )</f>
        <v>0</v>
      </c>
      <c r="AF475" s="76" t="n">
        <f aca="false">IF(ISERROR(VLOOKUP($P475,Member_Tab,4,FALSE())),0,(VLOOKUP($P475,Member_Tab,4,FALSE()) * 0.2 * AF$7) * (IF(AND(AF$5 &gt;= VLOOKUP($P475,Member_Tab,6,FALSE()), AF$5 &lt;= VLOOKUP($P475,Member_Tab,7,FALSE())),1,0))  )</f>
        <v>0</v>
      </c>
      <c r="AG475" s="76" t="n">
        <f aca="false">IF(ISERROR(VLOOKUP($P475,Member_Tab,4,FALSE())),0,(VLOOKUP($P475,Member_Tab,4,FALSE()) * 0.2 * AG$7) * (IF(AND(AG$5 &gt;= VLOOKUP($P475,Member_Tab,6,FALSE()), AG$5 &lt;= VLOOKUP($P475,Member_Tab,7,FALSE())),1,0))  )</f>
        <v>0</v>
      </c>
      <c r="AH475" s="76" t="n">
        <f aca="false">IF(ISERROR(VLOOKUP($P475,Member_Tab,4,FALSE())),0,(VLOOKUP($P475,Member_Tab,4,FALSE()) * 0.2 * AH$7) * (IF(AND(AH$5 &gt;= VLOOKUP($P475,Member_Tab,6,FALSE()), AH$5 &lt;= VLOOKUP($P475,Member_Tab,7,FALSE())),1,0))  )</f>
        <v>0</v>
      </c>
      <c r="AI475" s="76" t="n">
        <f aca="false">IF(ISERROR(VLOOKUP($P475,Member_Tab,4,FALSE())),0,(VLOOKUP($P475,Member_Tab,4,FALSE()) * 0.2 * AI$7) * (IF(AND(AI$5 &gt;= VLOOKUP($P475,Member_Tab,6,FALSE()), AI$5 &lt;= VLOOKUP($P475,Member_Tab,7,FALSE())),1,0))  )</f>
        <v>0</v>
      </c>
      <c r="AJ475" s="76" t="n">
        <f aca="false">IF(ISERROR(VLOOKUP($P475,Member_Tab,4,FALSE())),0,(VLOOKUP($P475,Member_Tab,4,FALSE()) * 0.2 * AJ$7) * (IF(AND(AJ$5 &gt;= VLOOKUP($P475,Member_Tab,6,FALSE()), AJ$5 &lt;= VLOOKUP($P475,Member_Tab,7,FALSE())),1,0))  )</f>
        <v>0</v>
      </c>
      <c r="AK475" s="76" t="n">
        <f aca="false">IF(ISERROR(VLOOKUP($P475,Member_Tab,4,FALSE())),0,(VLOOKUP($P475,Member_Tab,4,FALSE()) * 0.2 * AK$7) * (IF(AND(AK$5 &gt;= VLOOKUP($P475,Member_Tab,6,FALSE()), AK$5 &lt;= VLOOKUP($P475,Member_Tab,7,FALSE())),1,0))  )</f>
        <v>0</v>
      </c>
      <c r="AL475" s="76" t="n">
        <f aca="false">IF(ISERROR(VLOOKUP($P475,Member_Tab,4,FALSE())),0,(VLOOKUP($P475,Member_Tab,4,FALSE()) * 0.2 * AL$7) * (IF(AND(AL$5 &gt;= VLOOKUP($P475,Member_Tab,6,FALSE()), AL$5 &lt;= VLOOKUP($P475,Member_Tab,7,FALSE())),1,0))  )</f>
        <v>0</v>
      </c>
      <c r="AM475" s="76" t="n">
        <f aca="false">IF(ISERROR(VLOOKUP($P475,Member_Tab,4,FALSE())),0,(VLOOKUP($P475,Member_Tab,4,FALSE()) * 0.2 * AM$7) * (IF(AND(AM$5 &gt;= VLOOKUP($P475,Member_Tab,6,FALSE()), AM$5 &lt;= VLOOKUP($P475,Member_Tab,7,FALSE())),1,0))  )</f>
        <v>0</v>
      </c>
      <c r="AN475" s="76" t="n">
        <f aca="false">IF(ISERROR(VLOOKUP($P475,Member_Tab,4,FALSE())),0,(VLOOKUP($P475,Member_Tab,4,FALSE()) * 0.2 * AN$7) * (IF(AND(AN$5 &gt;= VLOOKUP($P475,Member_Tab,6,FALSE()), AN$5 &lt;= VLOOKUP($P475,Member_Tab,7,FALSE())),1,0))  )</f>
        <v>0</v>
      </c>
      <c r="AO475" s="76" t="n">
        <f aca="false">IF(ISERROR(VLOOKUP($P475,Member_Tab,4,FALSE())),0,(VLOOKUP($P475,Member_Tab,4,FALSE()) * 0.2 * AO$7) * (IF(AND(AO$5 &gt;= VLOOKUP($P475,Member_Tab,6,FALSE()), AO$5 &lt;= VLOOKUP($P475,Member_Tab,7,FALSE())),1,0))  )</f>
        <v>0</v>
      </c>
      <c r="AP475" s="76" t="n">
        <f aca="false">IF(ISERROR(VLOOKUP($P475,Member_Tab,4,FALSE())),0,(VLOOKUP($P475,Member_Tab,4,FALSE()) * 0.2 * AP$7) * (IF(AND(AP$5 &gt;= VLOOKUP($P475,Member_Tab,6,FALSE()), AP$5 &lt;= VLOOKUP($P475,Member_Tab,7,FALSE())),1,0))  )</f>
        <v>0</v>
      </c>
      <c r="AQ475" s="76" t="n">
        <f aca="false">IF(ISERROR(VLOOKUP($P475,Member_Tab,4,FALSE())),0,(VLOOKUP($P475,Member_Tab,4,FALSE()) * 0.2 * AQ$7) * (IF(AND(AQ$5 &gt;= VLOOKUP($P475,Member_Tab,6,FALSE()), AQ$5 &lt;= VLOOKUP($P475,Member_Tab,7,FALSE())),1,0))  )</f>
        <v>0</v>
      </c>
      <c r="AR475" s="76" t="n">
        <f aca="false">IF(ISERROR(VLOOKUP($P475,Member_Tab,4,FALSE())),0,(VLOOKUP($P475,Member_Tab,4,FALSE()) * 0.2 * AR$7) * (IF(AND(AR$5 &gt;= VLOOKUP($P475,Member_Tab,6,FALSE()), AR$5 &lt;= VLOOKUP($P475,Member_Tab,7,FALSE())),1,0))  )</f>
        <v>0</v>
      </c>
      <c r="AS475" s="76" t="n">
        <f aca="false">IF(ISERROR(VLOOKUP($P475,Member_Tab,4,FALSE())),0,(VLOOKUP($P475,Member_Tab,4,FALSE()) * 0.2 * AS$7) * (IF(AND(AS$5 &gt;= VLOOKUP($P475,Member_Tab,6,FALSE()), AS$5 &lt;= VLOOKUP($P475,Member_Tab,7,FALSE())),1,0))  )</f>
        <v>0</v>
      </c>
      <c r="AT475" s="76" t="n">
        <f aca="false">IF(ISERROR(VLOOKUP($P475,Member_Tab,4,FALSE())),0,(VLOOKUP($P475,Member_Tab,4,FALSE()) * 0.2 * AT$7) * (IF(AND(AT$5 &gt;= VLOOKUP($P475,Member_Tab,6,FALSE()), AT$5 &lt;= VLOOKUP($P475,Member_Tab,7,FALSE())),1,0))  )</f>
        <v>0</v>
      </c>
      <c r="AU475" s="76" t="n">
        <f aca="false">IF(ISERROR(VLOOKUP($P475,Member_Tab,4,FALSE())),0,(VLOOKUP($P475,Member_Tab,4,FALSE()) * 0.2 * AU$7) * (IF(AND(AU$5 &gt;= VLOOKUP($P475,Member_Tab,6,FALSE()), AU$5 &lt;= VLOOKUP($P475,Member_Tab,7,FALSE())),1,0))  )</f>
        <v>0</v>
      </c>
      <c r="AV475" s="76" t="n">
        <f aca="false">IF(ISERROR(VLOOKUP($P475,Member_Tab,4,FALSE())),0,(VLOOKUP($P475,Member_Tab,4,FALSE()) * 0.2 * AV$7) * (IF(AND(AV$5 &gt;= VLOOKUP($P475,Member_Tab,6,FALSE()), AV$5 &lt;= VLOOKUP($P475,Member_Tab,7,FALSE())),1,0))  )</f>
        <v>0</v>
      </c>
      <c r="AW475" s="76" t="n">
        <f aca="false">IF(ISERROR(VLOOKUP($P475,Member_Tab,4,FALSE())),0,(VLOOKUP($P475,Member_Tab,4,FALSE()) * 0.2 * AW$7) * (IF(AND(AW$5 &gt;= VLOOKUP($P475,Member_Tab,6,FALSE()), AW$5 &lt;= VLOOKUP($P475,Member_Tab,7,FALSE())),1,0))  )</f>
        <v>0</v>
      </c>
      <c r="AX475" s="76" t="n">
        <f aca="false">IF(ISERROR(VLOOKUP($P475,Member_Tab,4,FALSE())),0,(VLOOKUP($P475,Member_Tab,4,FALSE()) * 0.2 * AX$7) * (IF(AND(AX$5 &gt;= VLOOKUP($P475,Member_Tab,6,FALSE()), AX$5 &lt;= VLOOKUP($P475,Member_Tab,7,FALSE())),1,0))  )</f>
        <v>0</v>
      </c>
      <c r="AY475" s="76" t="n">
        <f aca="false">IF(ISERROR(VLOOKUP($P475,Member_Tab,4,FALSE())),0,(VLOOKUP($P475,Member_Tab,4,FALSE()) * 0.2 * AY$7) * (IF(AND(AY$5 &gt;= VLOOKUP($P475,Member_Tab,6,FALSE()), AY$5 &lt;= VLOOKUP($P475,Member_Tab,7,FALSE())),1,0))  )</f>
        <v>0</v>
      </c>
      <c r="AZ475" s="76" t="n">
        <f aca="false">IF(ISERROR(VLOOKUP($P475,Member_Tab,4,FALSE())),0,(VLOOKUP($P475,Member_Tab,4,FALSE()) * 0.2 * AZ$7) * (IF(AND(AZ$5 &gt;= VLOOKUP($P475,Member_Tab,6,FALSE()), AZ$5 &lt;= VLOOKUP($P475,Member_Tab,7,FALSE())),1,0))  )</f>
        <v>0</v>
      </c>
      <c r="BA475" s="76" t="n">
        <f aca="false">IF(ISERROR(VLOOKUP($P475,Member_Tab,4,FALSE())),0,(VLOOKUP($P475,Member_Tab,4,FALSE()) * 0.2 * BA$7) * (IF(AND(BA$5 &gt;= VLOOKUP($P475,Member_Tab,6,FALSE()), BA$5 &lt;= VLOOKUP($P475,Member_Tab,7,FALSE())),1,0))  )</f>
        <v>0</v>
      </c>
      <c r="BB475" s="76" t="n">
        <f aca="false">IF(ISERROR(VLOOKUP($P475,Member_Tab,4,FALSE())),0,(VLOOKUP($P475,Member_Tab,4,FALSE()) * 0.2 * BB$7) * (IF(AND(BB$5 &gt;= VLOOKUP($P475,Member_Tab,6,FALSE()), BB$5 &lt;= VLOOKUP($P475,Member_Tab,7,FALSE())),1,0))  )</f>
        <v>0</v>
      </c>
    </row>
    <row r="476" s="173" customFormat="true" ht="15" hidden="true" customHeight="false" outlineLevel="1" collapsed="false">
      <c r="E476" s="40"/>
      <c r="K476" s="40"/>
      <c r="L476" s="40"/>
      <c r="M476" s="40"/>
      <c r="N476" s="40"/>
      <c r="P476" s="177" t="n">
        <f aca="false">P339</f>
        <v>0</v>
      </c>
      <c r="Q476" s="40"/>
      <c r="R476" s="178"/>
      <c r="S476" s="76" t="n">
        <f aca="false">IF(ISERROR(VLOOKUP($P476,Member_Tab,4,FALSE())),0,(VLOOKUP($P476,Member_Tab,4,FALSE()) * 0.2 * S$7) * (IF(AND(S$5 &gt;= VLOOKUP($P476,Member_Tab,6,FALSE()), S$5 &lt;= VLOOKUP($P476,Member_Tab,7,FALSE())),1,0))  )</f>
        <v>0</v>
      </c>
      <c r="T476" s="76" t="n">
        <f aca="false">IF(ISERROR(VLOOKUP($P476,Member_Tab,4,FALSE())),0,(VLOOKUP($P476,Member_Tab,4,FALSE()) * 0.2 * T$7) * (IF(AND(T$5 &gt;= VLOOKUP($P476,Member_Tab,6,FALSE()), T$5 &lt;= VLOOKUP($P476,Member_Tab,7,FALSE())),1,0))  )</f>
        <v>0</v>
      </c>
      <c r="U476" s="76" t="n">
        <f aca="false">IF(ISERROR(VLOOKUP($P476,Member_Tab,4,FALSE())),0,(VLOOKUP($P476,Member_Tab,4,FALSE()) * 0.2 * U$7) * (IF(AND(U$5 &gt;= VLOOKUP($P476,Member_Tab,6,FALSE()), U$5 &lt;= VLOOKUP($P476,Member_Tab,7,FALSE())),1,0))  )</f>
        <v>0</v>
      </c>
      <c r="V476" s="76" t="n">
        <f aca="false">IF(ISERROR(VLOOKUP($P476,Member_Tab,4,FALSE())),0,(VLOOKUP($P476,Member_Tab,4,FALSE()) * 0.2 * V$7) * (IF(AND(V$5 &gt;= VLOOKUP($P476,Member_Tab,6,FALSE()), V$5 &lt;= VLOOKUP($P476,Member_Tab,7,FALSE())),1,0))  )</f>
        <v>0</v>
      </c>
      <c r="W476" s="76" t="n">
        <f aca="false">IF(ISERROR(VLOOKUP($P476,Member_Tab,4,FALSE())),0,(VLOOKUP($P476,Member_Tab,4,FALSE()) * 0.2 * W$7) * (IF(AND(W$5 &gt;= VLOOKUP($P476,Member_Tab,6,FALSE()), W$5 &lt;= VLOOKUP($P476,Member_Tab,7,FALSE())),1,0))  )</f>
        <v>0</v>
      </c>
      <c r="X476" s="76" t="n">
        <f aca="false">IF(ISERROR(VLOOKUP($P476,Member_Tab,4,FALSE())),0,(VLOOKUP($P476,Member_Tab,4,FALSE()) * 0.2 * X$7) * (IF(AND(X$5 &gt;= VLOOKUP($P476,Member_Tab,6,FALSE()), X$5 &lt;= VLOOKUP($P476,Member_Tab,7,FALSE())),1,0))  )</f>
        <v>0</v>
      </c>
      <c r="Y476" s="76" t="n">
        <f aca="false">IF(ISERROR(VLOOKUP($P476,Member_Tab,4,FALSE())),0,(VLOOKUP($P476,Member_Tab,4,FALSE()) * 0.2 * Y$7) * (IF(AND(Y$5 &gt;= VLOOKUP($P476,Member_Tab,6,FALSE()), Y$5 &lt;= VLOOKUP($P476,Member_Tab,7,FALSE())),1,0))  )</f>
        <v>0</v>
      </c>
      <c r="Z476" s="76" t="n">
        <f aca="false">IF(ISERROR(VLOOKUP($P476,Member_Tab,4,FALSE())),0,(VLOOKUP($P476,Member_Tab,4,FALSE()) * 0.2 * Z$7) * (IF(AND(Z$5 &gt;= VLOOKUP($P476,Member_Tab,6,FALSE()), Z$5 &lt;= VLOOKUP($P476,Member_Tab,7,FALSE())),1,0))  )</f>
        <v>0</v>
      </c>
      <c r="AA476" s="76" t="n">
        <f aca="false">IF(ISERROR(VLOOKUP($P476,Member_Tab,4,FALSE())),0,(VLOOKUP($P476,Member_Tab,4,FALSE()) * 0.2 * AA$7) * (IF(AND(AA$5 &gt;= VLOOKUP($P476,Member_Tab,6,FALSE()), AA$5 &lt;= VLOOKUP($P476,Member_Tab,7,FALSE())),1,0))  )</f>
        <v>0</v>
      </c>
      <c r="AB476" s="76" t="n">
        <f aca="false">IF(ISERROR(VLOOKUP($P476,Member_Tab,4,FALSE())),0,(VLOOKUP($P476,Member_Tab,4,FALSE()) * 0.2 * AB$7) * (IF(AND(AB$5 &gt;= VLOOKUP($P476,Member_Tab,6,FALSE()), AB$5 &lt;= VLOOKUP($P476,Member_Tab,7,FALSE())),1,0))  )</f>
        <v>0</v>
      </c>
      <c r="AC476" s="76" t="n">
        <f aca="false">IF(ISERROR(VLOOKUP($P476,Member_Tab,4,FALSE())),0,(VLOOKUP($P476,Member_Tab,4,FALSE()) * 0.2 * AC$7) * (IF(AND(AC$5 &gt;= VLOOKUP($P476,Member_Tab,6,FALSE()), AC$5 &lt;= VLOOKUP($P476,Member_Tab,7,FALSE())),1,0))  )</f>
        <v>0</v>
      </c>
      <c r="AD476" s="76" t="n">
        <f aca="false">IF(ISERROR(VLOOKUP($P476,Member_Tab,4,FALSE())),0,(VLOOKUP($P476,Member_Tab,4,FALSE()) * 0.2 * AD$7) * (IF(AND(AD$5 &gt;= VLOOKUP($P476,Member_Tab,6,FALSE()), AD$5 &lt;= VLOOKUP($P476,Member_Tab,7,FALSE())),1,0))  )</f>
        <v>0</v>
      </c>
      <c r="AE476" s="76" t="n">
        <f aca="false">IF(ISERROR(VLOOKUP($P476,Member_Tab,4,FALSE())),0,(VLOOKUP($P476,Member_Tab,4,FALSE()) * 0.2 * AE$7) * (IF(AND(AE$5 &gt;= VLOOKUP($P476,Member_Tab,6,FALSE()), AE$5 &lt;= VLOOKUP($P476,Member_Tab,7,FALSE())),1,0))  )</f>
        <v>0</v>
      </c>
      <c r="AF476" s="76" t="n">
        <f aca="false">IF(ISERROR(VLOOKUP($P476,Member_Tab,4,FALSE())),0,(VLOOKUP($P476,Member_Tab,4,FALSE()) * 0.2 * AF$7) * (IF(AND(AF$5 &gt;= VLOOKUP($P476,Member_Tab,6,FALSE()), AF$5 &lt;= VLOOKUP($P476,Member_Tab,7,FALSE())),1,0))  )</f>
        <v>0</v>
      </c>
      <c r="AG476" s="76" t="n">
        <f aca="false">IF(ISERROR(VLOOKUP($P476,Member_Tab,4,FALSE())),0,(VLOOKUP($P476,Member_Tab,4,FALSE()) * 0.2 * AG$7) * (IF(AND(AG$5 &gt;= VLOOKUP($P476,Member_Tab,6,FALSE()), AG$5 &lt;= VLOOKUP($P476,Member_Tab,7,FALSE())),1,0))  )</f>
        <v>0</v>
      </c>
      <c r="AH476" s="76" t="n">
        <f aca="false">IF(ISERROR(VLOOKUP($P476,Member_Tab,4,FALSE())),0,(VLOOKUP($P476,Member_Tab,4,FALSE()) * 0.2 * AH$7) * (IF(AND(AH$5 &gt;= VLOOKUP($P476,Member_Tab,6,FALSE()), AH$5 &lt;= VLOOKUP($P476,Member_Tab,7,FALSE())),1,0))  )</f>
        <v>0</v>
      </c>
      <c r="AI476" s="76" t="n">
        <f aca="false">IF(ISERROR(VLOOKUP($P476,Member_Tab,4,FALSE())),0,(VLOOKUP($P476,Member_Tab,4,FALSE()) * 0.2 * AI$7) * (IF(AND(AI$5 &gt;= VLOOKUP($P476,Member_Tab,6,FALSE()), AI$5 &lt;= VLOOKUP($P476,Member_Tab,7,FALSE())),1,0))  )</f>
        <v>0</v>
      </c>
      <c r="AJ476" s="76" t="n">
        <f aca="false">IF(ISERROR(VLOOKUP($P476,Member_Tab,4,FALSE())),0,(VLOOKUP($P476,Member_Tab,4,FALSE()) * 0.2 * AJ$7) * (IF(AND(AJ$5 &gt;= VLOOKUP($P476,Member_Tab,6,FALSE()), AJ$5 &lt;= VLOOKUP($P476,Member_Tab,7,FALSE())),1,0))  )</f>
        <v>0</v>
      </c>
      <c r="AK476" s="76" t="n">
        <f aca="false">IF(ISERROR(VLOOKUP($P476,Member_Tab,4,FALSE())),0,(VLOOKUP($P476,Member_Tab,4,FALSE()) * 0.2 * AK$7) * (IF(AND(AK$5 &gt;= VLOOKUP($P476,Member_Tab,6,FALSE()), AK$5 &lt;= VLOOKUP($P476,Member_Tab,7,FALSE())),1,0))  )</f>
        <v>0</v>
      </c>
      <c r="AL476" s="76" t="n">
        <f aca="false">IF(ISERROR(VLOOKUP($P476,Member_Tab,4,FALSE())),0,(VLOOKUP($P476,Member_Tab,4,FALSE()) * 0.2 * AL$7) * (IF(AND(AL$5 &gt;= VLOOKUP($P476,Member_Tab,6,FALSE()), AL$5 &lt;= VLOOKUP($P476,Member_Tab,7,FALSE())),1,0))  )</f>
        <v>0</v>
      </c>
      <c r="AM476" s="76" t="n">
        <f aca="false">IF(ISERROR(VLOOKUP($P476,Member_Tab,4,FALSE())),0,(VLOOKUP($P476,Member_Tab,4,FALSE()) * 0.2 * AM$7) * (IF(AND(AM$5 &gt;= VLOOKUP($P476,Member_Tab,6,FALSE()), AM$5 &lt;= VLOOKUP($P476,Member_Tab,7,FALSE())),1,0))  )</f>
        <v>0</v>
      </c>
      <c r="AN476" s="76" t="n">
        <f aca="false">IF(ISERROR(VLOOKUP($P476,Member_Tab,4,FALSE())),0,(VLOOKUP($P476,Member_Tab,4,FALSE()) * 0.2 * AN$7) * (IF(AND(AN$5 &gt;= VLOOKUP($P476,Member_Tab,6,FALSE()), AN$5 &lt;= VLOOKUP($P476,Member_Tab,7,FALSE())),1,0))  )</f>
        <v>0</v>
      </c>
      <c r="AO476" s="76" t="n">
        <f aca="false">IF(ISERROR(VLOOKUP($P476,Member_Tab,4,FALSE())),0,(VLOOKUP($P476,Member_Tab,4,FALSE()) * 0.2 * AO$7) * (IF(AND(AO$5 &gt;= VLOOKUP($P476,Member_Tab,6,FALSE()), AO$5 &lt;= VLOOKUP($P476,Member_Tab,7,FALSE())),1,0))  )</f>
        <v>0</v>
      </c>
      <c r="AP476" s="76" t="n">
        <f aca="false">IF(ISERROR(VLOOKUP($P476,Member_Tab,4,FALSE())),0,(VLOOKUP($P476,Member_Tab,4,FALSE()) * 0.2 * AP$7) * (IF(AND(AP$5 &gt;= VLOOKUP($P476,Member_Tab,6,FALSE()), AP$5 &lt;= VLOOKUP($P476,Member_Tab,7,FALSE())),1,0))  )</f>
        <v>0</v>
      </c>
      <c r="AQ476" s="76" t="n">
        <f aca="false">IF(ISERROR(VLOOKUP($P476,Member_Tab,4,FALSE())),0,(VLOOKUP($P476,Member_Tab,4,FALSE()) * 0.2 * AQ$7) * (IF(AND(AQ$5 &gt;= VLOOKUP($P476,Member_Tab,6,FALSE()), AQ$5 &lt;= VLOOKUP($P476,Member_Tab,7,FALSE())),1,0))  )</f>
        <v>0</v>
      </c>
      <c r="AR476" s="76" t="n">
        <f aca="false">IF(ISERROR(VLOOKUP($P476,Member_Tab,4,FALSE())),0,(VLOOKUP($P476,Member_Tab,4,FALSE()) * 0.2 * AR$7) * (IF(AND(AR$5 &gt;= VLOOKUP($P476,Member_Tab,6,FALSE()), AR$5 &lt;= VLOOKUP($P476,Member_Tab,7,FALSE())),1,0))  )</f>
        <v>0</v>
      </c>
      <c r="AS476" s="76" t="n">
        <f aca="false">IF(ISERROR(VLOOKUP($P476,Member_Tab,4,FALSE())),0,(VLOOKUP($P476,Member_Tab,4,FALSE()) * 0.2 * AS$7) * (IF(AND(AS$5 &gt;= VLOOKUP($P476,Member_Tab,6,FALSE()), AS$5 &lt;= VLOOKUP($P476,Member_Tab,7,FALSE())),1,0))  )</f>
        <v>0</v>
      </c>
      <c r="AT476" s="76" t="n">
        <f aca="false">IF(ISERROR(VLOOKUP($P476,Member_Tab,4,FALSE())),0,(VLOOKUP($P476,Member_Tab,4,FALSE()) * 0.2 * AT$7) * (IF(AND(AT$5 &gt;= VLOOKUP($P476,Member_Tab,6,FALSE()), AT$5 &lt;= VLOOKUP($P476,Member_Tab,7,FALSE())),1,0))  )</f>
        <v>0</v>
      </c>
      <c r="AU476" s="76" t="n">
        <f aca="false">IF(ISERROR(VLOOKUP($P476,Member_Tab,4,FALSE())),0,(VLOOKUP($P476,Member_Tab,4,FALSE()) * 0.2 * AU$7) * (IF(AND(AU$5 &gt;= VLOOKUP($P476,Member_Tab,6,FALSE()), AU$5 &lt;= VLOOKUP($P476,Member_Tab,7,FALSE())),1,0))  )</f>
        <v>0</v>
      </c>
      <c r="AV476" s="76" t="n">
        <f aca="false">IF(ISERROR(VLOOKUP($P476,Member_Tab,4,FALSE())),0,(VLOOKUP($P476,Member_Tab,4,FALSE()) * 0.2 * AV$7) * (IF(AND(AV$5 &gt;= VLOOKUP($P476,Member_Tab,6,FALSE()), AV$5 &lt;= VLOOKUP($P476,Member_Tab,7,FALSE())),1,0))  )</f>
        <v>0</v>
      </c>
      <c r="AW476" s="76" t="n">
        <f aca="false">IF(ISERROR(VLOOKUP($P476,Member_Tab,4,FALSE())),0,(VLOOKUP($P476,Member_Tab,4,FALSE()) * 0.2 * AW$7) * (IF(AND(AW$5 &gt;= VLOOKUP($P476,Member_Tab,6,FALSE()), AW$5 &lt;= VLOOKUP($P476,Member_Tab,7,FALSE())),1,0))  )</f>
        <v>0</v>
      </c>
      <c r="AX476" s="76" t="n">
        <f aca="false">IF(ISERROR(VLOOKUP($P476,Member_Tab,4,FALSE())),0,(VLOOKUP($P476,Member_Tab,4,FALSE()) * 0.2 * AX$7) * (IF(AND(AX$5 &gt;= VLOOKUP($P476,Member_Tab,6,FALSE()), AX$5 &lt;= VLOOKUP($P476,Member_Tab,7,FALSE())),1,0))  )</f>
        <v>0</v>
      </c>
      <c r="AY476" s="76" t="n">
        <f aca="false">IF(ISERROR(VLOOKUP($P476,Member_Tab,4,FALSE())),0,(VLOOKUP($P476,Member_Tab,4,FALSE()) * 0.2 * AY$7) * (IF(AND(AY$5 &gt;= VLOOKUP($P476,Member_Tab,6,FALSE()), AY$5 &lt;= VLOOKUP($P476,Member_Tab,7,FALSE())),1,0))  )</f>
        <v>0</v>
      </c>
      <c r="AZ476" s="76" t="n">
        <f aca="false">IF(ISERROR(VLOOKUP($P476,Member_Tab,4,FALSE())),0,(VLOOKUP($P476,Member_Tab,4,FALSE()) * 0.2 * AZ$7) * (IF(AND(AZ$5 &gt;= VLOOKUP($P476,Member_Tab,6,FALSE()), AZ$5 &lt;= VLOOKUP($P476,Member_Tab,7,FALSE())),1,0))  )</f>
        <v>0</v>
      </c>
      <c r="BA476" s="76" t="n">
        <f aca="false">IF(ISERROR(VLOOKUP($P476,Member_Tab,4,FALSE())),0,(VLOOKUP($P476,Member_Tab,4,FALSE()) * 0.2 * BA$7) * (IF(AND(BA$5 &gt;= VLOOKUP($P476,Member_Tab,6,FALSE()), BA$5 &lt;= VLOOKUP($P476,Member_Tab,7,FALSE())),1,0))  )</f>
        <v>0</v>
      </c>
      <c r="BB476" s="76" t="n">
        <f aca="false">IF(ISERROR(VLOOKUP($P476,Member_Tab,4,FALSE())),0,(VLOOKUP($P476,Member_Tab,4,FALSE()) * 0.2 * BB$7) * (IF(AND(BB$5 &gt;= VLOOKUP($P476,Member_Tab,6,FALSE()), BB$5 &lt;= VLOOKUP($P476,Member_Tab,7,FALSE())),1,0))  )</f>
        <v>0</v>
      </c>
    </row>
    <row r="477" s="173" customFormat="true" ht="15" hidden="true" customHeight="false" outlineLevel="1" collapsed="false">
      <c r="E477" s="40"/>
      <c r="K477" s="40"/>
      <c r="L477" s="40"/>
      <c r="M477" s="40"/>
      <c r="N477" s="40"/>
      <c r="P477" s="177" t="n">
        <f aca="false">P340</f>
        <v>0</v>
      </c>
      <c r="Q477" s="40"/>
      <c r="R477" s="178"/>
      <c r="S477" s="76" t="n">
        <f aca="false">IF(ISERROR(VLOOKUP($P477,Member_Tab,4,FALSE())),0,(VLOOKUP($P477,Member_Tab,4,FALSE()) * 0.2 * S$7) * (IF(AND(S$5 &gt;= VLOOKUP($P477,Member_Tab,6,FALSE()), S$5 &lt;= VLOOKUP($P477,Member_Tab,7,FALSE())),1,0))  )</f>
        <v>0</v>
      </c>
      <c r="T477" s="76" t="n">
        <f aca="false">IF(ISERROR(VLOOKUP($P477,Member_Tab,4,FALSE())),0,(VLOOKUP($P477,Member_Tab,4,FALSE()) * 0.2 * T$7) * (IF(AND(T$5 &gt;= VLOOKUP($P477,Member_Tab,6,FALSE()), T$5 &lt;= VLOOKUP($P477,Member_Tab,7,FALSE())),1,0))  )</f>
        <v>0</v>
      </c>
      <c r="U477" s="76" t="n">
        <f aca="false">IF(ISERROR(VLOOKUP($P477,Member_Tab,4,FALSE())),0,(VLOOKUP($P477,Member_Tab,4,FALSE()) * 0.2 * U$7) * (IF(AND(U$5 &gt;= VLOOKUP($P477,Member_Tab,6,FALSE()), U$5 &lt;= VLOOKUP($P477,Member_Tab,7,FALSE())),1,0))  )</f>
        <v>0</v>
      </c>
      <c r="V477" s="76" t="n">
        <f aca="false">IF(ISERROR(VLOOKUP($P477,Member_Tab,4,FALSE())),0,(VLOOKUP($P477,Member_Tab,4,FALSE()) * 0.2 * V$7) * (IF(AND(V$5 &gt;= VLOOKUP($P477,Member_Tab,6,FALSE()), V$5 &lt;= VLOOKUP($P477,Member_Tab,7,FALSE())),1,0))  )</f>
        <v>0</v>
      </c>
      <c r="W477" s="76" t="n">
        <f aca="false">IF(ISERROR(VLOOKUP($P477,Member_Tab,4,FALSE())),0,(VLOOKUP($P477,Member_Tab,4,FALSE()) * 0.2 * W$7) * (IF(AND(W$5 &gt;= VLOOKUP($P477,Member_Tab,6,FALSE()), W$5 &lt;= VLOOKUP($P477,Member_Tab,7,FALSE())),1,0))  )</f>
        <v>0</v>
      </c>
      <c r="X477" s="76" t="n">
        <f aca="false">IF(ISERROR(VLOOKUP($P477,Member_Tab,4,FALSE())),0,(VLOOKUP($P477,Member_Tab,4,FALSE()) * 0.2 * X$7) * (IF(AND(X$5 &gt;= VLOOKUP($P477,Member_Tab,6,FALSE()), X$5 &lt;= VLOOKUP($P477,Member_Tab,7,FALSE())),1,0))  )</f>
        <v>0</v>
      </c>
      <c r="Y477" s="76" t="n">
        <f aca="false">IF(ISERROR(VLOOKUP($P477,Member_Tab,4,FALSE())),0,(VLOOKUP($P477,Member_Tab,4,FALSE()) * 0.2 * Y$7) * (IF(AND(Y$5 &gt;= VLOOKUP($P477,Member_Tab,6,FALSE()), Y$5 &lt;= VLOOKUP($P477,Member_Tab,7,FALSE())),1,0))  )</f>
        <v>0</v>
      </c>
      <c r="Z477" s="76" t="n">
        <f aca="false">IF(ISERROR(VLOOKUP($P477,Member_Tab,4,FALSE())),0,(VLOOKUP($P477,Member_Tab,4,FALSE()) * 0.2 * Z$7) * (IF(AND(Z$5 &gt;= VLOOKUP($P477,Member_Tab,6,FALSE()), Z$5 &lt;= VLOOKUP($P477,Member_Tab,7,FALSE())),1,0))  )</f>
        <v>0</v>
      </c>
      <c r="AA477" s="76" t="n">
        <f aca="false">IF(ISERROR(VLOOKUP($P477,Member_Tab,4,FALSE())),0,(VLOOKUP($P477,Member_Tab,4,FALSE()) * 0.2 * AA$7) * (IF(AND(AA$5 &gt;= VLOOKUP($P477,Member_Tab,6,FALSE()), AA$5 &lt;= VLOOKUP($P477,Member_Tab,7,FALSE())),1,0))  )</f>
        <v>0</v>
      </c>
      <c r="AB477" s="76" t="n">
        <f aca="false">IF(ISERROR(VLOOKUP($P477,Member_Tab,4,FALSE())),0,(VLOOKUP($P477,Member_Tab,4,FALSE()) * 0.2 * AB$7) * (IF(AND(AB$5 &gt;= VLOOKUP($P477,Member_Tab,6,FALSE()), AB$5 &lt;= VLOOKUP($P477,Member_Tab,7,FALSE())),1,0))  )</f>
        <v>0</v>
      </c>
      <c r="AC477" s="76" t="n">
        <f aca="false">IF(ISERROR(VLOOKUP($P477,Member_Tab,4,FALSE())),0,(VLOOKUP($P477,Member_Tab,4,FALSE()) * 0.2 * AC$7) * (IF(AND(AC$5 &gt;= VLOOKUP($P477,Member_Tab,6,FALSE()), AC$5 &lt;= VLOOKUP($P477,Member_Tab,7,FALSE())),1,0))  )</f>
        <v>0</v>
      </c>
      <c r="AD477" s="76" t="n">
        <f aca="false">IF(ISERROR(VLOOKUP($P477,Member_Tab,4,FALSE())),0,(VLOOKUP($P477,Member_Tab,4,FALSE()) * 0.2 * AD$7) * (IF(AND(AD$5 &gt;= VLOOKUP($P477,Member_Tab,6,FALSE()), AD$5 &lt;= VLOOKUP($P477,Member_Tab,7,FALSE())),1,0))  )</f>
        <v>0</v>
      </c>
      <c r="AE477" s="76" t="n">
        <f aca="false">IF(ISERROR(VLOOKUP($P477,Member_Tab,4,FALSE())),0,(VLOOKUP($P477,Member_Tab,4,FALSE()) * 0.2 * AE$7) * (IF(AND(AE$5 &gt;= VLOOKUP($P477,Member_Tab,6,FALSE()), AE$5 &lt;= VLOOKUP($P477,Member_Tab,7,FALSE())),1,0))  )</f>
        <v>0</v>
      </c>
      <c r="AF477" s="76" t="n">
        <f aca="false">IF(ISERROR(VLOOKUP($P477,Member_Tab,4,FALSE())),0,(VLOOKUP($P477,Member_Tab,4,FALSE()) * 0.2 * AF$7) * (IF(AND(AF$5 &gt;= VLOOKUP($P477,Member_Tab,6,FALSE()), AF$5 &lt;= VLOOKUP($P477,Member_Tab,7,FALSE())),1,0))  )</f>
        <v>0</v>
      </c>
      <c r="AG477" s="76" t="n">
        <f aca="false">IF(ISERROR(VLOOKUP($P477,Member_Tab,4,FALSE())),0,(VLOOKUP($P477,Member_Tab,4,FALSE()) * 0.2 * AG$7) * (IF(AND(AG$5 &gt;= VLOOKUP($P477,Member_Tab,6,FALSE()), AG$5 &lt;= VLOOKUP($P477,Member_Tab,7,FALSE())),1,0))  )</f>
        <v>0</v>
      </c>
      <c r="AH477" s="76" t="n">
        <f aca="false">IF(ISERROR(VLOOKUP($P477,Member_Tab,4,FALSE())),0,(VLOOKUP($P477,Member_Tab,4,FALSE()) * 0.2 * AH$7) * (IF(AND(AH$5 &gt;= VLOOKUP($P477,Member_Tab,6,FALSE()), AH$5 &lt;= VLOOKUP($P477,Member_Tab,7,FALSE())),1,0))  )</f>
        <v>0</v>
      </c>
      <c r="AI477" s="76" t="n">
        <f aca="false">IF(ISERROR(VLOOKUP($P477,Member_Tab,4,FALSE())),0,(VLOOKUP($P477,Member_Tab,4,FALSE()) * 0.2 * AI$7) * (IF(AND(AI$5 &gt;= VLOOKUP($P477,Member_Tab,6,FALSE()), AI$5 &lt;= VLOOKUP($P477,Member_Tab,7,FALSE())),1,0))  )</f>
        <v>0</v>
      </c>
      <c r="AJ477" s="76" t="n">
        <f aca="false">IF(ISERROR(VLOOKUP($P477,Member_Tab,4,FALSE())),0,(VLOOKUP($P477,Member_Tab,4,FALSE()) * 0.2 * AJ$7) * (IF(AND(AJ$5 &gt;= VLOOKUP($P477,Member_Tab,6,FALSE()), AJ$5 &lt;= VLOOKUP($P477,Member_Tab,7,FALSE())),1,0))  )</f>
        <v>0</v>
      </c>
      <c r="AK477" s="76" t="n">
        <f aca="false">IF(ISERROR(VLOOKUP($P477,Member_Tab,4,FALSE())),0,(VLOOKUP($P477,Member_Tab,4,FALSE()) * 0.2 * AK$7) * (IF(AND(AK$5 &gt;= VLOOKUP($P477,Member_Tab,6,FALSE()), AK$5 &lt;= VLOOKUP($P477,Member_Tab,7,FALSE())),1,0))  )</f>
        <v>0</v>
      </c>
      <c r="AL477" s="76" t="n">
        <f aca="false">IF(ISERROR(VLOOKUP($P477,Member_Tab,4,FALSE())),0,(VLOOKUP($P477,Member_Tab,4,FALSE()) * 0.2 * AL$7) * (IF(AND(AL$5 &gt;= VLOOKUP($P477,Member_Tab,6,FALSE()), AL$5 &lt;= VLOOKUP($P477,Member_Tab,7,FALSE())),1,0))  )</f>
        <v>0</v>
      </c>
      <c r="AM477" s="76" t="n">
        <f aca="false">IF(ISERROR(VLOOKUP($P477,Member_Tab,4,FALSE())),0,(VLOOKUP($P477,Member_Tab,4,FALSE()) * 0.2 * AM$7) * (IF(AND(AM$5 &gt;= VLOOKUP($P477,Member_Tab,6,FALSE()), AM$5 &lt;= VLOOKUP($P477,Member_Tab,7,FALSE())),1,0))  )</f>
        <v>0</v>
      </c>
      <c r="AN477" s="76" t="n">
        <f aca="false">IF(ISERROR(VLOOKUP($P477,Member_Tab,4,FALSE())),0,(VLOOKUP($P477,Member_Tab,4,FALSE()) * 0.2 * AN$7) * (IF(AND(AN$5 &gt;= VLOOKUP($P477,Member_Tab,6,FALSE()), AN$5 &lt;= VLOOKUP($P477,Member_Tab,7,FALSE())),1,0))  )</f>
        <v>0</v>
      </c>
      <c r="AO477" s="76" t="n">
        <f aca="false">IF(ISERROR(VLOOKUP($P477,Member_Tab,4,FALSE())),0,(VLOOKUP($P477,Member_Tab,4,FALSE()) * 0.2 * AO$7) * (IF(AND(AO$5 &gt;= VLOOKUP($P477,Member_Tab,6,FALSE()), AO$5 &lt;= VLOOKUP($P477,Member_Tab,7,FALSE())),1,0))  )</f>
        <v>0</v>
      </c>
      <c r="AP477" s="76" t="n">
        <f aca="false">IF(ISERROR(VLOOKUP($P477,Member_Tab,4,FALSE())),0,(VLOOKUP($P477,Member_Tab,4,FALSE()) * 0.2 * AP$7) * (IF(AND(AP$5 &gt;= VLOOKUP($P477,Member_Tab,6,FALSE()), AP$5 &lt;= VLOOKUP($P477,Member_Tab,7,FALSE())),1,0))  )</f>
        <v>0</v>
      </c>
      <c r="AQ477" s="76" t="n">
        <f aca="false">IF(ISERROR(VLOOKUP($P477,Member_Tab,4,FALSE())),0,(VLOOKUP($P477,Member_Tab,4,FALSE()) * 0.2 * AQ$7) * (IF(AND(AQ$5 &gt;= VLOOKUP($P477,Member_Tab,6,FALSE()), AQ$5 &lt;= VLOOKUP($P477,Member_Tab,7,FALSE())),1,0))  )</f>
        <v>0</v>
      </c>
      <c r="AR477" s="76" t="n">
        <f aca="false">IF(ISERROR(VLOOKUP($P477,Member_Tab,4,FALSE())),0,(VLOOKUP($P477,Member_Tab,4,FALSE()) * 0.2 * AR$7) * (IF(AND(AR$5 &gt;= VLOOKUP($P477,Member_Tab,6,FALSE()), AR$5 &lt;= VLOOKUP($P477,Member_Tab,7,FALSE())),1,0))  )</f>
        <v>0</v>
      </c>
      <c r="AS477" s="76" t="n">
        <f aca="false">IF(ISERROR(VLOOKUP($P477,Member_Tab,4,FALSE())),0,(VLOOKUP($P477,Member_Tab,4,FALSE()) * 0.2 * AS$7) * (IF(AND(AS$5 &gt;= VLOOKUP($P477,Member_Tab,6,FALSE()), AS$5 &lt;= VLOOKUP($P477,Member_Tab,7,FALSE())),1,0))  )</f>
        <v>0</v>
      </c>
      <c r="AT477" s="76" t="n">
        <f aca="false">IF(ISERROR(VLOOKUP($P477,Member_Tab,4,FALSE())),0,(VLOOKUP($P477,Member_Tab,4,FALSE()) * 0.2 * AT$7) * (IF(AND(AT$5 &gt;= VLOOKUP($P477,Member_Tab,6,FALSE()), AT$5 &lt;= VLOOKUP($P477,Member_Tab,7,FALSE())),1,0))  )</f>
        <v>0</v>
      </c>
      <c r="AU477" s="76" t="n">
        <f aca="false">IF(ISERROR(VLOOKUP($P477,Member_Tab,4,FALSE())),0,(VLOOKUP($P477,Member_Tab,4,FALSE()) * 0.2 * AU$7) * (IF(AND(AU$5 &gt;= VLOOKUP($P477,Member_Tab,6,FALSE()), AU$5 &lt;= VLOOKUP($P477,Member_Tab,7,FALSE())),1,0))  )</f>
        <v>0</v>
      </c>
      <c r="AV477" s="76" t="n">
        <f aca="false">IF(ISERROR(VLOOKUP($P477,Member_Tab,4,FALSE())),0,(VLOOKUP($P477,Member_Tab,4,FALSE()) * 0.2 * AV$7) * (IF(AND(AV$5 &gt;= VLOOKUP($P477,Member_Tab,6,FALSE()), AV$5 &lt;= VLOOKUP($P477,Member_Tab,7,FALSE())),1,0))  )</f>
        <v>0</v>
      </c>
      <c r="AW477" s="76" t="n">
        <f aca="false">IF(ISERROR(VLOOKUP($P477,Member_Tab,4,FALSE())),0,(VLOOKUP($P477,Member_Tab,4,FALSE()) * 0.2 * AW$7) * (IF(AND(AW$5 &gt;= VLOOKUP($P477,Member_Tab,6,FALSE()), AW$5 &lt;= VLOOKUP($P477,Member_Tab,7,FALSE())),1,0))  )</f>
        <v>0</v>
      </c>
      <c r="AX477" s="76" t="n">
        <f aca="false">IF(ISERROR(VLOOKUP($P477,Member_Tab,4,FALSE())),0,(VLOOKUP($P477,Member_Tab,4,FALSE()) * 0.2 * AX$7) * (IF(AND(AX$5 &gt;= VLOOKUP($P477,Member_Tab,6,FALSE()), AX$5 &lt;= VLOOKUP($P477,Member_Tab,7,FALSE())),1,0))  )</f>
        <v>0</v>
      </c>
      <c r="AY477" s="76" t="n">
        <f aca="false">IF(ISERROR(VLOOKUP($P477,Member_Tab,4,FALSE())),0,(VLOOKUP($P477,Member_Tab,4,FALSE()) * 0.2 * AY$7) * (IF(AND(AY$5 &gt;= VLOOKUP($P477,Member_Tab,6,FALSE()), AY$5 &lt;= VLOOKUP($P477,Member_Tab,7,FALSE())),1,0))  )</f>
        <v>0</v>
      </c>
      <c r="AZ477" s="76" t="n">
        <f aca="false">IF(ISERROR(VLOOKUP($P477,Member_Tab,4,FALSE())),0,(VLOOKUP($P477,Member_Tab,4,FALSE()) * 0.2 * AZ$7) * (IF(AND(AZ$5 &gt;= VLOOKUP($P477,Member_Tab,6,FALSE()), AZ$5 &lt;= VLOOKUP($P477,Member_Tab,7,FALSE())),1,0))  )</f>
        <v>0</v>
      </c>
      <c r="BA477" s="76" t="n">
        <f aca="false">IF(ISERROR(VLOOKUP($P477,Member_Tab,4,FALSE())),0,(VLOOKUP($P477,Member_Tab,4,FALSE()) * 0.2 * BA$7) * (IF(AND(BA$5 &gt;= VLOOKUP($P477,Member_Tab,6,FALSE()), BA$5 &lt;= VLOOKUP($P477,Member_Tab,7,FALSE())),1,0))  )</f>
        <v>0</v>
      </c>
      <c r="BB477" s="76" t="n">
        <f aca="false">IF(ISERROR(VLOOKUP($P477,Member_Tab,4,FALSE())),0,(VLOOKUP($P477,Member_Tab,4,FALSE()) * 0.2 * BB$7) * (IF(AND(BB$5 &gt;= VLOOKUP($P477,Member_Tab,6,FALSE()), BB$5 &lt;= VLOOKUP($P477,Member_Tab,7,FALSE())),1,0))  )</f>
        <v>0</v>
      </c>
    </row>
    <row r="478" s="173" customFormat="true" ht="15" hidden="true" customHeight="false" outlineLevel="1" collapsed="false">
      <c r="E478" s="40"/>
      <c r="K478" s="40"/>
      <c r="L478" s="40"/>
      <c r="M478" s="40"/>
      <c r="N478" s="40"/>
      <c r="P478" s="177" t="n">
        <f aca="false">P341</f>
        <v>0</v>
      </c>
      <c r="Q478" s="40"/>
      <c r="R478" s="178"/>
      <c r="S478" s="76" t="n">
        <f aca="false">IF(ISERROR(VLOOKUP($P478,Member_Tab,4,FALSE())),0,(VLOOKUP($P478,Member_Tab,4,FALSE()) * 0.2 * S$7) * (IF(AND(S$5 &gt;= VLOOKUP($P478,Member_Tab,6,FALSE()), S$5 &lt;= VLOOKUP($P478,Member_Tab,7,FALSE())),1,0))  )</f>
        <v>0</v>
      </c>
      <c r="T478" s="76" t="n">
        <f aca="false">IF(ISERROR(VLOOKUP($P478,Member_Tab,4,FALSE())),0,(VLOOKUP($P478,Member_Tab,4,FALSE()) * 0.2 * T$7) * (IF(AND(T$5 &gt;= VLOOKUP($P478,Member_Tab,6,FALSE()), T$5 &lt;= VLOOKUP($P478,Member_Tab,7,FALSE())),1,0))  )</f>
        <v>0</v>
      </c>
      <c r="U478" s="76" t="n">
        <f aca="false">IF(ISERROR(VLOOKUP($P478,Member_Tab,4,FALSE())),0,(VLOOKUP($P478,Member_Tab,4,FALSE()) * 0.2 * U$7) * (IF(AND(U$5 &gt;= VLOOKUP($P478,Member_Tab,6,FALSE()), U$5 &lt;= VLOOKUP($P478,Member_Tab,7,FALSE())),1,0))  )</f>
        <v>0</v>
      </c>
      <c r="V478" s="76" t="n">
        <f aca="false">IF(ISERROR(VLOOKUP($P478,Member_Tab,4,FALSE())),0,(VLOOKUP($P478,Member_Tab,4,FALSE()) * 0.2 * V$7) * (IF(AND(V$5 &gt;= VLOOKUP($P478,Member_Tab,6,FALSE()), V$5 &lt;= VLOOKUP($P478,Member_Tab,7,FALSE())),1,0))  )</f>
        <v>0</v>
      </c>
      <c r="W478" s="76" t="n">
        <f aca="false">IF(ISERROR(VLOOKUP($P478,Member_Tab,4,FALSE())),0,(VLOOKUP($P478,Member_Tab,4,FALSE()) * 0.2 * W$7) * (IF(AND(W$5 &gt;= VLOOKUP($P478,Member_Tab,6,FALSE()), W$5 &lt;= VLOOKUP($P478,Member_Tab,7,FALSE())),1,0))  )</f>
        <v>0</v>
      </c>
      <c r="X478" s="76" t="n">
        <f aca="false">IF(ISERROR(VLOOKUP($P478,Member_Tab,4,FALSE())),0,(VLOOKUP($P478,Member_Tab,4,FALSE()) * 0.2 * X$7) * (IF(AND(X$5 &gt;= VLOOKUP($P478,Member_Tab,6,FALSE()), X$5 &lt;= VLOOKUP($P478,Member_Tab,7,FALSE())),1,0))  )</f>
        <v>0</v>
      </c>
      <c r="Y478" s="76" t="n">
        <f aca="false">IF(ISERROR(VLOOKUP($P478,Member_Tab,4,FALSE())),0,(VLOOKUP($P478,Member_Tab,4,FALSE()) * 0.2 * Y$7) * (IF(AND(Y$5 &gt;= VLOOKUP($P478,Member_Tab,6,FALSE()), Y$5 &lt;= VLOOKUP($P478,Member_Tab,7,FALSE())),1,0))  )</f>
        <v>0</v>
      </c>
      <c r="Z478" s="76" t="n">
        <f aca="false">IF(ISERROR(VLOOKUP($P478,Member_Tab,4,FALSE())),0,(VLOOKUP($P478,Member_Tab,4,FALSE()) * 0.2 * Z$7) * (IF(AND(Z$5 &gt;= VLOOKUP($P478,Member_Tab,6,FALSE()), Z$5 &lt;= VLOOKUP($P478,Member_Tab,7,FALSE())),1,0))  )</f>
        <v>0</v>
      </c>
      <c r="AA478" s="76" t="n">
        <f aca="false">IF(ISERROR(VLOOKUP($P478,Member_Tab,4,FALSE())),0,(VLOOKUP($P478,Member_Tab,4,FALSE()) * 0.2 * AA$7) * (IF(AND(AA$5 &gt;= VLOOKUP($P478,Member_Tab,6,FALSE()), AA$5 &lt;= VLOOKUP($P478,Member_Tab,7,FALSE())),1,0))  )</f>
        <v>0</v>
      </c>
      <c r="AB478" s="76" t="n">
        <f aca="false">IF(ISERROR(VLOOKUP($P478,Member_Tab,4,FALSE())),0,(VLOOKUP($P478,Member_Tab,4,FALSE()) * 0.2 * AB$7) * (IF(AND(AB$5 &gt;= VLOOKUP($P478,Member_Tab,6,FALSE()), AB$5 &lt;= VLOOKUP($P478,Member_Tab,7,FALSE())),1,0))  )</f>
        <v>0</v>
      </c>
      <c r="AC478" s="76" t="n">
        <f aca="false">IF(ISERROR(VLOOKUP($P478,Member_Tab,4,FALSE())),0,(VLOOKUP($P478,Member_Tab,4,FALSE()) * 0.2 * AC$7) * (IF(AND(AC$5 &gt;= VLOOKUP($P478,Member_Tab,6,FALSE()), AC$5 &lt;= VLOOKUP($P478,Member_Tab,7,FALSE())),1,0))  )</f>
        <v>0</v>
      </c>
      <c r="AD478" s="76" t="n">
        <f aca="false">IF(ISERROR(VLOOKUP($P478,Member_Tab,4,FALSE())),0,(VLOOKUP($P478,Member_Tab,4,FALSE()) * 0.2 * AD$7) * (IF(AND(AD$5 &gt;= VLOOKUP($P478,Member_Tab,6,FALSE()), AD$5 &lt;= VLOOKUP($P478,Member_Tab,7,FALSE())),1,0))  )</f>
        <v>0</v>
      </c>
      <c r="AE478" s="76" t="n">
        <f aca="false">IF(ISERROR(VLOOKUP($P478,Member_Tab,4,FALSE())),0,(VLOOKUP($P478,Member_Tab,4,FALSE()) * 0.2 * AE$7) * (IF(AND(AE$5 &gt;= VLOOKUP($P478,Member_Tab,6,FALSE()), AE$5 &lt;= VLOOKUP($P478,Member_Tab,7,FALSE())),1,0))  )</f>
        <v>0</v>
      </c>
      <c r="AF478" s="76" t="n">
        <f aca="false">IF(ISERROR(VLOOKUP($P478,Member_Tab,4,FALSE())),0,(VLOOKUP($P478,Member_Tab,4,FALSE()) * 0.2 * AF$7) * (IF(AND(AF$5 &gt;= VLOOKUP($P478,Member_Tab,6,FALSE()), AF$5 &lt;= VLOOKUP($P478,Member_Tab,7,FALSE())),1,0))  )</f>
        <v>0</v>
      </c>
      <c r="AG478" s="76" t="n">
        <f aca="false">IF(ISERROR(VLOOKUP($P478,Member_Tab,4,FALSE())),0,(VLOOKUP($P478,Member_Tab,4,FALSE()) * 0.2 * AG$7) * (IF(AND(AG$5 &gt;= VLOOKUP($P478,Member_Tab,6,FALSE()), AG$5 &lt;= VLOOKUP($P478,Member_Tab,7,FALSE())),1,0))  )</f>
        <v>0</v>
      </c>
      <c r="AH478" s="76" t="n">
        <f aca="false">IF(ISERROR(VLOOKUP($P478,Member_Tab,4,FALSE())),0,(VLOOKUP($P478,Member_Tab,4,FALSE()) * 0.2 * AH$7) * (IF(AND(AH$5 &gt;= VLOOKUP($P478,Member_Tab,6,FALSE()), AH$5 &lt;= VLOOKUP($P478,Member_Tab,7,FALSE())),1,0))  )</f>
        <v>0</v>
      </c>
      <c r="AI478" s="76" t="n">
        <f aca="false">IF(ISERROR(VLOOKUP($P478,Member_Tab,4,FALSE())),0,(VLOOKUP($P478,Member_Tab,4,FALSE()) * 0.2 * AI$7) * (IF(AND(AI$5 &gt;= VLOOKUP($P478,Member_Tab,6,FALSE()), AI$5 &lt;= VLOOKUP($P478,Member_Tab,7,FALSE())),1,0))  )</f>
        <v>0</v>
      </c>
      <c r="AJ478" s="76" t="n">
        <f aca="false">IF(ISERROR(VLOOKUP($P478,Member_Tab,4,FALSE())),0,(VLOOKUP($P478,Member_Tab,4,FALSE()) * 0.2 * AJ$7) * (IF(AND(AJ$5 &gt;= VLOOKUP($P478,Member_Tab,6,FALSE()), AJ$5 &lt;= VLOOKUP($P478,Member_Tab,7,FALSE())),1,0))  )</f>
        <v>0</v>
      </c>
      <c r="AK478" s="76" t="n">
        <f aca="false">IF(ISERROR(VLOOKUP($P478,Member_Tab,4,FALSE())),0,(VLOOKUP($P478,Member_Tab,4,FALSE()) * 0.2 * AK$7) * (IF(AND(AK$5 &gt;= VLOOKUP($P478,Member_Tab,6,FALSE()), AK$5 &lt;= VLOOKUP($P478,Member_Tab,7,FALSE())),1,0))  )</f>
        <v>0</v>
      </c>
      <c r="AL478" s="76" t="n">
        <f aca="false">IF(ISERROR(VLOOKUP($P478,Member_Tab,4,FALSE())),0,(VLOOKUP($P478,Member_Tab,4,FALSE()) * 0.2 * AL$7) * (IF(AND(AL$5 &gt;= VLOOKUP($P478,Member_Tab,6,FALSE()), AL$5 &lt;= VLOOKUP($P478,Member_Tab,7,FALSE())),1,0))  )</f>
        <v>0</v>
      </c>
      <c r="AM478" s="76" t="n">
        <f aca="false">IF(ISERROR(VLOOKUP($P478,Member_Tab,4,FALSE())),0,(VLOOKUP($P478,Member_Tab,4,FALSE()) * 0.2 * AM$7) * (IF(AND(AM$5 &gt;= VLOOKUP($P478,Member_Tab,6,FALSE()), AM$5 &lt;= VLOOKUP($P478,Member_Tab,7,FALSE())),1,0))  )</f>
        <v>0</v>
      </c>
      <c r="AN478" s="76" t="n">
        <f aca="false">IF(ISERROR(VLOOKUP($P478,Member_Tab,4,FALSE())),0,(VLOOKUP($P478,Member_Tab,4,FALSE()) * 0.2 * AN$7) * (IF(AND(AN$5 &gt;= VLOOKUP($P478,Member_Tab,6,FALSE()), AN$5 &lt;= VLOOKUP($P478,Member_Tab,7,FALSE())),1,0))  )</f>
        <v>0</v>
      </c>
      <c r="AO478" s="76" t="n">
        <f aca="false">IF(ISERROR(VLOOKUP($P478,Member_Tab,4,FALSE())),0,(VLOOKUP($P478,Member_Tab,4,FALSE()) * 0.2 * AO$7) * (IF(AND(AO$5 &gt;= VLOOKUP($P478,Member_Tab,6,FALSE()), AO$5 &lt;= VLOOKUP($P478,Member_Tab,7,FALSE())),1,0))  )</f>
        <v>0</v>
      </c>
      <c r="AP478" s="76" t="n">
        <f aca="false">IF(ISERROR(VLOOKUP($P478,Member_Tab,4,FALSE())),0,(VLOOKUP($P478,Member_Tab,4,FALSE()) * 0.2 * AP$7) * (IF(AND(AP$5 &gt;= VLOOKUP($P478,Member_Tab,6,FALSE()), AP$5 &lt;= VLOOKUP($P478,Member_Tab,7,FALSE())),1,0))  )</f>
        <v>0</v>
      </c>
      <c r="AQ478" s="76" t="n">
        <f aca="false">IF(ISERROR(VLOOKUP($P478,Member_Tab,4,FALSE())),0,(VLOOKUP($P478,Member_Tab,4,FALSE()) * 0.2 * AQ$7) * (IF(AND(AQ$5 &gt;= VLOOKUP($P478,Member_Tab,6,FALSE()), AQ$5 &lt;= VLOOKUP($P478,Member_Tab,7,FALSE())),1,0))  )</f>
        <v>0</v>
      </c>
      <c r="AR478" s="76" t="n">
        <f aca="false">IF(ISERROR(VLOOKUP($P478,Member_Tab,4,FALSE())),0,(VLOOKUP($P478,Member_Tab,4,FALSE()) * 0.2 * AR$7) * (IF(AND(AR$5 &gt;= VLOOKUP($P478,Member_Tab,6,FALSE()), AR$5 &lt;= VLOOKUP($P478,Member_Tab,7,FALSE())),1,0))  )</f>
        <v>0</v>
      </c>
      <c r="AS478" s="76" t="n">
        <f aca="false">IF(ISERROR(VLOOKUP($P478,Member_Tab,4,FALSE())),0,(VLOOKUP($P478,Member_Tab,4,FALSE()) * 0.2 * AS$7) * (IF(AND(AS$5 &gt;= VLOOKUP($P478,Member_Tab,6,FALSE()), AS$5 &lt;= VLOOKUP($P478,Member_Tab,7,FALSE())),1,0))  )</f>
        <v>0</v>
      </c>
      <c r="AT478" s="76" t="n">
        <f aca="false">IF(ISERROR(VLOOKUP($P478,Member_Tab,4,FALSE())),0,(VLOOKUP($P478,Member_Tab,4,FALSE()) * 0.2 * AT$7) * (IF(AND(AT$5 &gt;= VLOOKUP($P478,Member_Tab,6,FALSE()), AT$5 &lt;= VLOOKUP($P478,Member_Tab,7,FALSE())),1,0))  )</f>
        <v>0</v>
      </c>
      <c r="AU478" s="76" t="n">
        <f aca="false">IF(ISERROR(VLOOKUP($P478,Member_Tab,4,FALSE())),0,(VLOOKUP($P478,Member_Tab,4,FALSE()) * 0.2 * AU$7) * (IF(AND(AU$5 &gt;= VLOOKUP($P478,Member_Tab,6,FALSE()), AU$5 &lt;= VLOOKUP($P478,Member_Tab,7,FALSE())),1,0))  )</f>
        <v>0</v>
      </c>
      <c r="AV478" s="76" t="n">
        <f aca="false">IF(ISERROR(VLOOKUP($P478,Member_Tab,4,FALSE())),0,(VLOOKUP($P478,Member_Tab,4,FALSE()) * 0.2 * AV$7) * (IF(AND(AV$5 &gt;= VLOOKUP($P478,Member_Tab,6,FALSE()), AV$5 &lt;= VLOOKUP($P478,Member_Tab,7,FALSE())),1,0))  )</f>
        <v>0</v>
      </c>
      <c r="AW478" s="76" t="n">
        <f aca="false">IF(ISERROR(VLOOKUP($P478,Member_Tab,4,FALSE())),0,(VLOOKUP($P478,Member_Tab,4,FALSE()) * 0.2 * AW$7) * (IF(AND(AW$5 &gt;= VLOOKUP($P478,Member_Tab,6,FALSE()), AW$5 &lt;= VLOOKUP($P478,Member_Tab,7,FALSE())),1,0))  )</f>
        <v>0</v>
      </c>
      <c r="AX478" s="76" t="n">
        <f aca="false">IF(ISERROR(VLOOKUP($P478,Member_Tab,4,FALSE())),0,(VLOOKUP($P478,Member_Tab,4,FALSE()) * 0.2 * AX$7) * (IF(AND(AX$5 &gt;= VLOOKUP($P478,Member_Tab,6,FALSE()), AX$5 &lt;= VLOOKUP($P478,Member_Tab,7,FALSE())),1,0))  )</f>
        <v>0</v>
      </c>
      <c r="AY478" s="76" t="n">
        <f aca="false">IF(ISERROR(VLOOKUP($P478,Member_Tab,4,FALSE())),0,(VLOOKUP($P478,Member_Tab,4,FALSE()) * 0.2 * AY$7) * (IF(AND(AY$5 &gt;= VLOOKUP($P478,Member_Tab,6,FALSE()), AY$5 &lt;= VLOOKUP($P478,Member_Tab,7,FALSE())),1,0))  )</f>
        <v>0</v>
      </c>
      <c r="AZ478" s="76" t="n">
        <f aca="false">IF(ISERROR(VLOOKUP($P478,Member_Tab,4,FALSE())),0,(VLOOKUP($P478,Member_Tab,4,FALSE()) * 0.2 * AZ$7) * (IF(AND(AZ$5 &gt;= VLOOKUP($P478,Member_Tab,6,FALSE()), AZ$5 &lt;= VLOOKUP($P478,Member_Tab,7,FALSE())),1,0))  )</f>
        <v>0</v>
      </c>
      <c r="BA478" s="76" t="n">
        <f aca="false">IF(ISERROR(VLOOKUP($P478,Member_Tab,4,FALSE())),0,(VLOOKUP($P478,Member_Tab,4,FALSE()) * 0.2 * BA$7) * (IF(AND(BA$5 &gt;= VLOOKUP($P478,Member_Tab,6,FALSE()), BA$5 &lt;= VLOOKUP($P478,Member_Tab,7,FALSE())),1,0))  )</f>
        <v>0</v>
      </c>
      <c r="BB478" s="76" t="n">
        <f aca="false">IF(ISERROR(VLOOKUP($P478,Member_Tab,4,FALSE())),0,(VLOOKUP($P478,Member_Tab,4,FALSE()) * 0.2 * BB$7) * (IF(AND(BB$5 &gt;= VLOOKUP($P478,Member_Tab,6,FALSE()), BB$5 &lt;= VLOOKUP($P478,Member_Tab,7,FALSE())),1,0))  )</f>
        <v>0</v>
      </c>
    </row>
    <row r="479" s="173" customFormat="true" ht="15" hidden="true" customHeight="false" outlineLevel="1" collapsed="false">
      <c r="E479" s="40"/>
      <c r="K479" s="40"/>
      <c r="L479" s="40"/>
      <c r="M479" s="40"/>
      <c r="N479" s="40"/>
      <c r="P479" s="177" t="n">
        <f aca="false">P342</f>
        <v>0</v>
      </c>
      <c r="Q479" s="40"/>
      <c r="R479" s="178"/>
      <c r="S479" s="76" t="n">
        <f aca="false">IF(ISERROR(VLOOKUP($P479,Member_Tab,4,FALSE())),0,(VLOOKUP($P479,Member_Tab,4,FALSE()) * 0.2 * S$7) * (IF(AND(S$5 &gt;= VLOOKUP($P479,Member_Tab,6,FALSE()), S$5 &lt;= VLOOKUP($P479,Member_Tab,7,FALSE())),1,0))  )</f>
        <v>0</v>
      </c>
      <c r="T479" s="76" t="n">
        <f aca="false">IF(ISERROR(VLOOKUP($P479,Member_Tab,4,FALSE())),0,(VLOOKUP($P479,Member_Tab,4,FALSE()) * 0.2 * T$7) * (IF(AND(T$5 &gt;= VLOOKUP($P479,Member_Tab,6,FALSE()), T$5 &lt;= VLOOKUP($P479,Member_Tab,7,FALSE())),1,0))  )</f>
        <v>0</v>
      </c>
      <c r="U479" s="76" t="n">
        <f aca="false">IF(ISERROR(VLOOKUP($P479,Member_Tab,4,FALSE())),0,(VLOOKUP($P479,Member_Tab,4,FALSE()) * 0.2 * U$7) * (IF(AND(U$5 &gt;= VLOOKUP($P479,Member_Tab,6,FALSE()), U$5 &lt;= VLOOKUP($P479,Member_Tab,7,FALSE())),1,0))  )</f>
        <v>0</v>
      </c>
      <c r="V479" s="76" t="n">
        <f aca="false">IF(ISERROR(VLOOKUP($P479,Member_Tab,4,FALSE())),0,(VLOOKUP($P479,Member_Tab,4,FALSE()) * 0.2 * V$7) * (IF(AND(V$5 &gt;= VLOOKUP($P479,Member_Tab,6,FALSE()), V$5 &lt;= VLOOKUP($P479,Member_Tab,7,FALSE())),1,0))  )</f>
        <v>0</v>
      </c>
      <c r="W479" s="76" t="n">
        <f aca="false">IF(ISERROR(VLOOKUP($P479,Member_Tab,4,FALSE())),0,(VLOOKUP($P479,Member_Tab,4,FALSE()) * 0.2 * W$7) * (IF(AND(W$5 &gt;= VLOOKUP($P479,Member_Tab,6,FALSE()), W$5 &lt;= VLOOKUP($P479,Member_Tab,7,FALSE())),1,0))  )</f>
        <v>0</v>
      </c>
      <c r="X479" s="76" t="n">
        <f aca="false">IF(ISERROR(VLOOKUP($P479,Member_Tab,4,FALSE())),0,(VLOOKUP($P479,Member_Tab,4,FALSE()) * 0.2 * X$7) * (IF(AND(X$5 &gt;= VLOOKUP($P479,Member_Tab,6,FALSE()), X$5 &lt;= VLOOKUP($P479,Member_Tab,7,FALSE())),1,0))  )</f>
        <v>0</v>
      </c>
      <c r="Y479" s="76" t="n">
        <f aca="false">IF(ISERROR(VLOOKUP($P479,Member_Tab,4,FALSE())),0,(VLOOKUP($P479,Member_Tab,4,FALSE()) * 0.2 * Y$7) * (IF(AND(Y$5 &gt;= VLOOKUP($P479,Member_Tab,6,FALSE()), Y$5 &lt;= VLOOKUP($P479,Member_Tab,7,FALSE())),1,0))  )</f>
        <v>0</v>
      </c>
      <c r="Z479" s="76" t="n">
        <f aca="false">IF(ISERROR(VLOOKUP($P479,Member_Tab,4,FALSE())),0,(VLOOKUP($P479,Member_Tab,4,FALSE()) * 0.2 * Z$7) * (IF(AND(Z$5 &gt;= VLOOKUP($P479,Member_Tab,6,FALSE()), Z$5 &lt;= VLOOKUP($P479,Member_Tab,7,FALSE())),1,0))  )</f>
        <v>0</v>
      </c>
      <c r="AA479" s="76" t="n">
        <f aca="false">IF(ISERROR(VLOOKUP($P479,Member_Tab,4,FALSE())),0,(VLOOKUP($P479,Member_Tab,4,FALSE()) * 0.2 * AA$7) * (IF(AND(AA$5 &gt;= VLOOKUP($P479,Member_Tab,6,FALSE()), AA$5 &lt;= VLOOKUP($P479,Member_Tab,7,FALSE())),1,0))  )</f>
        <v>0</v>
      </c>
      <c r="AB479" s="76" t="n">
        <f aca="false">IF(ISERROR(VLOOKUP($P479,Member_Tab,4,FALSE())),0,(VLOOKUP($P479,Member_Tab,4,FALSE()) * 0.2 * AB$7) * (IF(AND(AB$5 &gt;= VLOOKUP($P479,Member_Tab,6,FALSE()), AB$5 &lt;= VLOOKUP($P479,Member_Tab,7,FALSE())),1,0))  )</f>
        <v>0</v>
      </c>
      <c r="AC479" s="76" t="n">
        <f aca="false">IF(ISERROR(VLOOKUP($P479,Member_Tab,4,FALSE())),0,(VLOOKUP($P479,Member_Tab,4,FALSE()) * 0.2 * AC$7) * (IF(AND(AC$5 &gt;= VLOOKUP($P479,Member_Tab,6,FALSE()), AC$5 &lt;= VLOOKUP($P479,Member_Tab,7,FALSE())),1,0))  )</f>
        <v>0</v>
      </c>
      <c r="AD479" s="76" t="n">
        <f aca="false">IF(ISERROR(VLOOKUP($P479,Member_Tab,4,FALSE())),0,(VLOOKUP($P479,Member_Tab,4,FALSE()) * 0.2 * AD$7) * (IF(AND(AD$5 &gt;= VLOOKUP($P479,Member_Tab,6,FALSE()), AD$5 &lt;= VLOOKUP($P479,Member_Tab,7,FALSE())),1,0))  )</f>
        <v>0</v>
      </c>
      <c r="AE479" s="76" t="n">
        <f aca="false">IF(ISERROR(VLOOKUP($P479,Member_Tab,4,FALSE())),0,(VLOOKUP($P479,Member_Tab,4,FALSE()) * 0.2 * AE$7) * (IF(AND(AE$5 &gt;= VLOOKUP($P479,Member_Tab,6,FALSE()), AE$5 &lt;= VLOOKUP($P479,Member_Tab,7,FALSE())),1,0))  )</f>
        <v>0</v>
      </c>
      <c r="AF479" s="76" t="n">
        <f aca="false">IF(ISERROR(VLOOKUP($P479,Member_Tab,4,FALSE())),0,(VLOOKUP($P479,Member_Tab,4,FALSE()) * 0.2 * AF$7) * (IF(AND(AF$5 &gt;= VLOOKUP($P479,Member_Tab,6,FALSE()), AF$5 &lt;= VLOOKUP($P479,Member_Tab,7,FALSE())),1,0))  )</f>
        <v>0</v>
      </c>
      <c r="AG479" s="76" t="n">
        <f aca="false">IF(ISERROR(VLOOKUP($P479,Member_Tab,4,FALSE())),0,(VLOOKUP($P479,Member_Tab,4,FALSE()) * 0.2 * AG$7) * (IF(AND(AG$5 &gt;= VLOOKUP($P479,Member_Tab,6,FALSE()), AG$5 &lt;= VLOOKUP($P479,Member_Tab,7,FALSE())),1,0))  )</f>
        <v>0</v>
      </c>
      <c r="AH479" s="76" t="n">
        <f aca="false">IF(ISERROR(VLOOKUP($P479,Member_Tab,4,FALSE())),0,(VLOOKUP($P479,Member_Tab,4,FALSE()) * 0.2 * AH$7) * (IF(AND(AH$5 &gt;= VLOOKUP($P479,Member_Tab,6,FALSE()), AH$5 &lt;= VLOOKUP($P479,Member_Tab,7,FALSE())),1,0))  )</f>
        <v>0</v>
      </c>
      <c r="AI479" s="76" t="n">
        <f aca="false">IF(ISERROR(VLOOKUP($P479,Member_Tab,4,FALSE())),0,(VLOOKUP($P479,Member_Tab,4,FALSE()) * 0.2 * AI$7) * (IF(AND(AI$5 &gt;= VLOOKUP($P479,Member_Tab,6,FALSE()), AI$5 &lt;= VLOOKUP($P479,Member_Tab,7,FALSE())),1,0))  )</f>
        <v>0</v>
      </c>
      <c r="AJ479" s="76" t="n">
        <f aca="false">IF(ISERROR(VLOOKUP($P479,Member_Tab,4,FALSE())),0,(VLOOKUP($P479,Member_Tab,4,FALSE()) * 0.2 * AJ$7) * (IF(AND(AJ$5 &gt;= VLOOKUP($P479,Member_Tab,6,FALSE()), AJ$5 &lt;= VLOOKUP($P479,Member_Tab,7,FALSE())),1,0))  )</f>
        <v>0</v>
      </c>
      <c r="AK479" s="76" t="n">
        <f aca="false">IF(ISERROR(VLOOKUP($P479,Member_Tab,4,FALSE())),0,(VLOOKUP($P479,Member_Tab,4,FALSE()) * 0.2 * AK$7) * (IF(AND(AK$5 &gt;= VLOOKUP($P479,Member_Tab,6,FALSE()), AK$5 &lt;= VLOOKUP($P479,Member_Tab,7,FALSE())),1,0))  )</f>
        <v>0</v>
      </c>
      <c r="AL479" s="76" t="n">
        <f aca="false">IF(ISERROR(VLOOKUP($P479,Member_Tab,4,FALSE())),0,(VLOOKUP($P479,Member_Tab,4,FALSE()) * 0.2 * AL$7) * (IF(AND(AL$5 &gt;= VLOOKUP($P479,Member_Tab,6,FALSE()), AL$5 &lt;= VLOOKUP($P479,Member_Tab,7,FALSE())),1,0))  )</f>
        <v>0</v>
      </c>
      <c r="AM479" s="76" t="n">
        <f aca="false">IF(ISERROR(VLOOKUP($P479,Member_Tab,4,FALSE())),0,(VLOOKUP($P479,Member_Tab,4,FALSE()) * 0.2 * AM$7) * (IF(AND(AM$5 &gt;= VLOOKUP($P479,Member_Tab,6,FALSE()), AM$5 &lt;= VLOOKUP($P479,Member_Tab,7,FALSE())),1,0))  )</f>
        <v>0</v>
      </c>
      <c r="AN479" s="76" t="n">
        <f aca="false">IF(ISERROR(VLOOKUP($P479,Member_Tab,4,FALSE())),0,(VLOOKUP($P479,Member_Tab,4,FALSE()) * 0.2 * AN$7) * (IF(AND(AN$5 &gt;= VLOOKUP($P479,Member_Tab,6,FALSE()), AN$5 &lt;= VLOOKUP($P479,Member_Tab,7,FALSE())),1,0))  )</f>
        <v>0</v>
      </c>
      <c r="AO479" s="76" t="n">
        <f aca="false">IF(ISERROR(VLOOKUP($P479,Member_Tab,4,FALSE())),0,(VLOOKUP($P479,Member_Tab,4,FALSE()) * 0.2 * AO$7) * (IF(AND(AO$5 &gt;= VLOOKUP($P479,Member_Tab,6,FALSE()), AO$5 &lt;= VLOOKUP($P479,Member_Tab,7,FALSE())),1,0))  )</f>
        <v>0</v>
      </c>
      <c r="AP479" s="76" t="n">
        <f aca="false">IF(ISERROR(VLOOKUP($P479,Member_Tab,4,FALSE())),0,(VLOOKUP($P479,Member_Tab,4,FALSE()) * 0.2 * AP$7) * (IF(AND(AP$5 &gt;= VLOOKUP($P479,Member_Tab,6,FALSE()), AP$5 &lt;= VLOOKUP($P479,Member_Tab,7,FALSE())),1,0))  )</f>
        <v>0</v>
      </c>
      <c r="AQ479" s="76" t="n">
        <f aca="false">IF(ISERROR(VLOOKUP($P479,Member_Tab,4,FALSE())),0,(VLOOKUP($P479,Member_Tab,4,FALSE()) * 0.2 * AQ$7) * (IF(AND(AQ$5 &gt;= VLOOKUP($P479,Member_Tab,6,FALSE()), AQ$5 &lt;= VLOOKUP($P479,Member_Tab,7,FALSE())),1,0))  )</f>
        <v>0</v>
      </c>
      <c r="AR479" s="76" t="n">
        <f aca="false">IF(ISERROR(VLOOKUP($P479,Member_Tab,4,FALSE())),0,(VLOOKUP($P479,Member_Tab,4,FALSE()) * 0.2 * AR$7) * (IF(AND(AR$5 &gt;= VLOOKUP($P479,Member_Tab,6,FALSE()), AR$5 &lt;= VLOOKUP($P479,Member_Tab,7,FALSE())),1,0))  )</f>
        <v>0</v>
      </c>
      <c r="AS479" s="76" t="n">
        <f aca="false">IF(ISERROR(VLOOKUP($P479,Member_Tab,4,FALSE())),0,(VLOOKUP($P479,Member_Tab,4,FALSE()) * 0.2 * AS$7) * (IF(AND(AS$5 &gt;= VLOOKUP($P479,Member_Tab,6,FALSE()), AS$5 &lt;= VLOOKUP($P479,Member_Tab,7,FALSE())),1,0))  )</f>
        <v>0</v>
      </c>
      <c r="AT479" s="76" t="n">
        <f aca="false">IF(ISERROR(VLOOKUP($P479,Member_Tab,4,FALSE())),0,(VLOOKUP($P479,Member_Tab,4,FALSE()) * 0.2 * AT$7) * (IF(AND(AT$5 &gt;= VLOOKUP($P479,Member_Tab,6,FALSE()), AT$5 &lt;= VLOOKUP($P479,Member_Tab,7,FALSE())),1,0))  )</f>
        <v>0</v>
      </c>
      <c r="AU479" s="76" t="n">
        <f aca="false">IF(ISERROR(VLOOKUP($P479,Member_Tab,4,FALSE())),0,(VLOOKUP($P479,Member_Tab,4,FALSE()) * 0.2 * AU$7) * (IF(AND(AU$5 &gt;= VLOOKUP($P479,Member_Tab,6,FALSE()), AU$5 &lt;= VLOOKUP($P479,Member_Tab,7,FALSE())),1,0))  )</f>
        <v>0</v>
      </c>
      <c r="AV479" s="76" t="n">
        <f aca="false">IF(ISERROR(VLOOKUP($P479,Member_Tab,4,FALSE())),0,(VLOOKUP($P479,Member_Tab,4,FALSE()) * 0.2 * AV$7) * (IF(AND(AV$5 &gt;= VLOOKUP($P479,Member_Tab,6,FALSE()), AV$5 &lt;= VLOOKUP($P479,Member_Tab,7,FALSE())),1,0))  )</f>
        <v>0</v>
      </c>
      <c r="AW479" s="76" t="n">
        <f aca="false">IF(ISERROR(VLOOKUP($P479,Member_Tab,4,FALSE())),0,(VLOOKUP($P479,Member_Tab,4,FALSE()) * 0.2 * AW$7) * (IF(AND(AW$5 &gt;= VLOOKUP($P479,Member_Tab,6,FALSE()), AW$5 &lt;= VLOOKUP($P479,Member_Tab,7,FALSE())),1,0))  )</f>
        <v>0</v>
      </c>
      <c r="AX479" s="76" t="n">
        <f aca="false">IF(ISERROR(VLOOKUP($P479,Member_Tab,4,FALSE())),0,(VLOOKUP($P479,Member_Tab,4,FALSE()) * 0.2 * AX$7) * (IF(AND(AX$5 &gt;= VLOOKUP($P479,Member_Tab,6,FALSE()), AX$5 &lt;= VLOOKUP($P479,Member_Tab,7,FALSE())),1,0))  )</f>
        <v>0</v>
      </c>
      <c r="AY479" s="76" t="n">
        <f aca="false">IF(ISERROR(VLOOKUP($P479,Member_Tab,4,FALSE())),0,(VLOOKUP($P479,Member_Tab,4,FALSE()) * 0.2 * AY$7) * (IF(AND(AY$5 &gt;= VLOOKUP($P479,Member_Tab,6,FALSE()), AY$5 &lt;= VLOOKUP($P479,Member_Tab,7,FALSE())),1,0))  )</f>
        <v>0</v>
      </c>
      <c r="AZ479" s="76" t="n">
        <f aca="false">IF(ISERROR(VLOOKUP($P479,Member_Tab,4,FALSE())),0,(VLOOKUP($P479,Member_Tab,4,FALSE()) * 0.2 * AZ$7) * (IF(AND(AZ$5 &gt;= VLOOKUP($P479,Member_Tab,6,FALSE()), AZ$5 &lt;= VLOOKUP($P479,Member_Tab,7,FALSE())),1,0))  )</f>
        <v>0</v>
      </c>
      <c r="BA479" s="76" t="n">
        <f aca="false">IF(ISERROR(VLOOKUP($P479,Member_Tab,4,FALSE())),0,(VLOOKUP($P479,Member_Tab,4,FALSE()) * 0.2 * BA$7) * (IF(AND(BA$5 &gt;= VLOOKUP($P479,Member_Tab,6,FALSE()), BA$5 &lt;= VLOOKUP($P479,Member_Tab,7,FALSE())),1,0))  )</f>
        <v>0</v>
      </c>
      <c r="BB479" s="76" t="n">
        <f aca="false">IF(ISERROR(VLOOKUP($P479,Member_Tab,4,FALSE())),0,(VLOOKUP($P479,Member_Tab,4,FALSE()) * 0.2 * BB$7) * (IF(AND(BB$5 &gt;= VLOOKUP($P479,Member_Tab,6,FALSE()), BB$5 &lt;= VLOOKUP($P479,Member_Tab,7,FALSE())),1,0))  )</f>
        <v>0</v>
      </c>
    </row>
    <row r="480" s="173" customFormat="true" ht="15" hidden="true" customHeight="false" outlineLevel="1" collapsed="false">
      <c r="E480" s="40"/>
      <c r="K480" s="40"/>
      <c r="L480" s="40"/>
      <c r="M480" s="40"/>
      <c r="N480" s="40"/>
      <c r="P480" s="177" t="n">
        <f aca="false">P343</f>
        <v>0</v>
      </c>
      <c r="Q480" s="40"/>
      <c r="R480" s="178"/>
      <c r="S480" s="76" t="n">
        <f aca="false">IF(ISERROR(VLOOKUP($P480,Member_Tab,4,FALSE())),0,(VLOOKUP($P480,Member_Tab,4,FALSE()) * 0.2 * S$7) * (IF(AND(S$5 &gt;= VLOOKUP($P480,Member_Tab,6,FALSE()), S$5 &lt;= VLOOKUP($P480,Member_Tab,7,FALSE())),1,0))  )</f>
        <v>0</v>
      </c>
      <c r="T480" s="76" t="n">
        <f aca="false">IF(ISERROR(VLOOKUP($P480,Member_Tab,4,FALSE())),0,(VLOOKUP($P480,Member_Tab,4,FALSE()) * 0.2 * T$7) * (IF(AND(T$5 &gt;= VLOOKUP($P480,Member_Tab,6,FALSE()), T$5 &lt;= VLOOKUP($P480,Member_Tab,7,FALSE())),1,0))  )</f>
        <v>0</v>
      </c>
      <c r="U480" s="76" t="n">
        <f aca="false">IF(ISERROR(VLOOKUP($P480,Member_Tab,4,FALSE())),0,(VLOOKUP($P480,Member_Tab,4,FALSE()) * 0.2 * U$7) * (IF(AND(U$5 &gt;= VLOOKUP($P480,Member_Tab,6,FALSE()), U$5 &lt;= VLOOKUP($P480,Member_Tab,7,FALSE())),1,0))  )</f>
        <v>0</v>
      </c>
      <c r="V480" s="76" t="n">
        <f aca="false">IF(ISERROR(VLOOKUP($P480,Member_Tab,4,FALSE())),0,(VLOOKUP($P480,Member_Tab,4,FALSE()) * 0.2 * V$7) * (IF(AND(V$5 &gt;= VLOOKUP($P480,Member_Tab,6,FALSE()), V$5 &lt;= VLOOKUP($P480,Member_Tab,7,FALSE())),1,0))  )</f>
        <v>0</v>
      </c>
      <c r="W480" s="76" t="n">
        <f aca="false">IF(ISERROR(VLOOKUP($P480,Member_Tab,4,FALSE())),0,(VLOOKUP($P480,Member_Tab,4,FALSE()) * 0.2 * W$7) * (IF(AND(W$5 &gt;= VLOOKUP($P480,Member_Tab,6,FALSE()), W$5 &lt;= VLOOKUP($P480,Member_Tab,7,FALSE())),1,0))  )</f>
        <v>0</v>
      </c>
      <c r="X480" s="76" t="n">
        <f aca="false">IF(ISERROR(VLOOKUP($P480,Member_Tab,4,FALSE())),0,(VLOOKUP($P480,Member_Tab,4,FALSE()) * 0.2 * X$7) * (IF(AND(X$5 &gt;= VLOOKUP($P480,Member_Tab,6,FALSE()), X$5 &lt;= VLOOKUP($P480,Member_Tab,7,FALSE())),1,0))  )</f>
        <v>0</v>
      </c>
      <c r="Y480" s="76" t="n">
        <f aca="false">IF(ISERROR(VLOOKUP($P480,Member_Tab,4,FALSE())),0,(VLOOKUP($P480,Member_Tab,4,FALSE()) * 0.2 * Y$7) * (IF(AND(Y$5 &gt;= VLOOKUP($P480,Member_Tab,6,FALSE()), Y$5 &lt;= VLOOKUP($P480,Member_Tab,7,FALSE())),1,0))  )</f>
        <v>0</v>
      </c>
      <c r="Z480" s="76" t="n">
        <f aca="false">IF(ISERROR(VLOOKUP($P480,Member_Tab,4,FALSE())),0,(VLOOKUP($P480,Member_Tab,4,FALSE()) * 0.2 * Z$7) * (IF(AND(Z$5 &gt;= VLOOKUP($P480,Member_Tab,6,FALSE()), Z$5 &lt;= VLOOKUP($P480,Member_Tab,7,FALSE())),1,0))  )</f>
        <v>0</v>
      </c>
      <c r="AA480" s="76" t="n">
        <f aca="false">IF(ISERROR(VLOOKUP($P480,Member_Tab,4,FALSE())),0,(VLOOKUP($P480,Member_Tab,4,FALSE()) * 0.2 * AA$7) * (IF(AND(AA$5 &gt;= VLOOKUP($P480,Member_Tab,6,FALSE()), AA$5 &lt;= VLOOKUP($P480,Member_Tab,7,FALSE())),1,0))  )</f>
        <v>0</v>
      </c>
      <c r="AB480" s="76" t="n">
        <f aca="false">IF(ISERROR(VLOOKUP($P480,Member_Tab,4,FALSE())),0,(VLOOKUP($P480,Member_Tab,4,FALSE()) * 0.2 * AB$7) * (IF(AND(AB$5 &gt;= VLOOKUP($P480,Member_Tab,6,FALSE()), AB$5 &lt;= VLOOKUP($P480,Member_Tab,7,FALSE())),1,0))  )</f>
        <v>0</v>
      </c>
      <c r="AC480" s="76" t="n">
        <f aca="false">IF(ISERROR(VLOOKUP($P480,Member_Tab,4,FALSE())),0,(VLOOKUP($P480,Member_Tab,4,FALSE()) * 0.2 * AC$7) * (IF(AND(AC$5 &gt;= VLOOKUP($P480,Member_Tab,6,FALSE()), AC$5 &lt;= VLOOKUP($P480,Member_Tab,7,FALSE())),1,0))  )</f>
        <v>0</v>
      </c>
      <c r="AD480" s="76" t="n">
        <f aca="false">IF(ISERROR(VLOOKUP($P480,Member_Tab,4,FALSE())),0,(VLOOKUP($P480,Member_Tab,4,FALSE()) * 0.2 * AD$7) * (IF(AND(AD$5 &gt;= VLOOKUP($P480,Member_Tab,6,FALSE()), AD$5 &lt;= VLOOKUP($P480,Member_Tab,7,FALSE())),1,0))  )</f>
        <v>0</v>
      </c>
      <c r="AE480" s="76" t="n">
        <f aca="false">IF(ISERROR(VLOOKUP($P480,Member_Tab,4,FALSE())),0,(VLOOKUP($P480,Member_Tab,4,FALSE()) * 0.2 * AE$7) * (IF(AND(AE$5 &gt;= VLOOKUP($P480,Member_Tab,6,FALSE()), AE$5 &lt;= VLOOKUP($P480,Member_Tab,7,FALSE())),1,0))  )</f>
        <v>0</v>
      </c>
      <c r="AF480" s="76" t="n">
        <f aca="false">IF(ISERROR(VLOOKUP($P480,Member_Tab,4,FALSE())),0,(VLOOKUP($P480,Member_Tab,4,FALSE()) * 0.2 * AF$7) * (IF(AND(AF$5 &gt;= VLOOKUP($P480,Member_Tab,6,FALSE()), AF$5 &lt;= VLOOKUP($P480,Member_Tab,7,FALSE())),1,0))  )</f>
        <v>0</v>
      </c>
      <c r="AG480" s="76" t="n">
        <f aca="false">IF(ISERROR(VLOOKUP($P480,Member_Tab,4,FALSE())),0,(VLOOKUP($P480,Member_Tab,4,FALSE()) * 0.2 * AG$7) * (IF(AND(AG$5 &gt;= VLOOKUP($P480,Member_Tab,6,FALSE()), AG$5 &lt;= VLOOKUP($P480,Member_Tab,7,FALSE())),1,0))  )</f>
        <v>0</v>
      </c>
      <c r="AH480" s="76" t="n">
        <f aca="false">IF(ISERROR(VLOOKUP($P480,Member_Tab,4,FALSE())),0,(VLOOKUP($P480,Member_Tab,4,FALSE()) * 0.2 * AH$7) * (IF(AND(AH$5 &gt;= VLOOKUP($P480,Member_Tab,6,FALSE()), AH$5 &lt;= VLOOKUP($P480,Member_Tab,7,FALSE())),1,0))  )</f>
        <v>0</v>
      </c>
      <c r="AI480" s="76" t="n">
        <f aca="false">IF(ISERROR(VLOOKUP($P480,Member_Tab,4,FALSE())),0,(VLOOKUP($P480,Member_Tab,4,FALSE()) * 0.2 * AI$7) * (IF(AND(AI$5 &gt;= VLOOKUP($P480,Member_Tab,6,FALSE()), AI$5 &lt;= VLOOKUP($P480,Member_Tab,7,FALSE())),1,0))  )</f>
        <v>0</v>
      </c>
      <c r="AJ480" s="76" t="n">
        <f aca="false">IF(ISERROR(VLOOKUP($P480,Member_Tab,4,FALSE())),0,(VLOOKUP($P480,Member_Tab,4,FALSE()) * 0.2 * AJ$7) * (IF(AND(AJ$5 &gt;= VLOOKUP($P480,Member_Tab,6,FALSE()), AJ$5 &lt;= VLOOKUP($P480,Member_Tab,7,FALSE())),1,0))  )</f>
        <v>0</v>
      </c>
      <c r="AK480" s="76" t="n">
        <f aca="false">IF(ISERROR(VLOOKUP($P480,Member_Tab,4,FALSE())),0,(VLOOKUP($P480,Member_Tab,4,FALSE()) * 0.2 * AK$7) * (IF(AND(AK$5 &gt;= VLOOKUP($P480,Member_Tab,6,FALSE()), AK$5 &lt;= VLOOKUP($P480,Member_Tab,7,FALSE())),1,0))  )</f>
        <v>0</v>
      </c>
      <c r="AL480" s="76" t="n">
        <f aca="false">IF(ISERROR(VLOOKUP($P480,Member_Tab,4,FALSE())),0,(VLOOKUP($P480,Member_Tab,4,FALSE()) * 0.2 * AL$7) * (IF(AND(AL$5 &gt;= VLOOKUP($P480,Member_Tab,6,FALSE()), AL$5 &lt;= VLOOKUP($P480,Member_Tab,7,FALSE())),1,0))  )</f>
        <v>0</v>
      </c>
      <c r="AM480" s="76" t="n">
        <f aca="false">IF(ISERROR(VLOOKUP($P480,Member_Tab,4,FALSE())),0,(VLOOKUP($P480,Member_Tab,4,FALSE()) * 0.2 * AM$7) * (IF(AND(AM$5 &gt;= VLOOKUP($P480,Member_Tab,6,FALSE()), AM$5 &lt;= VLOOKUP($P480,Member_Tab,7,FALSE())),1,0))  )</f>
        <v>0</v>
      </c>
      <c r="AN480" s="76" t="n">
        <f aca="false">IF(ISERROR(VLOOKUP($P480,Member_Tab,4,FALSE())),0,(VLOOKUP($P480,Member_Tab,4,FALSE()) * 0.2 * AN$7) * (IF(AND(AN$5 &gt;= VLOOKUP($P480,Member_Tab,6,FALSE()), AN$5 &lt;= VLOOKUP($P480,Member_Tab,7,FALSE())),1,0))  )</f>
        <v>0</v>
      </c>
      <c r="AO480" s="76" t="n">
        <f aca="false">IF(ISERROR(VLOOKUP($P480,Member_Tab,4,FALSE())),0,(VLOOKUP($P480,Member_Tab,4,FALSE()) * 0.2 * AO$7) * (IF(AND(AO$5 &gt;= VLOOKUP($P480,Member_Tab,6,FALSE()), AO$5 &lt;= VLOOKUP($P480,Member_Tab,7,FALSE())),1,0))  )</f>
        <v>0</v>
      </c>
      <c r="AP480" s="76" t="n">
        <f aca="false">IF(ISERROR(VLOOKUP($P480,Member_Tab,4,FALSE())),0,(VLOOKUP($P480,Member_Tab,4,FALSE()) * 0.2 * AP$7) * (IF(AND(AP$5 &gt;= VLOOKUP($P480,Member_Tab,6,FALSE()), AP$5 &lt;= VLOOKUP($P480,Member_Tab,7,FALSE())),1,0))  )</f>
        <v>0</v>
      </c>
      <c r="AQ480" s="76" t="n">
        <f aca="false">IF(ISERROR(VLOOKUP($P480,Member_Tab,4,FALSE())),0,(VLOOKUP($P480,Member_Tab,4,FALSE()) * 0.2 * AQ$7) * (IF(AND(AQ$5 &gt;= VLOOKUP($P480,Member_Tab,6,FALSE()), AQ$5 &lt;= VLOOKUP($P480,Member_Tab,7,FALSE())),1,0))  )</f>
        <v>0</v>
      </c>
      <c r="AR480" s="76" t="n">
        <f aca="false">IF(ISERROR(VLOOKUP($P480,Member_Tab,4,FALSE())),0,(VLOOKUP($P480,Member_Tab,4,FALSE()) * 0.2 * AR$7) * (IF(AND(AR$5 &gt;= VLOOKUP($P480,Member_Tab,6,FALSE()), AR$5 &lt;= VLOOKUP($P480,Member_Tab,7,FALSE())),1,0))  )</f>
        <v>0</v>
      </c>
      <c r="AS480" s="76" t="n">
        <f aca="false">IF(ISERROR(VLOOKUP($P480,Member_Tab,4,FALSE())),0,(VLOOKUP($P480,Member_Tab,4,FALSE()) * 0.2 * AS$7) * (IF(AND(AS$5 &gt;= VLOOKUP($P480,Member_Tab,6,FALSE()), AS$5 &lt;= VLOOKUP($P480,Member_Tab,7,FALSE())),1,0))  )</f>
        <v>0</v>
      </c>
      <c r="AT480" s="76" t="n">
        <f aca="false">IF(ISERROR(VLOOKUP($P480,Member_Tab,4,FALSE())),0,(VLOOKUP($P480,Member_Tab,4,FALSE()) * 0.2 * AT$7) * (IF(AND(AT$5 &gt;= VLOOKUP($P480,Member_Tab,6,FALSE()), AT$5 &lt;= VLOOKUP($P480,Member_Tab,7,FALSE())),1,0))  )</f>
        <v>0</v>
      </c>
      <c r="AU480" s="76" t="n">
        <f aca="false">IF(ISERROR(VLOOKUP($P480,Member_Tab,4,FALSE())),0,(VLOOKUP($P480,Member_Tab,4,FALSE()) * 0.2 * AU$7) * (IF(AND(AU$5 &gt;= VLOOKUP($P480,Member_Tab,6,FALSE()), AU$5 &lt;= VLOOKUP($P480,Member_Tab,7,FALSE())),1,0))  )</f>
        <v>0</v>
      </c>
      <c r="AV480" s="76" t="n">
        <f aca="false">IF(ISERROR(VLOOKUP($P480,Member_Tab,4,FALSE())),0,(VLOOKUP($P480,Member_Tab,4,FALSE()) * 0.2 * AV$7) * (IF(AND(AV$5 &gt;= VLOOKUP($P480,Member_Tab,6,FALSE()), AV$5 &lt;= VLOOKUP($P480,Member_Tab,7,FALSE())),1,0))  )</f>
        <v>0</v>
      </c>
      <c r="AW480" s="76" t="n">
        <f aca="false">IF(ISERROR(VLOOKUP($P480,Member_Tab,4,FALSE())),0,(VLOOKUP($P480,Member_Tab,4,FALSE()) * 0.2 * AW$7) * (IF(AND(AW$5 &gt;= VLOOKUP($P480,Member_Tab,6,FALSE()), AW$5 &lt;= VLOOKUP($P480,Member_Tab,7,FALSE())),1,0))  )</f>
        <v>0</v>
      </c>
      <c r="AX480" s="76" t="n">
        <f aca="false">IF(ISERROR(VLOOKUP($P480,Member_Tab,4,FALSE())),0,(VLOOKUP($P480,Member_Tab,4,FALSE()) * 0.2 * AX$7) * (IF(AND(AX$5 &gt;= VLOOKUP($P480,Member_Tab,6,FALSE()), AX$5 &lt;= VLOOKUP($P480,Member_Tab,7,FALSE())),1,0))  )</f>
        <v>0</v>
      </c>
      <c r="AY480" s="76" t="n">
        <f aca="false">IF(ISERROR(VLOOKUP($P480,Member_Tab,4,FALSE())),0,(VLOOKUP($P480,Member_Tab,4,FALSE()) * 0.2 * AY$7) * (IF(AND(AY$5 &gt;= VLOOKUP($P480,Member_Tab,6,FALSE()), AY$5 &lt;= VLOOKUP($P480,Member_Tab,7,FALSE())),1,0))  )</f>
        <v>0</v>
      </c>
      <c r="AZ480" s="76" t="n">
        <f aca="false">IF(ISERROR(VLOOKUP($P480,Member_Tab,4,FALSE())),0,(VLOOKUP($P480,Member_Tab,4,FALSE()) * 0.2 * AZ$7) * (IF(AND(AZ$5 &gt;= VLOOKUP($P480,Member_Tab,6,FALSE()), AZ$5 &lt;= VLOOKUP($P480,Member_Tab,7,FALSE())),1,0))  )</f>
        <v>0</v>
      </c>
      <c r="BA480" s="76" t="n">
        <f aca="false">IF(ISERROR(VLOOKUP($P480,Member_Tab,4,FALSE())),0,(VLOOKUP($P480,Member_Tab,4,FALSE()) * 0.2 * BA$7) * (IF(AND(BA$5 &gt;= VLOOKUP($P480,Member_Tab,6,FALSE()), BA$5 &lt;= VLOOKUP($P480,Member_Tab,7,FALSE())),1,0))  )</f>
        <v>0</v>
      </c>
      <c r="BB480" s="76" t="n">
        <f aca="false">IF(ISERROR(VLOOKUP($P480,Member_Tab,4,FALSE())),0,(VLOOKUP($P480,Member_Tab,4,FALSE()) * 0.2 * BB$7) * (IF(AND(BB$5 &gt;= VLOOKUP($P480,Member_Tab,6,FALSE()), BB$5 &lt;= VLOOKUP($P480,Member_Tab,7,FALSE())),1,0))  )</f>
        <v>0</v>
      </c>
    </row>
    <row r="481" s="173" customFormat="true" ht="15" hidden="true" customHeight="false" outlineLevel="1" collapsed="false">
      <c r="E481" s="40"/>
      <c r="K481" s="40"/>
      <c r="L481" s="40"/>
      <c r="M481" s="40"/>
      <c r="N481" s="40"/>
      <c r="P481" s="177" t="n">
        <f aca="false">P344</f>
        <v>0</v>
      </c>
      <c r="Q481" s="40"/>
      <c r="R481" s="178"/>
      <c r="S481" s="76" t="n">
        <f aca="false">IF(ISERROR(VLOOKUP($P481,Member_Tab,4,FALSE())),0,(VLOOKUP($P481,Member_Tab,4,FALSE()) * 0.2 * S$7) * (IF(AND(S$5 &gt;= VLOOKUP($P481,Member_Tab,6,FALSE()), S$5 &lt;= VLOOKUP($P481,Member_Tab,7,FALSE())),1,0))  )</f>
        <v>0</v>
      </c>
      <c r="T481" s="76" t="n">
        <f aca="false">IF(ISERROR(VLOOKUP($P481,Member_Tab,4,FALSE())),0,(VLOOKUP($P481,Member_Tab,4,FALSE()) * 0.2 * T$7) * (IF(AND(T$5 &gt;= VLOOKUP($P481,Member_Tab,6,FALSE()), T$5 &lt;= VLOOKUP($P481,Member_Tab,7,FALSE())),1,0))  )</f>
        <v>0</v>
      </c>
      <c r="U481" s="76" t="n">
        <f aca="false">IF(ISERROR(VLOOKUP($P481,Member_Tab,4,FALSE())),0,(VLOOKUP($P481,Member_Tab,4,FALSE()) * 0.2 * U$7) * (IF(AND(U$5 &gt;= VLOOKUP($P481,Member_Tab,6,FALSE()), U$5 &lt;= VLOOKUP($P481,Member_Tab,7,FALSE())),1,0))  )</f>
        <v>0</v>
      </c>
      <c r="V481" s="76" t="n">
        <f aca="false">IF(ISERROR(VLOOKUP($P481,Member_Tab,4,FALSE())),0,(VLOOKUP($P481,Member_Tab,4,FALSE()) * 0.2 * V$7) * (IF(AND(V$5 &gt;= VLOOKUP($P481,Member_Tab,6,FALSE()), V$5 &lt;= VLOOKUP($P481,Member_Tab,7,FALSE())),1,0))  )</f>
        <v>0</v>
      </c>
      <c r="W481" s="76" t="n">
        <f aca="false">IF(ISERROR(VLOOKUP($P481,Member_Tab,4,FALSE())),0,(VLOOKUP($P481,Member_Tab,4,FALSE()) * 0.2 * W$7) * (IF(AND(W$5 &gt;= VLOOKUP($P481,Member_Tab,6,FALSE()), W$5 &lt;= VLOOKUP($P481,Member_Tab,7,FALSE())),1,0))  )</f>
        <v>0</v>
      </c>
      <c r="X481" s="76" t="n">
        <f aca="false">IF(ISERROR(VLOOKUP($P481,Member_Tab,4,FALSE())),0,(VLOOKUP($P481,Member_Tab,4,FALSE()) * 0.2 * X$7) * (IF(AND(X$5 &gt;= VLOOKUP($P481,Member_Tab,6,FALSE()), X$5 &lt;= VLOOKUP($P481,Member_Tab,7,FALSE())),1,0))  )</f>
        <v>0</v>
      </c>
      <c r="Y481" s="76" t="n">
        <f aca="false">IF(ISERROR(VLOOKUP($P481,Member_Tab,4,FALSE())),0,(VLOOKUP($P481,Member_Tab,4,FALSE()) * 0.2 * Y$7) * (IF(AND(Y$5 &gt;= VLOOKUP($P481,Member_Tab,6,FALSE()), Y$5 &lt;= VLOOKUP($P481,Member_Tab,7,FALSE())),1,0))  )</f>
        <v>0</v>
      </c>
      <c r="Z481" s="76" t="n">
        <f aca="false">IF(ISERROR(VLOOKUP($P481,Member_Tab,4,FALSE())),0,(VLOOKUP($P481,Member_Tab,4,FALSE()) * 0.2 * Z$7) * (IF(AND(Z$5 &gt;= VLOOKUP($P481,Member_Tab,6,FALSE()), Z$5 &lt;= VLOOKUP($P481,Member_Tab,7,FALSE())),1,0))  )</f>
        <v>0</v>
      </c>
      <c r="AA481" s="76" t="n">
        <f aca="false">IF(ISERROR(VLOOKUP($P481,Member_Tab,4,FALSE())),0,(VLOOKUP($P481,Member_Tab,4,FALSE()) * 0.2 * AA$7) * (IF(AND(AA$5 &gt;= VLOOKUP($P481,Member_Tab,6,FALSE()), AA$5 &lt;= VLOOKUP($P481,Member_Tab,7,FALSE())),1,0))  )</f>
        <v>0</v>
      </c>
      <c r="AB481" s="76" t="n">
        <f aca="false">IF(ISERROR(VLOOKUP($P481,Member_Tab,4,FALSE())),0,(VLOOKUP($P481,Member_Tab,4,FALSE()) * 0.2 * AB$7) * (IF(AND(AB$5 &gt;= VLOOKUP($P481,Member_Tab,6,FALSE()), AB$5 &lt;= VLOOKUP($P481,Member_Tab,7,FALSE())),1,0))  )</f>
        <v>0</v>
      </c>
      <c r="AC481" s="76" t="n">
        <f aca="false">IF(ISERROR(VLOOKUP($P481,Member_Tab,4,FALSE())),0,(VLOOKUP($P481,Member_Tab,4,FALSE()) * 0.2 * AC$7) * (IF(AND(AC$5 &gt;= VLOOKUP($P481,Member_Tab,6,FALSE()), AC$5 &lt;= VLOOKUP($P481,Member_Tab,7,FALSE())),1,0))  )</f>
        <v>0</v>
      </c>
      <c r="AD481" s="76" t="n">
        <f aca="false">IF(ISERROR(VLOOKUP($P481,Member_Tab,4,FALSE())),0,(VLOOKUP($P481,Member_Tab,4,FALSE()) * 0.2 * AD$7) * (IF(AND(AD$5 &gt;= VLOOKUP($P481,Member_Tab,6,FALSE()), AD$5 &lt;= VLOOKUP($P481,Member_Tab,7,FALSE())),1,0))  )</f>
        <v>0</v>
      </c>
      <c r="AE481" s="76" t="n">
        <f aca="false">IF(ISERROR(VLOOKUP($P481,Member_Tab,4,FALSE())),0,(VLOOKUP($P481,Member_Tab,4,FALSE()) * 0.2 * AE$7) * (IF(AND(AE$5 &gt;= VLOOKUP($P481,Member_Tab,6,FALSE()), AE$5 &lt;= VLOOKUP($P481,Member_Tab,7,FALSE())),1,0))  )</f>
        <v>0</v>
      </c>
      <c r="AF481" s="76" t="n">
        <f aca="false">IF(ISERROR(VLOOKUP($P481,Member_Tab,4,FALSE())),0,(VLOOKUP($P481,Member_Tab,4,FALSE()) * 0.2 * AF$7) * (IF(AND(AF$5 &gt;= VLOOKUP($P481,Member_Tab,6,FALSE()), AF$5 &lt;= VLOOKUP($P481,Member_Tab,7,FALSE())),1,0))  )</f>
        <v>0</v>
      </c>
      <c r="AG481" s="76" t="n">
        <f aca="false">IF(ISERROR(VLOOKUP($P481,Member_Tab,4,FALSE())),0,(VLOOKUP($P481,Member_Tab,4,FALSE()) * 0.2 * AG$7) * (IF(AND(AG$5 &gt;= VLOOKUP($P481,Member_Tab,6,FALSE()), AG$5 &lt;= VLOOKUP($P481,Member_Tab,7,FALSE())),1,0))  )</f>
        <v>0</v>
      </c>
      <c r="AH481" s="76" t="n">
        <f aca="false">IF(ISERROR(VLOOKUP($P481,Member_Tab,4,FALSE())),0,(VLOOKUP($P481,Member_Tab,4,FALSE()) * 0.2 * AH$7) * (IF(AND(AH$5 &gt;= VLOOKUP($P481,Member_Tab,6,FALSE()), AH$5 &lt;= VLOOKUP($P481,Member_Tab,7,FALSE())),1,0))  )</f>
        <v>0</v>
      </c>
      <c r="AI481" s="76" t="n">
        <f aca="false">IF(ISERROR(VLOOKUP($P481,Member_Tab,4,FALSE())),0,(VLOOKUP($P481,Member_Tab,4,FALSE()) * 0.2 * AI$7) * (IF(AND(AI$5 &gt;= VLOOKUP($P481,Member_Tab,6,FALSE()), AI$5 &lt;= VLOOKUP($P481,Member_Tab,7,FALSE())),1,0))  )</f>
        <v>0</v>
      </c>
      <c r="AJ481" s="76" t="n">
        <f aca="false">IF(ISERROR(VLOOKUP($P481,Member_Tab,4,FALSE())),0,(VLOOKUP($P481,Member_Tab,4,FALSE()) * 0.2 * AJ$7) * (IF(AND(AJ$5 &gt;= VLOOKUP($P481,Member_Tab,6,FALSE()), AJ$5 &lt;= VLOOKUP($P481,Member_Tab,7,FALSE())),1,0))  )</f>
        <v>0</v>
      </c>
      <c r="AK481" s="76" t="n">
        <f aca="false">IF(ISERROR(VLOOKUP($P481,Member_Tab,4,FALSE())),0,(VLOOKUP($P481,Member_Tab,4,FALSE()) * 0.2 * AK$7) * (IF(AND(AK$5 &gt;= VLOOKUP($P481,Member_Tab,6,FALSE()), AK$5 &lt;= VLOOKUP($P481,Member_Tab,7,FALSE())),1,0))  )</f>
        <v>0</v>
      </c>
      <c r="AL481" s="76" t="n">
        <f aca="false">IF(ISERROR(VLOOKUP($P481,Member_Tab,4,FALSE())),0,(VLOOKUP($P481,Member_Tab,4,FALSE()) * 0.2 * AL$7) * (IF(AND(AL$5 &gt;= VLOOKUP($P481,Member_Tab,6,FALSE()), AL$5 &lt;= VLOOKUP($P481,Member_Tab,7,FALSE())),1,0))  )</f>
        <v>0</v>
      </c>
      <c r="AM481" s="76" t="n">
        <f aca="false">IF(ISERROR(VLOOKUP($P481,Member_Tab,4,FALSE())),0,(VLOOKUP($P481,Member_Tab,4,FALSE()) * 0.2 * AM$7) * (IF(AND(AM$5 &gt;= VLOOKUP($P481,Member_Tab,6,FALSE()), AM$5 &lt;= VLOOKUP($P481,Member_Tab,7,FALSE())),1,0))  )</f>
        <v>0</v>
      </c>
      <c r="AN481" s="76" t="n">
        <f aca="false">IF(ISERROR(VLOOKUP($P481,Member_Tab,4,FALSE())),0,(VLOOKUP($P481,Member_Tab,4,FALSE()) * 0.2 * AN$7) * (IF(AND(AN$5 &gt;= VLOOKUP($P481,Member_Tab,6,FALSE()), AN$5 &lt;= VLOOKUP($P481,Member_Tab,7,FALSE())),1,0))  )</f>
        <v>0</v>
      </c>
      <c r="AO481" s="76" t="n">
        <f aca="false">IF(ISERROR(VLOOKUP($P481,Member_Tab,4,FALSE())),0,(VLOOKUP($P481,Member_Tab,4,FALSE()) * 0.2 * AO$7) * (IF(AND(AO$5 &gt;= VLOOKUP($P481,Member_Tab,6,FALSE()), AO$5 &lt;= VLOOKUP($P481,Member_Tab,7,FALSE())),1,0))  )</f>
        <v>0</v>
      </c>
      <c r="AP481" s="76" t="n">
        <f aca="false">IF(ISERROR(VLOOKUP($P481,Member_Tab,4,FALSE())),0,(VLOOKUP($P481,Member_Tab,4,FALSE()) * 0.2 * AP$7) * (IF(AND(AP$5 &gt;= VLOOKUP($P481,Member_Tab,6,FALSE()), AP$5 &lt;= VLOOKUP($P481,Member_Tab,7,FALSE())),1,0))  )</f>
        <v>0</v>
      </c>
      <c r="AQ481" s="76" t="n">
        <f aca="false">IF(ISERROR(VLOOKUP($P481,Member_Tab,4,FALSE())),0,(VLOOKUP($P481,Member_Tab,4,FALSE()) * 0.2 * AQ$7) * (IF(AND(AQ$5 &gt;= VLOOKUP($P481,Member_Tab,6,FALSE()), AQ$5 &lt;= VLOOKUP($P481,Member_Tab,7,FALSE())),1,0))  )</f>
        <v>0</v>
      </c>
      <c r="AR481" s="76" t="n">
        <f aca="false">IF(ISERROR(VLOOKUP($P481,Member_Tab,4,FALSE())),0,(VLOOKUP($P481,Member_Tab,4,FALSE()) * 0.2 * AR$7) * (IF(AND(AR$5 &gt;= VLOOKUP($P481,Member_Tab,6,FALSE()), AR$5 &lt;= VLOOKUP($P481,Member_Tab,7,FALSE())),1,0))  )</f>
        <v>0</v>
      </c>
      <c r="AS481" s="76" t="n">
        <f aca="false">IF(ISERROR(VLOOKUP($P481,Member_Tab,4,FALSE())),0,(VLOOKUP($P481,Member_Tab,4,FALSE()) * 0.2 * AS$7) * (IF(AND(AS$5 &gt;= VLOOKUP($P481,Member_Tab,6,FALSE()), AS$5 &lt;= VLOOKUP($P481,Member_Tab,7,FALSE())),1,0))  )</f>
        <v>0</v>
      </c>
      <c r="AT481" s="76" t="n">
        <f aca="false">IF(ISERROR(VLOOKUP($P481,Member_Tab,4,FALSE())),0,(VLOOKUP($P481,Member_Tab,4,FALSE()) * 0.2 * AT$7) * (IF(AND(AT$5 &gt;= VLOOKUP($P481,Member_Tab,6,FALSE()), AT$5 &lt;= VLOOKUP($P481,Member_Tab,7,FALSE())),1,0))  )</f>
        <v>0</v>
      </c>
      <c r="AU481" s="76" t="n">
        <f aca="false">IF(ISERROR(VLOOKUP($P481,Member_Tab,4,FALSE())),0,(VLOOKUP($P481,Member_Tab,4,FALSE()) * 0.2 * AU$7) * (IF(AND(AU$5 &gt;= VLOOKUP($P481,Member_Tab,6,FALSE()), AU$5 &lt;= VLOOKUP($P481,Member_Tab,7,FALSE())),1,0))  )</f>
        <v>0</v>
      </c>
      <c r="AV481" s="76" t="n">
        <f aca="false">IF(ISERROR(VLOOKUP($P481,Member_Tab,4,FALSE())),0,(VLOOKUP($P481,Member_Tab,4,FALSE()) * 0.2 * AV$7) * (IF(AND(AV$5 &gt;= VLOOKUP($P481,Member_Tab,6,FALSE()), AV$5 &lt;= VLOOKUP($P481,Member_Tab,7,FALSE())),1,0))  )</f>
        <v>0</v>
      </c>
      <c r="AW481" s="76" t="n">
        <f aca="false">IF(ISERROR(VLOOKUP($P481,Member_Tab,4,FALSE())),0,(VLOOKUP($P481,Member_Tab,4,FALSE()) * 0.2 * AW$7) * (IF(AND(AW$5 &gt;= VLOOKUP($P481,Member_Tab,6,FALSE()), AW$5 &lt;= VLOOKUP($P481,Member_Tab,7,FALSE())),1,0))  )</f>
        <v>0</v>
      </c>
      <c r="AX481" s="76" t="n">
        <f aca="false">IF(ISERROR(VLOOKUP($P481,Member_Tab,4,FALSE())),0,(VLOOKUP($P481,Member_Tab,4,FALSE()) * 0.2 * AX$7) * (IF(AND(AX$5 &gt;= VLOOKUP($P481,Member_Tab,6,FALSE()), AX$5 &lt;= VLOOKUP($P481,Member_Tab,7,FALSE())),1,0))  )</f>
        <v>0</v>
      </c>
      <c r="AY481" s="76" t="n">
        <f aca="false">IF(ISERROR(VLOOKUP($P481,Member_Tab,4,FALSE())),0,(VLOOKUP($P481,Member_Tab,4,FALSE()) * 0.2 * AY$7) * (IF(AND(AY$5 &gt;= VLOOKUP($P481,Member_Tab,6,FALSE()), AY$5 &lt;= VLOOKUP($P481,Member_Tab,7,FALSE())),1,0))  )</f>
        <v>0</v>
      </c>
      <c r="AZ481" s="76" t="n">
        <f aca="false">IF(ISERROR(VLOOKUP($P481,Member_Tab,4,FALSE())),0,(VLOOKUP($P481,Member_Tab,4,FALSE()) * 0.2 * AZ$7) * (IF(AND(AZ$5 &gt;= VLOOKUP($P481,Member_Tab,6,FALSE()), AZ$5 &lt;= VLOOKUP($P481,Member_Tab,7,FALSE())),1,0))  )</f>
        <v>0</v>
      </c>
      <c r="BA481" s="76" t="n">
        <f aca="false">IF(ISERROR(VLOOKUP($P481,Member_Tab,4,FALSE())),0,(VLOOKUP($P481,Member_Tab,4,FALSE()) * 0.2 * BA$7) * (IF(AND(BA$5 &gt;= VLOOKUP($P481,Member_Tab,6,FALSE()), BA$5 &lt;= VLOOKUP($P481,Member_Tab,7,FALSE())),1,0))  )</f>
        <v>0</v>
      </c>
      <c r="BB481" s="76" t="n">
        <f aca="false">IF(ISERROR(VLOOKUP($P481,Member_Tab,4,FALSE())),0,(VLOOKUP($P481,Member_Tab,4,FALSE()) * 0.2 * BB$7) * (IF(AND(BB$5 &gt;= VLOOKUP($P481,Member_Tab,6,FALSE()), BB$5 &lt;= VLOOKUP($P481,Member_Tab,7,FALSE())),1,0))  )</f>
        <v>0</v>
      </c>
    </row>
    <row r="482" s="173" customFormat="true" ht="15" hidden="true" customHeight="false" outlineLevel="1" collapsed="false">
      <c r="E482" s="40"/>
      <c r="K482" s="40"/>
      <c r="L482" s="40"/>
      <c r="M482" s="40"/>
      <c r="N482" s="40"/>
      <c r="P482" s="177" t="n">
        <f aca="false">P345</f>
        <v>0</v>
      </c>
      <c r="Q482" s="40"/>
      <c r="R482" s="178"/>
      <c r="S482" s="76" t="n">
        <f aca="false">IF(ISERROR(VLOOKUP($P482,Member_Tab,4,FALSE())),0,(VLOOKUP($P482,Member_Tab,4,FALSE()) * 0.2 * S$7) * (IF(AND(S$5 &gt;= VLOOKUP($P482,Member_Tab,6,FALSE()), S$5 &lt;= VLOOKUP($P482,Member_Tab,7,FALSE())),1,0))  )</f>
        <v>0</v>
      </c>
      <c r="T482" s="76" t="n">
        <f aca="false">IF(ISERROR(VLOOKUP($P482,Member_Tab,4,FALSE())),0,(VLOOKUP($P482,Member_Tab,4,FALSE()) * 0.2 * T$7) * (IF(AND(T$5 &gt;= VLOOKUP($P482,Member_Tab,6,FALSE()), T$5 &lt;= VLOOKUP($P482,Member_Tab,7,FALSE())),1,0))  )</f>
        <v>0</v>
      </c>
      <c r="U482" s="76" t="n">
        <f aca="false">IF(ISERROR(VLOOKUP($P482,Member_Tab,4,FALSE())),0,(VLOOKUP($P482,Member_Tab,4,FALSE()) * 0.2 * U$7) * (IF(AND(U$5 &gt;= VLOOKUP($P482,Member_Tab,6,FALSE()), U$5 &lt;= VLOOKUP($P482,Member_Tab,7,FALSE())),1,0))  )</f>
        <v>0</v>
      </c>
      <c r="V482" s="76" t="n">
        <f aca="false">IF(ISERROR(VLOOKUP($P482,Member_Tab,4,FALSE())),0,(VLOOKUP($P482,Member_Tab,4,FALSE()) * 0.2 * V$7) * (IF(AND(V$5 &gt;= VLOOKUP($P482,Member_Tab,6,FALSE()), V$5 &lt;= VLOOKUP($P482,Member_Tab,7,FALSE())),1,0))  )</f>
        <v>0</v>
      </c>
      <c r="W482" s="76" t="n">
        <f aca="false">IF(ISERROR(VLOOKUP($P482,Member_Tab,4,FALSE())),0,(VLOOKUP($P482,Member_Tab,4,FALSE()) * 0.2 * W$7) * (IF(AND(W$5 &gt;= VLOOKUP($P482,Member_Tab,6,FALSE()), W$5 &lt;= VLOOKUP($P482,Member_Tab,7,FALSE())),1,0))  )</f>
        <v>0</v>
      </c>
      <c r="X482" s="76" t="n">
        <f aca="false">IF(ISERROR(VLOOKUP($P482,Member_Tab,4,FALSE())),0,(VLOOKUP($P482,Member_Tab,4,FALSE()) * 0.2 * X$7) * (IF(AND(X$5 &gt;= VLOOKUP($P482,Member_Tab,6,FALSE()), X$5 &lt;= VLOOKUP($P482,Member_Tab,7,FALSE())),1,0))  )</f>
        <v>0</v>
      </c>
      <c r="Y482" s="76" t="n">
        <f aca="false">IF(ISERROR(VLOOKUP($P482,Member_Tab,4,FALSE())),0,(VLOOKUP($P482,Member_Tab,4,FALSE()) * 0.2 * Y$7) * (IF(AND(Y$5 &gt;= VLOOKUP($P482,Member_Tab,6,FALSE()), Y$5 &lt;= VLOOKUP($P482,Member_Tab,7,FALSE())),1,0))  )</f>
        <v>0</v>
      </c>
      <c r="Z482" s="76" t="n">
        <f aca="false">IF(ISERROR(VLOOKUP($P482,Member_Tab,4,FALSE())),0,(VLOOKUP($P482,Member_Tab,4,FALSE()) * 0.2 * Z$7) * (IF(AND(Z$5 &gt;= VLOOKUP($P482,Member_Tab,6,FALSE()), Z$5 &lt;= VLOOKUP($P482,Member_Tab,7,FALSE())),1,0))  )</f>
        <v>0</v>
      </c>
      <c r="AA482" s="76" t="n">
        <f aca="false">IF(ISERROR(VLOOKUP($P482,Member_Tab,4,FALSE())),0,(VLOOKUP($P482,Member_Tab,4,FALSE()) * 0.2 * AA$7) * (IF(AND(AA$5 &gt;= VLOOKUP($P482,Member_Tab,6,FALSE()), AA$5 &lt;= VLOOKUP($P482,Member_Tab,7,FALSE())),1,0))  )</f>
        <v>0</v>
      </c>
      <c r="AB482" s="76" t="n">
        <f aca="false">IF(ISERROR(VLOOKUP($P482,Member_Tab,4,FALSE())),0,(VLOOKUP($P482,Member_Tab,4,FALSE()) * 0.2 * AB$7) * (IF(AND(AB$5 &gt;= VLOOKUP($P482,Member_Tab,6,FALSE()), AB$5 &lt;= VLOOKUP($P482,Member_Tab,7,FALSE())),1,0))  )</f>
        <v>0</v>
      </c>
      <c r="AC482" s="76" t="n">
        <f aca="false">IF(ISERROR(VLOOKUP($P482,Member_Tab,4,FALSE())),0,(VLOOKUP($P482,Member_Tab,4,FALSE()) * 0.2 * AC$7) * (IF(AND(AC$5 &gt;= VLOOKUP($P482,Member_Tab,6,FALSE()), AC$5 &lt;= VLOOKUP($P482,Member_Tab,7,FALSE())),1,0))  )</f>
        <v>0</v>
      </c>
      <c r="AD482" s="76" t="n">
        <f aca="false">IF(ISERROR(VLOOKUP($P482,Member_Tab,4,FALSE())),0,(VLOOKUP($P482,Member_Tab,4,FALSE()) * 0.2 * AD$7) * (IF(AND(AD$5 &gt;= VLOOKUP($P482,Member_Tab,6,FALSE()), AD$5 &lt;= VLOOKUP($P482,Member_Tab,7,FALSE())),1,0))  )</f>
        <v>0</v>
      </c>
      <c r="AE482" s="76" t="n">
        <f aca="false">IF(ISERROR(VLOOKUP($P482,Member_Tab,4,FALSE())),0,(VLOOKUP($P482,Member_Tab,4,FALSE()) * 0.2 * AE$7) * (IF(AND(AE$5 &gt;= VLOOKUP($P482,Member_Tab,6,FALSE()), AE$5 &lt;= VLOOKUP($P482,Member_Tab,7,FALSE())),1,0))  )</f>
        <v>0</v>
      </c>
      <c r="AF482" s="76" t="n">
        <f aca="false">IF(ISERROR(VLOOKUP($P482,Member_Tab,4,FALSE())),0,(VLOOKUP($P482,Member_Tab,4,FALSE()) * 0.2 * AF$7) * (IF(AND(AF$5 &gt;= VLOOKUP($P482,Member_Tab,6,FALSE()), AF$5 &lt;= VLOOKUP($P482,Member_Tab,7,FALSE())),1,0))  )</f>
        <v>0</v>
      </c>
      <c r="AG482" s="76" t="n">
        <f aca="false">IF(ISERROR(VLOOKUP($P482,Member_Tab,4,FALSE())),0,(VLOOKUP($P482,Member_Tab,4,FALSE()) * 0.2 * AG$7) * (IF(AND(AG$5 &gt;= VLOOKUP($P482,Member_Tab,6,FALSE()), AG$5 &lt;= VLOOKUP($P482,Member_Tab,7,FALSE())),1,0))  )</f>
        <v>0</v>
      </c>
      <c r="AH482" s="76" t="n">
        <f aca="false">IF(ISERROR(VLOOKUP($P482,Member_Tab,4,FALSE())),0,(VLOOKUP($P482,Member_Tab,4,FALSE()) * 0.2 * AH$7) * (IF(AND(AH$5 &gt;= VLOOKUP($P482,Member_Tab,6,FALSE()), AH$5 &lt;= VLOOKUP($P482,Member_Tab,7,FALSE())),1,0))  )</f>
        <v>0</v>
      </c>
      <c r="AI482" s="76" t="n">
        <f aca="false">IF(ISERROR(VLOOKUP($P482,Member_Tab,4,FALSE())),0,(VLOOKUP($P482,Member_Tab,4,FALSE()) * 0.2 * AI$7) * (IF(AND(AI$5 &gt;= VLOOKUP($P482,Member_Tab,6,FALSE()), AI$5 &lt;= VLOOKUP($P482,Member_Tab,7,FALSE())),1,0))  )</f>
        <v>0</v>
      </c>
      <c r="AJ482" s="76" t="n">
        <f aca="false">IF(ISERROR(VLOOKUP($P482,Member_Tab,4,FALSE())),0,(VLOOKUP($P482,Member_Tab,4,FALSE()) * 0.2 * AJ$7) * (IF(AND(AJ$5 &gt;= VLOOKUP($P482,Member_Tab,6,FALSE()), AJ$5 &lt;= VLOOKUP($P482,Member_Tab,7,FALSE())),1,0))  )</f>
        <v>0</v>
      </c>
      <c r="AK482" s="76" t="n">
        <f aca="false">IF(ISERROR(VLOOKUP($P482,Member_Tab,4,FALSE())),0,(VLOOKUP($P482,Member_Tab,4,FALSE()) * 0.2 * AK$7) * (IF(AND(AK$5 &gt;= VLOOKUP($P482,Member_Tab,6,FALSE()), AK$5 &lt;= VLOOKUP($P482,Member_Tab,7,FALSE())),1,0))  )</f>
        <v>0</v>
      </c>
      <c r="AL482" s="76" t="n">
        <f aca="false">IF(ISERROR(VLOOKUP($P482,Member_Tab,4,FALSE())),0,(VLOOKUP($P482,Member_Tab,4,FALSE()) * 0.2 * AL$7) * (IF(AND(AL$5 &gt;= VLOOKUP($P482,Member_Tab,6,FALSE()), AL$5 &lt;= VLOOKUP($P482,Member_Tab,7,FALSE())),1,0))  )</f>
        <v>0</v>
      </c>
      <c r="AM482" s="76" t="n">
        <f aca="false">IF(ISERROR(VLOOKUP($P482,Member_Tab,4,FALSE())),0,(VLOOKUP($P482,Member_Tab,4,FALSE()) * 0.2 * AM$7) * (IF(AND(AM$5 &gt;= VLOOKUP($P482,Member_Tab,6,FALSE()), AM$5 &lt;= VLOOKUP($P482,Member_Tab,7,FALSE())),1,0))  )</f>
        <v>0</v>
      </c>
      <c r="AN482" s="76" t="n">
        <f aca="false">IF(ISERROR(VLOOKUP($P482,Member_Tab,4,FALSE())),0,(VLOOKUP($P482,Member_Tab,4,FALSE()) * 0.2 * AN$7) * (IF(AND(AN$5 &gt;= VLOOKUP($P482,Member_Tab,6,FALSE()), AN$5 &lt;= VLOOKUP($P482,Member_Tab,7,FALSE())),1,0))  )</f>
        <v>0</v>
      </c>
      <c r="AO482" s="76" t="n">
        <f aca="false">IF(ISERROR(VLOOKUP($P482,Member_Tab,4,FALSE())),0,(VLOOKUP($P482,Member_Tab,4,FALSE()) * 0.2 * AO$7) * (IF(AND(AO$5 &gt;= VLOOKUP($P482,Member_Tab,6,FALSE()), AO$5 &lt;= VLOOKUP($P482,Member_Tab,7,FALSE())),1,0))  )</f>
        <v>0</v>
      </c>
      <c r="AP482" s="76" t="n">
        <f aca="false">IF(ISERROR(VLOOKUP($P482,Member_Tab,4,FALSE())),0,(VLOOKUP($P482,Member_Tab,4,FALSE()) * 0.2 * AP$7) * (IF(AND(AP$5 &gt;= VLOOKUP($P482,Member_Tab,6,FALSE()), AP$5 &lt;= VLOOKUP($P482,Member_Tab,7,FALSE())),1,0))  )</f>
        <v>0</v>
      </c>
      <c r="AQ482" s="76" t="n">
        <f aca="false">IF(ISERROR(VLOOKUP($P482,Member_Tab,4,FALSE())),0,(VLOOKUP($P482,Member_Tab,4,FALSE()) * 0.2 * AQ$7) * (IF(AND(AQ$5 &gt;= VLOOKUP($P482,Member_Tab,6,FALSE()), AQ$5 &lt;= VLOOKUP($P482,Member_Tab,7,FALSE())),1,0))  )</f>
        <v>0</v>
      </c>
      <c r="AR482" s="76" t="n">
        <f aca="false">IF(ISERROR(VLOOKUP($P482,Member_Tab,4,FALSE())),0,(VLOOKUP($P482,Member_Tab,4,FALSE()) * 0.2 * AR$7) * (IF(AND(AR$5 &gt;= VLOOKUP($P482,Member_Tab,6,FALSE()), AR$5 &lt;= VLOOKUP($P482,Member_Tab,7,FALSE())),1,0))  )</f>
        <v>0</v>
      </c>
      <c r="AS482" s="76" t="n">
        <f aca="false">IF(ISERROR(VLOOKUP($P482,Member_Tab,4,FALSE())),0,(VLOOKUP($P482,Member_Tab,4,FALSE()) * 0.2 * AS$7) * (IF(AND(AS$5 &gt;= VLOOKUP($P482,Member_Tab,6,FALSE()), AS$5 &lt;= VLOOKUP($P482,Member_Tab,7,FALSE())),1,0))  )</f>
        <v>0</v>
      </c>
      <c r="AT482" s="76" t="n">
        <f aca="false">IF(ISERROR(VLOOKUP($P482,Member_Tab,4,FALSE())),0,(VLOOKUP($P482,Member_Tab,4,FALSE()) * 0.2 * AT$7) * (IF(AND(AT$5 &gt;= VLOOKUP($P482,Member_Tab,6,FALSE()), AT$5 &lt;= VLOOKUP($P482,Member_Tab,7,FALSE())),1,0))  )</f>
        <v>0</v>
      </c>
      <c r="AU482" s="76" t="n">
        <f aca="false">IF(ISERROR(VLOOKUP($P482,Member_Tab,4,FALSE())),0,(VLOOKUP($P482,Member_Tab,4,FALSE()) * 0.2 * AU$7) * (IF(AND(AU$5 &gt;= VLOOKUP($P482,Member_Tab,6,FALSE()), AU$5 &lt;= VLOOKUP($P482,Member_Tab,7,FALSE())),1,0))  )</f>
        <v>0</v>
      </c>
      <c r="AV482" s="76" t="n">
        <f aca="false">IF(ISERROR(VLOOKUP($P482,Member_Tab,4,FALSE())),0,(VLOOKUP($P482,Member_Tab,4,FALSE()) * 0.2 * AV$7) * (IF(AND(AV$5 &gt;= VLOOKUP($P482,Member_Tab,6,FALSE()), AV$5 &lt;= VLOOKUP($P482,Member_Tab,7,FALSE())),1,0))  )</f>
        <v>0</v>
      </c>
      <c r="AW482" s="76" t="n">
        <f aca="false">IF(ISERROR(VLOOKUP($P482,Member_Tab,4,FALSE())),0,(VLOOKUP($P482,Member_Tab,4,FALSE()) * 0.2 * AW$7) * (IF(AND(AW$5 &gt;= VLOOKUP($P482,Member_Tab,6,FALSE()), AW$5 &lt;= VLOOKUP($P482,Member_Tab,7,FALSE())),1,0))  )</f>
        <v>0</v>
      </c>
      <c r="AX482" s="76" t="n">
        <f aca="false">IF(ISERROR(VLOOKUP($P482,Member_Tab,4,FALSE())),0,(VLOOKUP($P482,Member_Tab,4,FALSE()) * 0.2 * AX$7) * (IF(AND(AX$5 &gt;= VLOOKUP($P482,Member_Tab,6,FALSE()), AX$5 &lt;= VLOOKUP($P482,Member_Tab,7,FALSE())),1,0))  )</f>
        <v>0</v>
      </c>
      <c r="AY482" s="76" t="n">
        <f aca="false">IF(ISERROR(VLOOKUP($P482,Member_Tab,4,FALSE())),0,(VLOOKUP($P482,Member_Tab,4,FALSE()) * 0.2 * AY$7) * (IF(AND(AY$5 &gt;= VLOOKUP($P482,Member_Tab,6,FALSE()), AY$5 &lt;= VLOOKUP($P482,Member_Tab,7,FALSE())),1,0))  )</f>
        <v>0</v>
      </c>
      <c r="AZ482" s="76" t="n">
        <f aca="false">IF(ISERROR(VLOOKUP($P482,Member_Tab,4,FALSE())),0,(VLOOKUP($P482,Member_Tab,4,FALSE()) * 0.2 * AZ$7) * (IF(AND(AZ$5 &gt;= VLOOKUP($P482,Member_Tab,6,FALSE()), AZ$5 &lt;= VLOOKUP($P482,Member_Tab,7,FALSE())),1,0))  )</f>
        <v>0</v>
      </c>
      <c r="BA482" s="76" t="n">
        <f aca="false">IF(ISERROR(VLOOKUP($P482,Member_Tab,4,FALSE())),0,(VLOOKUP($P482,Member_Tab,4,FALSE()) * 0.2 * BA$7) * (IF(AND(BA$5 &gt;= VLOOKUP($P482,Member_Tab,6,FALSE()), BA$5 &lt;= VLOOKUP($P482,Member_Tab,7,FALSE())),1,0))  )</f>
        <v>0</v>
      </c>
      <c r="BB482" s="76" t="n">
        <f aca="false">IF(ISERROR(VLOOKUP($P482,Member_Tab,4,FALSE())),0,(VLOOKUP($P482,Member_Tab,4,FALSE()) * 0.2 * BB$7) * (IF(AND(BB$5 &gt;= VLOOKUP($P482,Member_Tab,6,FALSE()), BB$5 &lt;= VLOOKUP($P482,Member_Tab,7,FALSE())),1,0))  )</f>
        <v>0</v>
      </c>
    </row>
    <row r="483" s="173" customFormat="true" ht="15" hidden="true" customHeight="false" outlineLevel="1" collapsed="false">
      <c r="E483" s="40"/>
      <c r="K483" s="40"/>
      <c r="L483" s="40"/>
      <c r="M483" s="40"/>
      <c r="N483" s="40"/>
      <c r="P483" s="177" t="n">
        <f aca="false">P346</f>
        <v>0</v>
      </c>
      <c r="Q483" s="40"/>
      <c r="R483" s="178"/>
      <c r="S483" s="76" t="n">
        <f aca="false">IF(ISERROR(VLOOKUP($P483,Member_Tab,4,FALSE())),0,(VLOOKUP($P483,Member_Tab,4,FALSE()) * 0.2 * S$7) * (IF(AND(S$5 &gt;= VLOOKUP($P483,Member_Tab,6,FALSE()), S$5 &lt;= VLOOKUP($P483,Member_Tab,7,FALSE())),1,0))  )</f>
        <v>0</v>
      </c>
      <c r="T483" s="76" t="n">
        <f aca="false">IF(ISERROR(VLOOKUP($P483,Member_Tab,4,FALSE())),0,(VLOOKUP($P483,Member_Tab,4,FALSE()) * 0.2 * T$7) * (IF(AND(T$5 &gt;= VLOOKUP($P483,Member_Tab,6,FALSE()), T$5 &lt;= VLOOKUP($P483,Member_Tab,7,FALSE())),1,0))  )</f>
        <v>0</v>
      </c>
      <c r="U483" s="76" t="n">
        <f aca="false">IF(ISERROR(VLOOKUP($P483,Member_Tab,4,FALSE())),0,(VLOOKUP($P483,Member_Tab,4,FALSE()) * 0.2 * U$7) * (IF(AND(U$5 &gt;= VLOOKUP($P483,Member_Tab,6,FALSE()), U$5 &lt;= VLOOKUP($P483,Member_Tab,7,FALSE())),1,0))  )</f>
        <v>0</v>
      </c>
      <c r="V483" s="76" t="n">
        <f aca="false">IF(ISERROR(VLOOKUP($P483,Member_Tab,4,FALSE())),0,(VLOOKUP($P483,Member_Tab,4,FALSE()) * 0.2 * V$7) * (IF(AND(V$5 &gt;= VLOOKUP($P483,Member_Tab,6,FALSE()), V$5 &lt;= VLOOKUP($P483,Member_Tab,7,FALSE())),1,0))  )</f>
        <v>0</v>
      </c>
      <c r="W483" s="76" t="n">
        <f aca="false">IF(ISERROR(VLOOKUP($P483,Member_Tab,4,FALSE())),0,(VLOOKUP($P483,Member_Tab,4,FALSE()) * 0.2 * W$7) * (IF(AND(W$5 &gt;= VLOOKUP($P483,Member_Tab,6,FALSE()), W$5 &lt;= VLOOKUP($P483,Member_Tab,7,FALSE())),1,0))  )</f>
        <v>0</v>
      </c>
      <c r="X483" s="76" t="n">
        <f aca="false">IF(ISERROR(VLOOKUP($P483,Member_Tab,4,FALSE())),0,(VLOOKUP($P483,Member_Tab,4,FALSE()) * 0.2 * X$7) * (IF(AND(X$5 &gt;= VLOOKUP($P483,Member_Tab,6,FALSE()), X$5 &lt;= VLOOKUP($P483,Member_Tab,7,FALSE())),1,0))  )</f>
        <v>0</v>
      </c>
      <c r="Y483" s="76" t="n">
        <f aca="false">IF(ISERROR(VLOOKUP($P483,Member_Tab,4,FALSE())),0,(VLOOKUP($P483,Member_Tab,4,FALSE()) * 0.2 * Y$7) * (IF(AND(Y$5 &gt;= VLOOKUP($P483,Member_Tab,6,FALSE()), Y$5 &lt;= VLOOKUP($P483,Member_Tab,7,FALSE())),1,0))  )</f>
        <v>0</v>
      </c>
      <c r="Z483" s="76" t="n">
        <f aca="false">IF(ISERROR(VLOOKUP($P483,Member_Tab,4,FALSE())),0,(VLOOKUP($P483,Member_Tab,4,FALSE()) * 0.2 * Z$7) * (IF(AND(Z$5 &gt;= VLOOKUP($P483,Member_Tab,6,FALSE()), Z$5 &lt;= VLOOKUP($P483,Member_Tab,7,FALSE())),1,0))  )</f>
        <v>0</v>
      </c>
      <c r="AA483" s="76" t="n">
        <f aca="false">IF(ISERROR(VLOOKUP($P483,Member_Tab,4,FALSE())),0,(VLOOKUP($P483,Member_Tab,4,FALSE()) * 0.2 * AA$7) * (IF(AND(AA$5 &gt;= VLOOKUP($P483,Member_Tab,6,FALSE()), AA$5 &lt;= VLOOKUP($P483,Member_Tab,7,FALSE())),1,0))  )</f>
        <v>0</v>
      </c>
      <c r="AB483" s="76" t="n">
        <f aca="false">IF(ISERROR(VLOOKUP($P483,Member_Tab,4,FALSE())),0,(VLOOKUP($P483,Member_Tab,4,FALSE()) * 0.2 * AB$7) * (IF(AND(AB$5 &gt;= VLOOKUP($P483,Member_Tab,6,FALSE()), AB$5 &lt;= VLOOKUP($P483,Member_Tab,7,FALSE())),1,0))  )</f>
        <v>0</v>
      </c>
      <c r="AC483" s="76" t="n">
        <f aca="false">IF(ISERROR(VLOOKUP($P483,Member_Tab,4,FALSE())),0,(VLOOKUP($P483,Member_Tab,4,FALSE()) * 0.2 * AC$7) * (IF(AND(AC$5 &gt;= VLOOKUP($P483,Member_Tab,6,FALSE()), AC$5 &lt;= VLOOKUP($P483,Member_Tab,7,FALSE())),1,0))  )</f>
        <v>0</v>
      </c>
      <c r="AD483" s="76" t="n">
        <f aca="false">IF(ISERROR(VLOOKUP($P483,Member_Tab,4,FALSE())),0,(VLOOKUP($P483,Member_Tab,4,FALSE()) * 0.2 * AD$7) * (IF(AND(AD$5 &gt;= VLOOKUP($P483,Member_Tab,6,FALSE()), AD$5 &lt;= VLOOKUP($P483,Member_Tab,7,FALSE())),1,0))  )</f>
        <v>0</v>
      </c>
      <c r="AE483" s="76" t="n">
        <f aca="false">IF(ISERROR(VLOOKUP($P483,Member_Tab,4,FALSE())),0,(VLOOKUP($P483,Member_Tab,4,FALSE()) * 0.2 * AE$7) * (IF(AND(AE$5 &gt;= VLOOKUP($P483,Member_Tab,6,FALSE()), AE$5 &lt;= VLOOKUP($P483,Member_Tab,7,FALSE())),1,0))  )</f>
        <v>0</v>
      </c>
      <c r="AF483" s="76" t="n">
        <f aca="false">IF(ISERROR(VLOOKUP($P483,Member_Tab,4,FALSE())),0,(VLOOKUP($P483,Member_Tab,4,FALSE()) * 0.2 * AF$7) * (IF(AND(AF$5 &gt;= VLOOKUP($P483,Member_Tab,6,FALSE()), AF$5 &lt;= VLOOKUP($P483,Member_Tab,7,FALSE())),1,0))  )</f>
        <v>0</v>
      </c>
      <c r="AG483" s="76" t="n">
        <f aca="false">IF(ISERROR(VLOOKUP($P483,Member_Tab,4,FALSE())),0,(VLOOKUP($P483,Member_Tab,4,FALSE()) * 0.2 * AG$7) * (IF(AND(AG$5 &gt;= VLOOKUP($P483,Member_Tab,6,FALSE()), AG$5 &lt;= VLOOKUP($P483,Member_Tab,7,FALSE())),1,0))  )</f>
        <v>0</v>
      </c>
      <c r="AH483" s="76" t="n">
        <f aca="false">IF(ISERROR(VLOOKUP($P483,Member_Tab,4,FALSE())),0,(VLOOKUP($P483,Member_Tab,4,FALSE()) * 0.2 * AH$7) * (IF(AND(AH$5 &gt;= VLOOKUP($P483,Member_Tab,6,FALSE()), AH$5 &lt;= VLOOKUP($P483,Member_Tab,7,FALSE())),1,0))  )</f>
        <v>0</v>
      </c>
      <c r="AI483" s="76" t="n">
        <f aca="false">IF(ISERROR(VLOOKUP($P483,Member_Tab,4,FALSE())),0,(VLOOKUP($P483,Member_Tab,4,FALSE()) * 0.2 * AI$7) * (IF(AND(AI$5 &gt;= VLOOKUP($P483,Member_Tab,6,FALSE()), AI$5 &lt;= VLOOKUP($P483,Member_Tab,7,FALSE())),1,0))  )</f>
        <v>0</v>
      </c>
      <c r="AJ483" s="76" t="n">
        <f aca="false">IF(ISERROR(VLOOKUP($P483,Member_Tab,4,FALSE())),0,(VLOOKUP($P483,Member_Tab,4,FALSE()) * 0.2 * AJ$7) * (IF(AND(AJ$5 &gt;= VLOOKUP($P483,Member_Tab,6,FALSE()), AJ$5 &lt;= VLOOKUP($P483,Member_Tab,7,FALSE())),1,0))  )</f>
        <v>0</v>
      </c>
      <c r="AK483" s="76" t="n">
        <f aca="false">IF(ISERROR(VLOOKUP($P483,Member_Tab,4,FALSE())),0,(VLOOKUP($P483,Member_Tab,4,FALSE()) * 0.2 * AK$7) * (IF(AND(AK$5 &gt;= VLOOKUP($P483,Member_Tab,6,FALSE()), AK$5 &lt;= VLOOKUP($P483,Member_Tab,7,FALSE())),1,0))  )</f>
        <v>0</v>
      </c>
      <c r="AL483" s="76" t="n">
        <f aca="false">IF(ISERROR(VLOOKUP($P483,Member_Tab,4,FALSE())),0,(VLOOKUP($P483,Member_Tab,4,FALSE()) * 0.2 * AL$7) * (IF(AND(AL$5 &gt;= VLOOKUP($P483,Member_Tab,6,FALSE()), AL$5 &lt;= VLOOKUP($P483,Member_Tab,7,FALSE())),1,0))  )</f>
        <v>0</v>
      </c>
      <c r="AM483" s="76" t="n">
        <f aca="false">IF(ISERROR(VLOOKUP($P483,Member_Tab,4,FALSE())),0,(VLOOKUP($P483,Member_Tab,4,FALSE()) * 0.2 * AM$7) * (IF(AND(AM$5 &gt;= VLOOKUP($P483,Member_Tab,6,FALSE()), AM$5 &lt;= VLOOKUP($P483,Member_Tab,7,FALSE())),1,0))  )</f>
        <v>0</v>
      </c>
      <c r="AN483" s="76" t="n">
        <f aca="false">IF(ISERROR(VLOOKUP($P483,Member_Tab,4,FALSE())),0,(VLOOKUP($P483,Member_Tab,4,FALSE()) * 0.2 * AN$7) * (IF(AND(AN$5 &gt;= VLOOKUP($P483,Member_Tab,6,FALSE()), AN$5 &lt;= VLOOKUP($P483,Member_Tab,7,FALSE())),1,0))  )</f>
        <v>0</v>
      </c>
      <c r="AO483" s="76" t="n">
        <f aca="false">IF(ISERROR(VLOOKUP($P483,Member_Tab,4,FALSE())),0,(VLOOKUP($P483,Member_Tab,4,FALSE()) * 0.2 * AO$7) * (IF(AND(AO$5 &gt;= VLOOKUP($P483,Member_Tab,6,FALSE()), AO$5 &lt;= VLOOKUP($P483,Member_Tab,7,FALSE())),1,0))  )</f>
        <v>0</v>
      </c>
      <c r="AP483" s="76" t="n">
        <f aca="false">IF(ISERROR(VLOOKUP($P483,Member_Tab,4,FALSE())),0,(VLOOKUP($P483,Member_Tab,4,FALSE()) * 0.2 * AP$7) * (IF(AND(AP$5 &gt;= VLOOKUP($P483,Member_Tab,6,FALSE()), AP$5 &lt;= VLOOKUP($P483,Member_Tab,7,FALSE())),1,0))  )</f>
        <v>0</v>
      </c>
      <c r="AQ483" s="76" t="n">
        <f aca="false">IF(ISERROR(VLOOKUP($P483,Member_Tab,4,FALSE())),0,(VLOOKUP($P483,Member_Tab,4,FALSE()) * 0.2 * AQ$7) * (IF(AND(AQ$5 &gt;= VLOOKUP($P483,Member_Tab,6,FALSE()), AQ$5 &lt;= VLOOKUP($P483,Member_Tab,7,FALSE())),1,0))  )</f>
        <v>0</v>
      </c>
      <c r="AR483" s="76" t="n">
        <f aca="false">IF(ISERROR(VLOOKUP($P483,Member_Tab,4,FALSE())),0,(VLOOKUP($P483,Member_Tab,4,FALSE()) * 0.2 * AR$7) * (IF(AND(AR$5 &gt;= VLOOKUP($P483,Member_Tab,6,FALSE()), AR$5 &lt;= VLOOKUP($P483,Member_Tab,7,FALSE())),1,0))  )</f>
        <v>0</v>
      </c>
      <c r="AS483" s="76" t="n">
        <f aca="false">IF(ISERROR(VLOOKUP($P483,Member_Tab,4,FALSE())),0,(VLOOKUP($P483,Member_Tab,4,FALSE()) * 0.2 * AS$7) * (IF(AND(AS$5 &gt;= VLOOKUP($P483,Member_Tab,6,FALSE()), AS$5 &lt;= VLOOKUP($P483,Member_Tab,7,FALSE())),1,0))  )</f>
        <v>0</v>
      </c>
      <c r="AT483" s="76" t="n">
        <f aca="false">IF(ISERROR(VLOOKUP($P483,Member_Tab,4,FALSE())),0,(VLOOKUP($P483,Member_Tab,4,FALSE()) * 0.2 * AT$7) * (IF(AND(AT$5 &gt;= VLOOKUP($P483,Member_Tab,6,FALSE()), AT$5 &lt;= VLOOKUP($P483,Member_Tab,7,FALSE())),1,0))  )</f>
        <v>0</v>
      </c>
      <c r="AU483" s="76" t="n">
        <f aca="false">IF(ISERROR(VLOOKUP($P483,Member_Tab,4,FALSE())),0,(VLOOKUP($P483,Member_Tab,4,FALSE()) * 0.2 * AU$7) * (IF(AND(AU$5 &gt;= VLOOKUP($P483,Member_Tab,6,FALSE()), AU$5 &lt;= VLOOKUP($P483,Member_Tab,7,FALSE())),1,0))  )</f>
        <v>0</v>
      </c>
      <c r="AV483" s="76" t="n">
        <f aca="false">IF(ISERROR(VLOOKUP($P483,Member_Tab,4,FALSE())),0,(VLOOKUP($P483,Member_Tab,4,FALSE()) * 0.2 * AV$7) * (IF(AND(AV$5 &gt;= VLOOKUP($P483,Member_Tab,6,FALSE()), AV$5 &lt;= VLOOKUP($P483,Member_Tab,7,FALSE())),1,0))  )</f>
        <v>0</v>
      </c>
      <c r="AW483" s="76" t="n">
        <f aca="false">IF(ISERROR(VLOOKUP($P483,Member_Tab,4,FALSE())),0,(VLOOKUP($P483,Member_Tab,4,FALSE()) * 0.2 * AW$7) * (IF(AND(AW$5 &gt;= VLOOKUP($P483,Member_Tab,6,FALSE()), AW$5 &lt;= VLOOKUP($P483,Member_Tab,7,FALSE())),1,0))  )</f>
        <v>0</v>
      </c>
      <c r="AX483" s="76" t="n">
        <f aca="false">IF(ISERROR(VLOOKUP($P483,Member_Tab,4,FALSE())),0,(VLOOKUP($P483,Member_Tab,4,FALSE()) * 0.2 * AX$7) * (IF(AND(AX$5 &gt;= VLOOKUP($P483,Member_Tab,6,FALSE()), AX$5 &lt;= VLOOKUP($P483,Member_Tab,7,FALSE())),1,0))  )</f>
        <v>0</v>
      </c>
      <c r="AY483" s="76" t="n">
        <f aca="false">IF(ISERROR(VLOOKUP($P483,Member_Tab,4,FALSE())),0,(VLOOKUP($P483,Member_Tab,4,FALSE()) * 0.2 * AY$7) * (IF(AND(AY$5 &gt;= VLOOKUP($P483,Member_Tab,6,FALSE()), AY$5 &lt;= VLOOKUP($P483,Member_Tab,7,FALSE())),1,0))  )</f>
        <v>0</v>
      </c>
      <c r="AZ483" s="76" t="n">
        <f aca="false">IF(ISERROR(VLOOKUP($P483,Member_Tab,4,FALSE())),0,(VLOOKUP($P483,Member_Tab,4,FALSE()) * 0.2 * AZ$7) * (IF(AND(AZ$5 &gt;= VLOOKUP($P483,Member_Tab,6,FALSE()), AZ$5 &lt;= VLOOKUP($P483,Member_Tab,7,FALSE())),1,0))  )</f>
        <v>0</v>
      </c>
      <c r="BA483" s="76" t="n">
        <f aca="false">IF(ISERROR(VLOOKUP($P483,Member_Tab,4,FALSE())),0,(VLOOKUP($P483,Member_Tab,4,FALSE()) * 0.2 * BA$7) * (IF(AND(BA$5 &gt;= VLOOKUP($P483,Member_Tab,6,FALSE()), BA$5 &lt;= VLOOKUP($P483,Member_Tab,7,FALSE())),1,0))  )</f>
        <v>0</v>
      </c>
      <c r="BB483" s="76" t="n">
        <f aca="false">IF(ISERROR(VLOOKUP($P483,Member_Tab,4,FALSE())),0,(VLOOKUP($P483,Member_Tab,4,FALSE()) * 0.2 * BB$7) * (IF(AND(BB$5 &gt;= VLOOKUP($P483,Member_Tab,6,FALSE()), BB$5 &lt;= VLOOKUP($P483,Member_Tab,7,FALSE())),1,0))  )</f>
        <v>0</v>
      </c>
    </row>
    <row r="484" s="173" customFormat="true" ht="15" hidden="true" customHeight="false" outlineLevel="1" collapsed="false">
      <c r="E484" s="40"/>
      <c r="K484" s="40"/>
      <c r="L484" s="40"/>
      <c r="M484" s="40"/>
      <c r="N484" s="40"/>
      <c r="P484" s="177" t="n">
        <f aca="false">P347</f>
        <v>0</v>
      </c>
      <c r="Q484" s="40"/>
      <c r="R484" s="178"/>
      <c r="S484" s="76" t="n">
        <f aca="false">IF(ISERROR(VLOOKUP($P484,Member_Tab,4,FALSE())),0,(VLOOKUP($P484,Member_Tab,4,FALSE()) * 0.2 * S$7) * (IF(AND(S$5 &gt;= VLOOKUP($P484,Member_Tab,6,FALSE()), S$5 &lt;= VLOOKUP($P484,Member_Tab,7,FALSE())),1,0))  )</f>
        <v>0</v>
      </c>
      <c r="T484" s="76" t="n">
        <f aca="false">IF(ISERROR(VLOOKUP($P484,Member_Tab,4,FALSE())),0,(VLOOKUP($P484,Member_Tab,4,FALSE()) * 0.2 * T$7) * (IF(AND(T$5 &gt;= VLOOKUP($P484,Member_Tab,6,FALSE()), T$5 &lt;= VLOOKUP($P484,Member_Tab,7,FALSE())),1,0))  )</f>
        <v>0</v>
      </c>
      <c r="U484" s="76" t="n">
        <f aca="false">IF(ISERROR(VLOOKUP($P484,Member_Tab,4,FALSE())),0,(VLOOKUP($P484,Member_Tab,4,FALSE()) * 0.2 * U$7) * (IF(AND(U$5 &gt;= VLOOKUP($P484,Member_Tab,6,FALSE()), U$5 &lt;= VLOOKUP($P484,Member_Tab,7,FALSE())),1,0))  )</f>
        <v>0</v>
      </c>
      <c r="V484" s="76" t="n">
        <f aca="false">IF(ISERROR(VLOOKUP($P484,Member_Tab,4,FALSE())),0,(VLOOKUP($P484,Member_Tab,4,FALSE()) * 0.2 * V$7) * (IF(AND(V$5 &gt;= VLOOKUP($P484,Member_Tab,6,FALSE()), V$5 &lt;= VLOOKUP($P484,Member_Tab,7,FALSE())),1,0))  )</f>
        <v>0</v>
      </c>
      <c r="W484" s="76" t="n">
        <f aca="false">IF(ISERROR(VLOOKUP($P484,Member_Tab,4,FALSE())),0,(VLOOKUP($P484,Member_Tab,4,FALSE()) * 0.2 * W$7) * (IF(AND(W$5 &gt;= VLOOKUP($P484,Member_Tab,6,FALSE()), W$5 &lt;= VLOOKUP($P484,Member_Tab,7,FALSE())),1,0))  )</f>
        <v>0</v>
      </c>
      <c r="X484" s="76" t="n">
        <f aca="false">IF(ISERROR(VLOOKUP($P484,Member_Tab,4,FALSE())),0,(VLOOKUP($P484,Member_Tab,4,FALSE()) * 0.2 * X$7) * (IF(AND(X$5 &gt;= VLOOKUP($P484,Member_Tab,6,FALSE()), X$5 &lt;= VLOOKUP($P484,Member_Tab,7,FALSE())),1,0))  )</f>
        <v>0</v>
      </c>
      <c r="Y484" s="76" t="n">
        <f aca="false">IF(ISERROR(VLOOKUP($P484,Member_Tab,4,FALSE())),0,(VLOOKUP($P484,Member_Tab,4,FALSE()) * 0.2 * Y$7) * (IF(AND(Y$5 &gt;= VLOOKUP($P484,Member_Tab,6,FALSE()), Y$5 &lt;= VLOOKUP($P484,Member_Tab,7,FALSE())),1,0))  )</f>
        <v>0</v>
      </c>
      <c r="Z484" s="76" t="n">
        <f aca="false">IF(ISERROR(VLOOKUP($P484,Member_Tab,4,FALSE())),0,(VLOOKUP($P484,Member_Tab,4,FALSE()) * 0.2 * Z$7) * (IF(AND(Z$5 &gt;= VLOOKUP($P484,Member_Tab,6,FALSE()), Z$5 &lt;= VLOOKUP($P484,Member_Tab,7,FALSE())),1,0))  )</f>
        <v>0</v>
      </c>
      <c r="AA484" s="76" t="n">
        <f aca="false">IF(ISERROR(VLOOKUP($P484,Member_Tab,4,FALSE())),0,(VLOOKUP($P484,Member_Tab,4,FALSE()) * 0.2 * AA$7) * (IF(AND(AA$5 &gt;= VLOOKUP($P484,Member_Tab,6,FALSE()), AA$5 &lt;= VLOOKUP($P484,Member_Tab,7,FALSE())),1,0))  )</f>
        <v>0</v>
      </c>
      <c r="AB484" s="76" t="n">
        <f aca="false">IF(ISERROR(VLOOKUP($P484,Member_Tab,4,FALSE())),0,(VLOOKUP($P484,Member_Tab,4,FALSE()) * 0.2 * AB$7) * (IF(AND(AB$5 &gt;= VLOOKUP($P484,Member_Tab,6,FALSE()), AB$5 &lt;= VLOOKUP($P484,Member_Tab,7,FALSE())),1,0))  )</f>
        <v>0</v>
      </c>
      <c r="AC484" s="76" t="n">
        <f aca="false">IF(ISERROR(VLOOKUP($P484,Member_Tab,4,FALSE())),0,(VLOOKUP($P484,Member_Tab,4,FALSE()) * 0.2 * AC$7) * (IF(AND(AC$5 &gt;= VLOOKUP($P484,Member_Tab,6,FALSE()), AC$5 &lt;= VLOOKUP($P484,Member_Tab,7,FALSE())),1,0))  )</f>
        <v>0</v>
      </c>
      <c r="AD484" s="76" t="n">
        <f aca="false">IF(ISERROR(VLOOKUP($P484,Member_Tab,4,FALSE())),0,(VLOOKUP($P484,Member_Tab,4,FALSE()) * 0.2 * AD$7) * (IF(AND(AD$5 &gt;= VLOOKUP($P484,Member_Tab,6,FALSE()), AD$5 &lt;= VLOOKUP($P484,Member_Tab,7,FALSE())),1,0))  )</f>
        <v>0</v>
      </c>
      <c r="AE484" s="76" t="n">
        <f aca="false">IF(ISERROR(VLOOKUP($P484,Member_Tab,4,FALSE())),0,(VLOOKUP($P484,Member_Tab,4,FALSE()) * 0.2 * AE$7) * (IF(AND(AE$5 &gt;= VLOOKUP($P484,Member_Tab,6,FALSE()), AE$5 &lt;= VLOOKUP($P484,Member_Tab,7,FALSE())),1,0))  )</f>
        <v>0</v>
      </c>
      <c r="AF484" s="76" t="n">
        <f aca="false">IF(ISERROR(VLOOKUP($P484,Member_Tab,4,FALSE())),0,(VLOOKUP($P484,Member_Tab,4,FALSE()) * 0.2 * AF$7) * (IF(AND(AF$5 &gt;= VLOOKUP($P484,Member_Tab,6,FALSE()), AF$5 &lt;= VLOOKUP($P484,Member_Tab,7,FALSE())),1,0))  )</f>
        <v>0</v>
      </c>
      <c r="AG484" s="76" t="n">
        <f aca="false">IF(ISERROR(VLOOKUP($P484,Member_Tab,4,FALSE())),0,(VLOOKUP($P484,Member_Tab,4,FALSE()) * 0.2 * AG$7) * (IF(AND(AG$5 &gt;= VLOOKUP($P484,Member_Tab,6,FALSE()), AG$5 &lt;= VLOOKUP($P484,Member_Tab,7,FALSE())),1,0))  )</f>
        <v>0</v>
      </c>
      <c r="AH484" s="76" t="n">
        <f aca="false">IF(ISERROR(VLOOKUP($P484,Member_Tab,4,FALSE())),0,(VLOOKUP($P484,Member_Tab,4,FALSE()) * 0.2 * AH$7) * (IF(AND(AH$5 &gt;= VLOOKUP($P484,Member_Tab,6,FALSE()), AH$5 &lt;= VLOOKUP($P484,Member_Tab,7,FALSE())),1,0))  )</f>
        <v>0</v>
      </c>
      <c r="AI484" s="76" t="n">
        <f aca="false">IF(ISERROR(VLOOKUP($P484,Member_Tab,4,FALSE())),0,(VLOOKUP($P484,Member_Tab,4,FALSE()) * 0.2 * AI$7) * (IF(AND(AI$5 &gt;= VLOOKUP($P484,Member_Tab,6,FALSE()), AI$5 &lt;= VLOOKUP($P484,Member_Tab,7,FALSE())),1,0))  )</f>
        <v>0</v>
      </c>
      <c r="AJ484" s="76" t="n">
        <f aca="false">IF(ISERROR(VLOOKUP($P484,Member_Tab,4,FALSE())),0,(VLOOKUP($P484,Member_Tab,4,FALSE()) * 0.2 * AJ$7) * (IF(AND(AJ$5 &gt;= VLOOKUP($P484,Member_Tab,6,FALSE()), AJ$5 &lt;= VLOOKUP($P484,Member_Tab,7,FALSE())),1,0))  )</f>
        <v>0</v>
      </c>
      <c r="AK484" s="76" t="n">
        <f aca="false">IF(ISERROR(VLOOKUP($P484,Member_Tab,4,FALSE())),0,(VLOOKUP($P484,Member_Tab,4,FALSE()) * 0.2 * AK$7) * (IF(AND(AK$5 &gt;= VLOOKUP($P484,Member_Tab,6,FALSE()), AK$5 &lt;= VLOOKUP($P484,Member_Tab,7,FALSE())),1,0))  )</f>
        <v>0</v>
      </c>
      <c r="AL484" s="76" t="n">
        <f aca="false">IF(ISERROR(VLOOKUP($P484,Member_Tab,4,FALSE())),0,(VLOOKUP($P484,Member_Tab,4,FALSE()) * 0.2 * AL$7) * (IF(AND(AL$5 &gt;= VLOOKUP($P484,Member_Tab,6,FALSE()), AL$5 &lt;= VLOOKUP($P484,Member_Tab,7,FALSE())),1,0))  )</f>
        <v>0</v>
      </c>
      <c r="AM484" s="76" t="n">
        <f aca="false">IF(ISERROR(VLOOKUP($P484,Member_Tab,4,FALSE())),0,(VLOOKUP($P484,Member_Tab,4,FALSE()) * 0.2 * AM$7) * (IF(AND(AM$5 &gt;= VLOOKUP($P484,Member_Tab,6,FALSE()), AM$5 &lt;= VLOOKUP($P484,Member_Tab,7,FALSE())),1,0))  )</f>
        <v>0</v>
      </c>
      <c r="AN484" s="76" t="n">
        <f aca="false">IF(ISERROR(VLOOKUP($P484,Member_Tab,4,FALSE())),0,(VLOOKUP($P484,Member_Tab,4,FALSE()) * 0.2 * AN$7) * (IF(AND(AN$5 &gt;= VLOOKUP($P484,Member_Tab,6,FALSE()), AN$5 &lt;= VLOOKUP($P484,Member_Tab,7,FALSE())),1,0))  )</f>
        <v>0</v>
      </c>
      <c r="AO484" s="76" t="n">
        <f aca="false">IF(ISERROR(VLOOKUP($P484,Member_Tab,4,FALSE())),0,(VLOOKUP($P484,Member_Tab,4,FALSE()) * 0.2 * AO$7) * (IF(AND(AO$5 &gt;= VLOOKUP($P484,Member_Tab,6,FALSE()), AO$5 &lt;= VLOOKUP($P484,Member_Tab,7,FALSE())),1,0))  )</f>
        <v>0</v>
      </c>
      <c r="AP484" s="76" t="n">
        <f aca="false">IF(ISERROR(VLOOKUP($P484,Member_Tab,4,FALSE())),0,(VLOOKUP($P484,Member_Tab,4,FALSE()) * 0.2 * AP$7) * (IF(AND(AP$5 &gt;= VLOOKUP($P484,Member_Tab,6,FALSE()), AP$5 &lt;= VLOOKUP($P484,Member_Tab,7,FALSE())),1,0))  )</f>
        <v>0</v>
      </c>
      <c r="AQ484" s="76" t="n">
        <f aca="false">IF(ISERROR(VLOOKUP($P484,Member_Tab,4,FALSE())),0,(VLOOKUP($P484,Member_Tab,4,FALSE()) * 0.2 * AQ$7) * (IF(AND(AQ$5 &gt;= VLOOKUP($P484,Member_Tab,6,FALSE()), AQ$5 &lt;= VLOOKUP($P484,Member_Tab,7,FALSE())),1,0))  )</f>
        <v>0</v>
      </c>
      <c r="AR484" s="76" t="n">
        <f aca="false">IF(ISERROR(VLOOKUP($P484,Member_Tab,4,FALSE())),0,(VLOOKUP($P484,Member_Tab,4,FALSE()) * 0.2 * AR$7) * (IF(AND(AR$5 &gt;= VLOOKUP($P484,Member_Tab,6,FALSE()), AR$5 &lt;= VLOOKUP($P484,Member_Tab,7,FALSE())),1,0))  )</f>
        <v>0</v>
      </c>
      <c r="AS484" s="76" t="n">
        <f aca="false">IF(ISERROR(VLOOKUP($P484,Member_Tab,4,FALSE())),0,(VLOOKUP($P484,Member_Tab,4,FALSE()) * 0.2 * AS$7) * (IF(AND(AS$5 &gt;= VLOOKUP($P484,Member_Tab,6,FALSE()), AS$5 &lt;= VLOOKUP($P484,Member_Tab,7,FALSE())),1,0))  )</f>
        <v>0</v>
      </c>
      <c r="AT484" s="76" t="n">
        <f aca="false">IF(ISERROR(VLOOKUP($P484,Member_Tab,4,FALSE())),0,(VLOOKUP($P484,Member_Tab,4,FALSE()) * 0.2 * AT$7) * (IF(AND(AT$5 &gt;= VLOOKUP($P484,Member_Tab,6,FALSE()), AT$5 &lt;= VLOOKUP($P484,Member_Tab,7,FALSE())),1,0))  )</f>
        <v>0</v>
      </c>
      <c r="AU484" s="76" t="n">
        <f aca="false">IF(ISERROR(VLOOKUP($P484,Member_Tab,4,FALSE())),0,(VLOOKUP($P484,Member_Tab,4,FALSE()) * 0.2 * AU$7) * (IF(AND(AU$5 &gt;= VLOOKUP($P484,Member_Tab,6,FALSE()), AU$5 &lt;= VLOOKUP($P484,Member_Tab,7,FALSE())),1,0))  )</f>
        <v>0</v>
      </c>
      <c r="AV484" s="76" t="n">
        <f aca="false">IF(ISERROR(VLOOKUP($P484,Member_Tab,4,FALSE())),0,(VLOOKUP($P484,Member_Tab,4,FALSE()) * 0.2 * AV$7) * (IF(AND(AV$5 &gt;= VLOOKUP($P484,Member_Tab,6,FALSE()), AV$5 &lt;= VLOOKUP($P484,Member_Tab,7,FALSE())),1,0))  )</f>
        <v>0</v>
      </c>
      <c r="AW484" s="76" t="n">
        <f aca="false">IF(ISERROR(VLOOKUP($P484,Member_Tab,4,FALSE())),0,(VLOOKUP($P484,Member_Tab,4,FALSE()) * 0.2 * AW$7) * (IF(AND(AW$5 &gt;= VLOOKUP($P484,Member_Tab,6,FALSE()), AW$5 &lt;= VLOOKUP($P484,Member_Tab,7,FALSE())),1,0))  )</f>
        <v>0</v>
      </c>
      <c r="AX484" s="76" t="n">
        <f aca="false">IF(ISERROR(VLOOKUP($P484,Member_Tab,4,FALSE())),0,(VLOOKUP($P484,Member_Tab,4,FALSE()) * 0.2 * AX$7) * (IF(AND(AX$5 &gt;= VLOOKUP($P484,Member_Tab,6,FALSE()), AX$5 &lt;= VLOOKUP($P484,Member_Tab,7,FALSE())),1,0))  )</f>
        <v>0</v>
      </c>
      <c r="AY484" s="76" t="n">
        <f aca="false">IF(ISERROR(VLOOKUP($P484,Member_Tab,4,FALSE())),0,(VLOOKUP($P484,Member_Tab,4,FALSE()) * 0.2 * AY$7) * (IF(AND(AY$5 &gt;= VLOOKUP($P484,Member_Tab,6,FALSE()), AY$5 &lt;= VLOOKUP($P484,Member_Tab,7,FALSE())),1,0))  )</f>
        <v>0</v>
      </c>
      <c r="AZ484" s="76" t="n">
        <f aca="false">IF(ISERROR(VLOOKUP($P484,Member_Tab,4,FALSE())),0,(VLOOKUP($P484,Member_Tab,4,FALSE()) * 0.2 * AZ$7) * (IF(AND(AZ$5 &gt;= VLOOKUP($P484,Member_Tab,6,FALSE()), AZ$5 &lt;= VLOOKUP($P484,Member_Tab,7,FALSE())),1,0))  )</f>
        <v>0</v>
      </c>
      <c r="BA484" s="76" t="n">
        <f aca="false">IF(ISERROR(VLOOKUP($P484,Member_Tab,4,FALSE())),0,(VLOOKUP($P484,Member_Tab,4,FALSE()) * 0.2 * BA$7) * (IF(AND(BA$5 &gt;= VLOOKUP($P484,Member_Tab,6,FALSE()), BA$5 &lt;= VLOOKUP($P484,Member_Tab,7,FALSE())),1,0))  )</f>
        <v>0</v>
      </c>
      <c r="BB484" s="76" t="n">
        <f aca="false">IF(ISERROR(VLOOKUP($P484,Member_Tab,4,FALSE())),0,(VLOOKUP($P484,Member_Tab,4,FALSE()) * 0.2 * BB$7) * (IF(AND(BB$5 &gt;= VLOOKUP($P484,Member_Tab,6,FALSE()), BB$5 &lt;= VLOOKUP($P484,Member_Tab,7,FALSE())),1,0))  )</f>
        <v>0</v>
      </c>
    </row>
    <row r="485" s="173" customFormat="true" ht="15" hidden="true" customHeight="false" outlineLevel="1" collapsed="false">
      <c r="E485" s="40"/>
      <c r="K485" s="40"/>
      <c r="L485" s="40"/>
      <c r="M485" s="40"/>
      <c r="N485" s="40"/>
      <c r="P485" s="177" t="n">
        <f aca="false">P348</f>
        <v>0</v>
      </c>
      <c r="Q485" s="40"/>
      <c r="R485" s="178"/>
      <c r="S485" s="76" t="n">
        <f aca="false">IF(ISERROR(VLOOKUP($P485,Member_Tab,4,FALSE())),0,(VLOOKUP($P485,Member_Tab,4,FALSE()) * 0.2 * S$7) * (IF(AND(S$5 &gt;= VLOOKUP($P485,Member_Tab,6,FALSE()), S$5 &lt;= VLOOKUP($P485,Member_Tab,7,FALSE())),1,0))  )</f>
        <v>0</v>
      </c>
      <c r="T485" s="76" t="n">
        <f aca="false">IF(ISERROR(VLOOKUP($P485,Member_Tab,4,FALSE())),0,(VLOOKUP($P485,Member_Tab,4,FALSE()) * 0.2 * T$7) * (IF(AND(T$5 &gt;= VLOOKUP($P485,Member_Tab,6,FALSE()), T$5 &lt;= VLOOKUP($P485,Member_Tab,7,FALSE())),1,0))  )</f>
        <v>0</v>
      </c>
      <c r="U485" s="76" t="n">
        <f aca="false">IF(ISERROR(VLOOKUP($P485,Member_Tab,4,FALSE())),0,(VLOOKUP($P485,Member_Tab,4,FALSE()) * 0.2 * U$7) * (IF(AND(U$5 &gt;= VLOOKUP($P485,Member_Tab,6,FALSE()), U$5 &lt;= VLOOKUP($P485,Member_Tab,7,FALSE())),1,0))  )</f>
        <v>0</v>
      </c>
      <c r="V485" s="76" t="n">
        <f aca="false">IF(ISERROR(VLOOKUP($P485,Member_Tab,4,FALSE())),0,(VLOOKUP($P485,Member_Tab,4,FALSE()) * 0.2 * V$7) * (IF(AND(V$5 &gt;= VLOOKUP($P485,Member_Tab,6,FALSE()), V$5 &lt;= VLOOKUP($P485,Member_Tab,7,FALSE())),1,0))  )</f>
        <v>0</v>
      </c>
      <c r="W485" s="76" t="n">
        <f aca="false">IF(ISERROR(VLOOKUP($P485,Member_Tab,4,FALSE())),0,(VLOOKUP($P485,Member_Tab,4,FALSE()) * 0.2 * W$7) * (IF(AND(W$5 &gt;= VLOOKUP($P485,Member_Tab,6,FALSE()), W$5 &lt;= VLOOKUP($P485,Member_Tab,7,FALSE())),1,0))  )</f>
        <v>0</v>
      </c>
      <c r="X485" s="76" t="n">
        <f aca="false">IF(ISERROR(VLOOKUP($P485,Member_Tab,4,FALSE())),0,(VLOOKUP($P485,Member_Tab,4,FALSE()) * 0.2 * X$7) * (IF(AND(X$5 &gt;= VLOOKUP($P485,Member_Tab,6,FALSE()), X$5 &lt;= VLOOKUP($P485,Member_Tab,7,FALSE())),1,0))  )</f>
        <v>0</v>
      </c>
      <c r="Y485" s="76" t="n">
        <f aca="false">IF(ISERROR(VLOOKUP($P485,Member_Tab,4,FALSE())),0,(VLOOKUP($P485,Member_Tab,4,FALSE()) * 0.2 * Y$7) * (IF(AND(Y$5 &gt;= VLOOKUP($P485,Member_Tab,6,FALSE()), Y$5 &lt;= VLOOKUP($P485,Member_Tab,7,FALSE())),1,0))  )</f>
        <v>0</v>
      </c>
      <c r="Z485" s="76" t="n">
        <f aca="false">IF(ISERROR(VLOOKUP($P485,Member_Tab,4,FALSE())),0,(VLOOKUP($P485,Member_Tab,4,FALSE()) * 0.2 * Z$7) * (IF(AND(Z$5 &gt;= VLOOKUP($P485,Member_Tab,6,FALSE()), Z$5 &lt;= VLOOKUP($P485,Member_Tab,7,FALSE())),1,0))  )</f>
        <v>0</v>
      </c>
      <c r="AA485" s="76" t="n">
        <f aca="false">IF(ISERROR(VLOOKUP($P485,Member_Tab,4,FALSE())),0,(VLOOKUP($P485,Member_Tab,4,FALSE()) * 0.2 * AA$7) * (IF(AND(AA$5 &gt;= VLOOKUP($P485,Member_Tab,6,FALSE()), AA$5 &lt;= VLOOKUP($P485,Member_Tab,7,FALSE())),1,0))  )</f>
        <v>0</v>
      </c>
      <c r="AB485" s="76" t="n">
        <f aca="false">IF(ISERROR(VLOOKUP($P485,Member_Tab,4,FALSE())),0,(VLOOKUP($P485,Member_Tab,4,FALSE()) * 0.2 * AB$7) * (IF(AND(AB$5 &gt;= VLOOKUP($P485,Member_Tab,6,FALSE()), AB$5 &lt;= VLOOKUP($P485,Member_Tab,7,FALSE())),1,0))  )</f>
        <v>0</v>
      </c>
      <c r="AC485" s="76" t="n">
        <f aca="false">IF(ISERROR(VLOOKUP($P485,Member_Tab,4,FALSE())),0,(VLOOKUP($P485,Member_Tab,4,FALSE()) * 0.2 * AC$7) * (IF(AND(AC$5 &gt;= VLOOKUP($P485,Member_Tab,6,FALSE()), AC$5 &lt;= VLOOKUP($P485,Member_Tab,7,FALSE())),1,0))  )</f>
        <v>0</v>
      </c>
      <c r="AD485" s="76" t="n">
        <f aca="false">IF(ISERROR(VLOOKUP($P485,Member_Tab,4,FALSE())),0,(VLOOKUP($P485,Member_Tab,4,FALSE()) * 0.2 * AD$7) * (IF(AND(AD$5 &gt;= VLOOKUP($P485,Member_Tab,6,FALSE()), AD$5 &lt;= VLOOKUP($P485,Member_Tab,7,FALSE())),1,0))  )</f>
        <v>0</v>
      </c>
      <c r="AE485" s="76" t="n">
        <f aca="false">IF(ISERROR(VLOOKUP($P485,Member_Tab,4,FALSE())),0,(VLOOKUP($P485,Member_Tab,4,FALSE()) * 0.2 * AE$7) * (IF(AND(AE$5 &gt;= VLOOKUP($P485,Member_Tab,6,FALSE()), AE$5 &lt;= VLOOKUP($P485,Member_Tab,7,FALSE())),1,0))  )</f>
        <v>0</v>
      </c>
      <c r="AF485" s="76" t="n">
        <f aca="false">IF(ISERROR(VLOOKUP($P485,Member_Tab,4,FALSE())),0,(VLOOKUP($P485,Member_Tab,4,FALSE()) * 0.2 * AF$7) * (IF(AND(AF$5 &gt;= VLOOKUP($P485,Member_Tab,6,FALSE()), AF$5 &lt;= VLOOKUP($P485,Member_Tab,7,FALSE())),1,0))  )</f>
        <v>0</v>
      </c>
      <c r="AG485" s="76" t="n">
        <f aca="false">IF(ISERROR(VLOOKUP($P485,Member_Tab,4,FALSE())),0,(VLOOKUP($P485,Member_Tab,4,FALSE()) * 0.2 * AG$7) * (IF(AND(AG$5 &gt;= VLOOKUP($P485,Member_Tab,6,FALSE()), AG$5 &lt;= VLOOKUP($P485,Member_Tab,7,FALSE())),1,0))  )</f>
        <v>0</v>
      </c>
      <c r="AH485" s="76" t="n">
        <f aca="false">IF(ISERROR(VLOOKUP($P485,Member_Tab,4,FALSE())),0,(VLOOKUP($P485,Member_Tab,4,FALSE()) * 0.2 * AH$7) * (IF(AND(AH$5 &gt;= VLOOKUP($P485,Member_Tab,6,FALSE()), AH$5 &lt;= VLOOKUP($P485,Member_Tab,7,FALSE())),1,0))  )</f>
        <v>0</v>
      </c>
      <c r="AI485" s="76" t="n">
        <f aca="false">IF(ISERROR(VLOOKUP($P485,Member_Tab,4,FALSE())),0,(VLOOKUP($P485,Member_Tab,4,FALSE()) * 0.2 * AI$7) * (IF(AND(AI$5 &gt;= VLOOKUP($P485,Member_Tab,6,FALSE()), AI$5 &lt;= VLOOKUP($P485,Member_Tab,7,FALSE())),1,0))  )</f>
        <v>0</v>
      </c>
      <c r="AJ485" s="76" t="n">
        <f aca="false">IF(ISERROR(VLOOKUP($P485,Member_Tab,4,FALSE())),0,(VLOOKUP($P485,Member_Tab,4,FALSE()) * 0.2 * AJ$7) * (IF(AND(AJ$5 &gt;= VLOOKUP($P485,Member_Tab,6,FALSE()), AJ$5 &lt;= VLOOKUP($P485,Member_Tab,7,FALSE())),1,0))  )</f>
        <v>0</v>
      </c>
      <c r="AK485" s="76" t="n">
        <f aca="false">IF(ISERROR(VLOOKUP($P485,Member_Tab,4,FALSE())),0,(VLOOKUP($P485,Member_Tab,4,FALSE()) * 0.2 * AK$7) * (IF(AND(AK$5 &gt;= VLOOKUP($P485,Member_Tab,6,FALSE()), AK$5 &lt;= VLOOKUP($P485,Member_Tab,7,FALSE())),1,0))  )</f>
        <v>0</v>
      </c>
      <c r="AL485" s="76" t="n">
        <f aca="false">IF(ISERROR(VLOOKUP($P485,Member_Tab,4,FALSE())),0,(VLOOKUP($P485,Member_Tab,4,FALSE()) * 0.2 * AL$7) * (IF(AND(AL$5 &gt;= VLOOKUP($P485,Member_Tab,6,FALSE()), AL$5 &lt;= VLOOKUP($P485,Member_Tab,7,FALSE())),1,0))  )</f>
        <v>0</v>
      </c>
      <c r="AM485" s="76" t="n">
        <f aca="false">IF(ISERROR(VLOOKUP($P485,Member_Tab,4,FALSE())),0,(VLOOKUP($P485,Member_Tab,4,FALSE()) * 0.2 * AM$7) * (IF(AND(AM$5 &gt;= VLOOKUP($P485,Member_Tab,6,FALSE()), AM$5 &lt;= VLOOKUP($P485,Member_Tab,7,FALSE())),1,0))  )</f>
        <v>0</v>
      </c>
      <c r="AN485" s="76" t="n">
        <f aca="false">IF(ISERROR(VLOOKUP($P485,Member_Tab,4,FALSE())),0,(VLOOKUP($P485,Member_Tab,4,FALSE()) * 0.2 * AN$7) * (IF(AND(AN$5 &gt;= VLOOKUP($P485,Member_Tab,6,FALSE()), AN$5 &lt;= VLOOKUP($P485,Member_Tab,7,FALSE())),1,0))  )</f>
        <v>0</v>
      </c>
      <c r="AO485" s="76" t="n">
        <f aca="false">IF(ISERROR(VLOOKUP($P485,Member_Tab,4,FALSE())),0,(VLOOKUP($P485,Member_Tab,4,FALSE()) * 0.2 * AO$7) * (IF(AND(AO$5 &gt;= VLOOKUP($P485,Member_Tab,6,FALSE()), AO$5 &lt;= VLOOKUP($P485,Member_Tab,7,FALSE())),1,0))  )</f>
        <v>0</v>
      </c>
      <c r="AP485" s="76" t="n">
        <f aca="false">IF(ISERROR(VLOOKUP($P485,Member_Tab,4,FALSE())),0,(VLOOKUP($P485,Member_Tab,4,FALSE()) * 0.2 * AP$7) * (IF(AND(AP$5 &gt;= VLOOKUP($P485,Member_Tab,6,FALSE()), AP$5 &lt;= VLOOKUP($P485,Member_Tab,7,FALSE())),1,0))  )</f>
        <v>0</v>
      </c>
      <c r="AQ485" s="76" t="n">
        <f aca="false">IF(ISERROR(VLOOKUP($P485,Member_Tab,4,FALSE())),0,(VLOOKUP($P485,Member_Tab,4,FALSE()) * 0.2 * AQ$7) * (IF(AND(AQ$5 &gt;= VLOOKUP($P485,Member_Tab,6,FALSE()), AQ$5 &lt;= VLOOKUP($P485,Member_Tab,7,FALSE())),1,0))  )</f>
        <v>0</v>
      </c>
      <c r="AR485" s="76" t="n">
        <f aca="false">IF(ISERROR(VLOOKUP($P485,Member_Tab,4,FALSE())),0,(VLOOKUP($P485,Member_Tab,4,FALSE()) * 0.2 * AR$7) * (IF(AND(AR$5 &gt;= VLOOKUP($P485,Member_Tab,6,FALSE()), AR$5 &lt;= VLOOKUP($P485,Member_Tab,7,FALSE())),1,0))  )</f>
        <v>0</v>
      </c>
      <c r="AS485" s="76" t="n">
        <f aca="false">IF(ISERROR(VLOOKUP($P485,Member_Tab,4,FALSE())),0,(VLOOKUP($P485,Member_Tab,4,FALSE()) * 0.2 * AS$7) * (IF(AND(AS$5 &gt;= VLOOKUP($P485,Member_Tab,6,FALSE()), AS$5 &lt;= VLOOKUP($P485,Member_Tab,7,FALSE())),1,0))  )</f>
        <v>0</v>
      </c>
      <c r="AT485" s="76" t="n">
        <f aca="false">IF(ISERROR(VLOOKUP($P485,Member_Tab,4,FALSE())),0,(VLOOKUP($P485,Member_Tab,4,FALSE()) * 0.2 * AT$7) * (IF(AND(AT$5 &gt;= VLOOKUP($P485,Member_Tab,6,FALSE()), AT$5 &lt;= VLOOKUP($P485,Member_Tab,7,FALSE())),1,0))  )</f>
        <v>0</v>
      </c>
      <c r="AU485" s="76" t="n">
        <f aca="false">IF(ISERROR(VLOOKUP($P485,Member_Tab,4,FALSE())),0,(VLOOKUP($P485,Member_Tab,4,FALSE()) * 0.2 * AU$7) * (IF(AND(AU$5 &gt;= VLOOKUP($P485,Member_Tab,6,FALSE()), AU$5 &lt;= VLOOKUP($P485,Member_Tab,7,FALSE())),1,0))  )</f>
        <v>0</v>
      </c>
      <c r="AV485" s="76" t="n">
        <f aca="false">IF(ISERROR(VLOOKUP($P485,Member_Tab,4,FALSE())),0,(VLOOKUP($P485,Member_Tab,4,FALSE()) * 0.2 * AV$7) * (IF(AND(AV$5 &gt;= VLOOKUP($P485,Member_Tab,6,FALSE()), AV$5 &lt;= VLOOKUP($P485,Member_Tab,7,FALSE())),1,0))  )</f>
        <v>0</v>
      </c>
      <c r="AW485" s="76" t="n">
        <f aca="false">IF(ISERROR(VLOOKUP($P485,Member_Tab,4,FALSE())),0,(VLOOKUP($P485,Member_Tab,4,FALSE()) * 0.2 * AW$7) * (IF(AND(AW$5 &gt;= VLOOKUP($P485,Member_Tab,6,FALSE()), AW$5 &lt;= VLOOKUP($P485,Member_Tab,7,FALSE())),1,0))  )</f>
        <v>0</v>
      </c>
      <c r="AX485" s="76" t="n">
        <f aca="false">IF(ISERROR(VLOOKUP($P485,Member_Tab,4,FALSE())),0,(VLOOKUP($P485,Member_Tab,4,FALSE()) * 0.2 * AX$7) * (IF(AND(AX$5 &gt;= VLOOKUP($P485,Member_Tab,6,FALSE()), AX$5 &lt;= VLOOKUP($P485,Member_Tab,7,FALSE())),1,0))  )</f>
        <v>0</v>
      </c>
      <c r="AY485" s="76" t="n">
        <f aca="false">IF(ISERROR(VLOOKUP($P485,Member_Tab,4,FALSE())),0,(VLOOKUP($P485,Member_Tab,4,FALSE()) * 0.2 * AY$7) * (IF(AND(AY$5 &gt;= VLOOKUP($P485,Member_Tab,6,FALSE()), AY$5 &lt;= VLOOKUP($P485,Member_Tab,7,FALSE())),1,0))  )</f>
        <v>0</v>
      </c>
      <c r="AZ485" s="76" t="n">
        <f aca="false">IF(ISERROR(VLOOKUP($P485,Member_Tab,4,FALSE())),0,(VLOOKUP($P485,Member_Tab,4,FALSE()) * 0.2 * AZ$7) * (IF(AND(AZ$5 &gt;= VLOOKUP($P485,Member_Tab,6,FALSE()), AZ$5 &lt;= VLOOKUP($P485,Member_Tab,7,FALSE())),1,0))  )</f>
        <v>0</v>
      </c>
      <c r="BA485" s="76" t="n">
        <f aca="false">IF(ISERROR(VLOOKUP($P485,Member_Tab,4,FALSE())),0,(VLOOKUP($P485,Member_Tab,4,FALSE()) * 0.2 * BA$7) * (IF(AND(BA$5 &gt;= VLOOKUP($P485,Member_Tab,6,FALSE()), BA$5 &lt;= VLOOKUP($P485,Member_Tab,7,FALSE())),1,0))  )</f>
        <v>0</v>
      </c>
      <c r="BB485" s="76" t="n">
        <f aca="false">IF(ISERROR(VLOOKUP($P485,Member_Tab,4,FALSE())),0,(VLOOKUP($P485,Member_Tab,4,FALSE()) * 0.2 * BB$7) * (IF(AND(BB$5 &gt;= VLOOKUP($P485,Member_Tab,6,FALSE()), BB$5 &lt;= VLOOKUP($P485,Member_Tab,7,FALSE())),1,0))  )</f>
        <v>0</v>
      </c>
    </row>
    <row r="486" s="173" customFormat="true" ht="15" hidden="true" customHeight="false" outlineLevel="1" collapsed="false">
      <c r="E486" s="40"/>
      <c r="K486" s="40"/>
      <c r="L486" s="40"/>
      <c r="M486" s="40"/>
      <c r="N486" s="40"/>
      <c r="P486" s="177" t="n">
        <f aca="false">P349</f>
        <v>0</v>
      </c>
      <c r="Q486" s="40"/>
      <c r="R486" s="178"/>
      <c r="S486" s="76" t="n">
        <f aca="false">IF(ISERROR(VLOOKUP($P486,Member_Tab,4,FALSE())),0,(VLOOKUP($P486,Member_Tab,4,FALSE()) * 0.2 * S$7) * (IF(AND(S$5 &gt;= VLOOKUP($P486,Member_Tab,6,FALSE()), S$5 &lt;= VLOOKUP($P486,Member_Tab,7,FALSE())),1,0))  )</f>
        <v>0</v>
      </c>
      <c r="T486" s="76" t="n">
        <f aca="false">IF(ISERROR(VLOOKUP($P486,Member_Tab,4,FALSE())),0,(VLOOKUP($P486,Member_Tab,4,FALSE()) * 0.2 * T$7) * (IF(AND(T$5 &gt;= VLOOKUP($P486,Member_Tab,6,FALSE()), T$5 &lt;= VLOOKUP($P486,Member_Tab,7,FALSE())),1,0))  )</f>
        <v>0</v>
      </c>
      <c r="U486" s="76" t="n">
        <f aca="false">IF(ISERROR(VLOOKUP($P486,Member_Tab,4,FALSE())),0,(VLOOKUP($P486,Member_Tab,4,FALSE()) * 0.2 * U$7) * (IF(AND(U$5 &gt;= VLOOKUP($P486,Member_Tab,6,FALSE()), U$5 &lt;= VLOOKUP($P486,Member_Tab,7,FALSE())),1,0))  )</f>
        <v>0</v>
      </c>
      <c r="V486" s="76" t="n">
        <f aca="false">IF(ISERROR(VLOOKUP($P486,Member_Tab,4,FALSE())),0,(VLOOKUP($P486,Member_Tab,4,FALSE()) * 0.2 * V$7) * (IF(AND(V$5 &gt;= VLOOKUP($P486,Member_Tab,6,FALSE()), V$5 &lt;= VLOOKUP($P486,Member_Tab,7,FALSE())),1,0))  )</f>
        <v>0</v>
      </c>
      <c r="W486" s="76" t="n">
        <f aca="false">IF(ISERROR(VLOOKUP($P486,Member_Tab,4,FALSE())),0,(VLOOKUP($P486,Member_Tab,4,FALSE()) * 0.2 * W$7) * (IF(AND(W$5 &gt;= VLOOKUP($P486,Member_Tab,6,FALSE()), W$5 &lt;= VLOOKUP($P486,Member_Tab,7,FALSE())),1,0))  )</f>
        <v>0</v>
      </c>
      <c r="X486" s="76" t="n">
        <f aca="false">IF(ISERROR(VLOOKUP($P486,Member_Tab,4,FALSE())),0,(VLOOKUP($P486,Member_Tab,4,FALSE()) * 0.2 * X$7) * (IF(AND(X$5 &gt;= VLOOKUP($P486,Member_Tab,6,FALSE()), X$5 &lt;= VLOOKUP($P486,Member_Tab,7,FALSE())),1,0))  )</f>
        <v>0</v>
      </c>
      <c r="Y486" s="76" t="n">
        <f aca="false">IF(ISERROR(VLOOKUP($P486,Member_Tab,4,FALSE())),0,(VLOOKUP($P486,Member_Tab,4,FALSE()) * 0.2 * Y$7) * (IF(AND(Y$5 &gt;= VLOOKUP($P486,Member_Tab,6,FALSE()), Y$5 &lt;= VLOOKUP($P486,Member_Tab,7,FALSE())),1,0))  )</f>
        <v>0</v>
      </c>
      <c r="Z486" s="76" t="n">
        <f aca="false">IF(ISERROR(VLOOKUP($P486,Member_Tab,4,FALSE())),0,(VLOOKUP($P486,Member_Tab,4,FALSE()) * 0.2 * Z$7) * (IF(AND(Z$5 &gt;= VLOOKUP($P486,Member_Tab,6,FALSE()), Z$5 &lt;= VLOOKUP($P486,Member_Tab,7,FALSE())),1,0))  )</f>
        <v>0</v>
      </c>
      <c r="AA486" s="76" t="n">
        <f aca="false">IF(ISERROR(VLOOKUP($P486,Member_Tab,4,FALSE())),0,(VLOOKUP($P486,Member_Tab,4,FALSE()) * 0.2 * AA$7) * (IF(AND(AA$5 &gt;= VLOOKUP($P486,Member_Tab,6,FALSE()), AA$5 &lt;= VLOOKUP($P486,Member_Tab,7,FALSE())),1,0))  )</f>
        <v>0</v>
      </c>
      <c r="AB486" s="76" t="n">
        <f aca="false">IF(ISERROR(VLOOKUP($P486,Member_Tab,4,FALSE())),0,(VLOOKUP($P486,Member_Tab,4,FALSE()) * 0.2 * AB$7) * (IF(AND(AB$5 &gt;= VLOOKUP($P486,Member_Tab,6,FALSE()), AB$5 &lt;= VLOOKUP($P486,Member_Tab,7,FALSE())),1,0))  )</f>
        <v>0</v>
      </c>
      <c r="AC486" s="76" t="n">
        <f aca="false">IF(ISERROR(VLOOKUP($P486,Member_Tab,4,FALSE())),0,(VLOOKUP($P486,Member_Tab,4,FALSE()) * 0.2 * AC$7) * (IF(AND(AC$5 &gt;= VLOOKUP($P486,Member_Tab,6,FALSE()), AC$5 &lt;= VLOOKUP($P486,Member_Tab,7,FALSE())),1,0))  )</f>
        <v>0</v>
      </c>
      <c r="AD486" s="76" t="n">
        <f aca="false">IF(ISERROR(VLOOKUP($P486,Member_Tab,4,FALSE())),0,(VLOOKUP($P486,Member_Tab,4,FALSE()) * 0.2 * AD$7) * (IF(AND(AD$5 &gt;= VLOOKUP($P486,Member_Tab,6,FALSE()), AD$5 &lt;= VLOOKUP($P486,Member_Tab,7,FALSE())),1,0))  )</f>
        <v>0</v>
      </c>
      <c r="AE486" s="76" t="n">
        <f aca="false">IF(ISERROR(VLOOKUP($P486,Member_Tab,4,FALSE())),0,(VLOOKUP($P486,Member_Tab,4,FALSE()) * 0.2 * AE$7) * (IF(AND(AE$5 &gt;= VLOOKUP($P486,Member_Tab,6,FALSE()), AE$5 &lt;= VLOOKUP($P486,Member_Tab,7,FALSE())),1,0))  )</f>
        <v>0</v>
      </c>
      <c r="AF486" s="76" t="n">
        <f aca="false">IF(ISERROR(VLOOKUP($P486,Member_Tab,4,FALSE())),0,(VLOOKUP($P486,Member_Tab,4,FALSE()) * 0.2 * AF$7) * (IF(AND(AF$5 &gt;= VLOOKUP($P486,Member_Tab,6,FALSE()), AF$5 &lt;= VLOOKUP($P486,Member_Tab,7,FALSE())),1,0))  )</f>
        <v>0</v>
      </c>
      <c r="AG486" s="76" t="n">
        <f aca="false">IF(ISERROR(VLOOKUP($P486,Member_Tab,4,FALSE())),0,(VLOOKUP($P486,Member_Tab,4,FALSE()) * 0.2 * AG$7) * (IF(AND(AG$5 &gt;= VLOOKUP($P486,Member_Tab,6,FALSE()), AG$5 &lt;= VLOOKUP($P486,Member_Tab,7,FALSE())),1,0))  )</f>
        <v>0</v>
      </c>
      <c r="AH486" s="76" t="n">
        <f aca="false">IF(ISERROR(VLOOKUP($P486,Member_Tab,4,FALSE())),0,(VLOOKUP($P486,Member_Tab,4,FALSE()) * 0.2 * AH$7) * (IF(AND(AH$5 &gt;= VLOOKUP($P486,Member_Tab,6,FALSE()), AH$5 &lt;= VLOOKUP($P486,Member_Tab,7,FALSE())),1,0))  )</f>
        <v>0</v>
      </c>
      <c r="AI486" s="76" t="n">
        <f aca="false">IF(ISERROR(VLOOKUP($P486,Member_Tab,4,FALSE())),0,(VLOOKUP($P486,Member_Tab,4,FALSE()) * 0.2 * AI$7) * (IF(AND(AI$5 &gt;= VLOOKUP($P486,Member_Tab,6,FALSE()), AI$5 &lt;= VLOOKUP($P486,Member_Tab,7,FALSE())),1,0))  )</f>
        <v>0</v>
      </c>
      <c r="AJ486" s="76" t="n">
        <f aca="false">IF(ISERROR(VLOOKUP($P486,Member_Tab,4,FALSE())),0,(VLOOKUP($P486,Member_Tab,4,FALSE()) * 0.2 * AJ$7) * (IF(AND(AJ$5 &gt;= VLOOKUP($P486,Member_Tab,6,FALSE()), AJ$5 &lt;= VLOOKUP($P486,Member_Tab,7,FALSE())),1,0))  )</f>
        <v>0</v>
      </c>
      <c r="AK486" s="76" t="n">
        <f aca="false">IF(ISERROR(VLOOKUP($P486,Member_Tab,4,FALSE())),0,(VLOOKUP($P486,Member_Tab,4,FALSE()) * 0.2 * AK$7) * (IF(AND(AK$5 &gt;= VLOOKUP($P486,Member_Tab,6,FALSE()), AK$5 &lt;= VLOOKUP($P486,Member_Tab,7,FALSE())),1,0))  )</f>
        <v>0</v>
      </c>
      <c r="AL486" s="76" t="n">
        <f aca="false">IF(ISERROR(VLOOKUP($P486,Member_Tab,4,FALSE())),0,(VLOOKUP($P486,Member_Tab,4,FALSE()) * 0.2 * AL$7) * (IF(AND(AL$5 &gt;= VLOOKUP($P486,Member_Tab,6,FALSE()), AL$5 &lt;= VLOOKUP($P486,Member_Tab,7,FALSE())),1,0))  )</f>
        <v>0</v>
      </c>
      <c r="AM486" s="76" t="n">
        <f aca="false">IF(ISERROR(VLOOKUP($P486,Member_Tab,4,FALSE())),0,(VLOOKUP($P486,Member_Tab,4,FALSE()) * 0.2 * AM$7) * (IF(AND(AM$5 &gt;= VLOOKUP($P486,Member_Tab,6,FALSE()), AM$5 &lt;= VLOOKUP($P486,Member_Tab,7,FALSE())),1,0))  )</f>
        <v>0</v>
      </c>
      <c r="AN486" s="76" t="n">
        <f aca="false">IF(ISERROR(VLOOKUP($P486,Member_Tab,4,FALSE())),0,(VLOOKUP($P486,Member_Tab,4,FALSE()) * 0.2 * AN$7) * (IF(AND(AN$5 &gt;= VLOOKUP($P486,Member_Tab,6,FALSE()), AN$5 &lt;= VLOOKUP($P486,Member_Tab,7,FALSE())),1,0))  )</f>
        <v>0</v>
      </c>
      <c r="AO486" s="76" t="n">
        <f aca="false">IF(ISERROR(VLOOKUP($P486,Member_Tab,4,FALSE())),0,(VLOOKUP($P486,Member_Tab,4,FALSE()) * 0.2 * AO$7) * (IF(AND(AO$5 &gt;= VLOOKUP($P486,Member_Tab,6,FALSE()), AO$5 &lt;= VLOOKUP($P486,Member_Tab,7,FALSE())),1,0))  )</f>
        <v>0</v>
      </c>
      <c r="AP486" s="76" t="n">
        <f aca="false">IF(ISERROR(VLOOKUP($P486,Member_Tab,4,FALSE())),0,(VLOOKUP($P486,Member_Tab,4,FALSE()) * 0.2 * AP$7) * (IF(AND(AP$5 &gt;= VLOOKUP($P486,Member_Tab,6,FALSE()), AP$5 &lt;= VLOOKUP($P486,Member_Tab,7,FALSE())),1,0))  )</f>
        <v>0</v>
      </c>
      <c r="AQ486" s="76" t="n">
        <f aca="false">IF(ISERROR(VLOOKUP($P486,Member_Tab,4,FALSE())),0,(VLOOKUP($P486,Member_Tab,4,FALSE()) * 0.2 * AQ$7) * (IF(AND(AQ$5 &gt;= VLOOKUP($P486,Member_Tab,6,FALSE()), AQ$5 &lt;= VLOOKUP($P486,Member_Tab,7,FALSE())),1,0))  )</f>
        <v>0</v>
      </c>
      <c r="AR486" s="76" t="n">
        <f aca="false">IF(ISERROR(VLOOKUP($P486,Member_Tab,4,FALSE())),0,(VLOOKUP($P486,Member_Tab,4,FALSE()) * 0.2 * AR$7) * (IF(AND(AR$5 &gt;= VLOOKUP($P486,Member_Tab,6,FALSE()), AR$5 &lt;= VLOOKUP($P486,Member_Tab,7,FALSE())),1,0))  )</f>
        <v>0</v>
      </c>
      <c r="AS486" s="76" t="n">
        <f aca="false">IF(ISERROR(VLOOKUP($P486,Member_Tab,4,FALSE())),0,(VLOOKUP($P486,Member_Tab,4,FALSE()) * 0.2 * AS$7) * (IF(AND(AS$5 &gt;= VLOOKUP($P486,Member_Tab,6,FALSE()), AS$5 &lt;= VLOOKUP($P486,Member_Tab,7,FALSE())),1,0))  )</f>
        <v>0</v>
      </c>
      <c r="AT486" s="76" t="n">
        <f aca="false">IF(ISERROR(VLOOKUP($P486,Member_Tab,4,FALSE())),0,(VLOOKUP($P486,Member_Tab,4,FALSE()) * 0.2 * AT$7) * (IF(AND(AT$5 &gt;= VLOOKUP($P486,Member_Tab,6,FALSE()), AT$5 &lt;= VLOOKUP($P486,Member_Tab,7,FALSE())),1,0))  )</f>
        <v>0</v>
      </c>
      <c r="AU486" s="76" t="n">
        <f aca="false">IF(ISERROR(VLOOKUP($P486,Member_Tab,4,FALSE())),0,(VLOOKUP($P486,Member_Tab,4,FALSE()) * 0.2 * AU$7) * (IF(AND(AU$5 &gt;= VLOOKUP($P486,Member_Tab,6,FALSE()), AU$5 &lt;= VLOOKUP($P486,Member_Tab,7,FALSE())),1,0))  )</f>
        <v>0</v>
      </c>
      <c r="AV486" s="76" t="n">
        <f aca="false">IF(ISERROR(VLOOKUP($P486,Member_Tab,4,FALSE())),0,(VLOOKUP($P486,Member_Tab,4,FALSE()) * 0.2 * AV$7) * (IF(AND(AV$5 &gt;= VLOOKUP($P486,Member_Tab,6,FALSE()), AV$5 &lt;= VLOOKUP($P486,Member_Tab,7,FALSE())),1,0))  )</f>
        <v>0</v>
      </c>
      <c r="AW486" s="76" t="n">
        <f aca="false">IF(ISERROR(VLOOKUP($P486,Member_Tab,4,FALSE())),0,(VLOOKUP($P486,Member_Tab,4,FALSE()) * 0.2 * AW$7) * (IF(AND(AW$5 &gt;= VLOOKUP($P486,Member_Tab,6,FALSE()), AW$5 &lt;= VLOOKUP($P486,Member_Tab,7,FALSE())),1,0))  )</f>
        <v>0</v>
      </c>
      <c r="AX486" s="76" t="n">
        <f aca="false">IF(ISERROR(VLOOKUP($P486,Member_Tab,4,FALSE())),0,(VLOOKUP($P486,Member_Tab,4,FALSE()) * 0.2 * AX$7) * (IF(AND(AX$5 &gt;= VLOOKUP($P486,Member_Tab,6,FALSE()), AX$5 &lt;= VLOOKUP($P486,Member_Tab,7,FALSE())),1,0))  )</f>
        <v>0</v>
      </c>
      <c r="AY486" s="76" t="n">
        <f aca="false">IF(ISERROR(VLOOKUP($P486,Member_Tab,4,FALSE())),0,(VLOOKUP($P486,Member_Tab,4,FALSE()) * 0.2 * AY$7) * (IF(AND(AY$5 &gt;= VLOOKUP($P486,Member_Tab,6,FALSE()), AY$5 &lt;= VLOOKUP($P486,Member_Tab,7,FALSE())),1,0))  )</f>
        <v>0</v>
      </c>
      <c r="AZ486" s="76" t="n">
        <f aca="false">IF(ISERROR(VLOOKUP($P486,Member_Tab,4,FALSE())),0,(VLOOKUP($P486,Member_Tab,4,FALSE()) * 0.2 * AZ$7) * (IF(AND(AZ$5 &gt;= VLOOKUP($P486,Member_Tab,6,FALSE()), AZ$5 &lt;= VLOOKUP($P486,Member_Tab,7,FALSE())),1,0))  )</f>
        <v>0</v>
      </c>
      <c r="BA486" s="76" t="n">
        <f aca="false">IF(ISERROR(VLOOKUP($P486,Member_Tab,4,FALSE())),0,(VLOOKUP($P486,Member_Tab,4,FALSE()) * 0.2 * BA$7) * (IF(AND(BA$5 &gt;= VLOOKUP($P486,Member_Tab,6,FALSE()), BA$5 &lt;= VLOOKUP($P486,Member_Tab,7,FALSE())),1,0))  )</f>
        <v>0</v>
      </c>
      <c r="BB486" s="76" t="n">
        <f aca="false">IF(ISERROR(VLOOKUP($P486,Member_Tab,4,FALSE())),0,(VLOOKUP($P486,Member_Tab,4,FALSE()) * 0.2 * BB$7) * (IF(AND(BB$5 &gt;= VLOOKUP($P486,Member_Tab,6,FALSE()), BB$5 &lt;= VLOOKUP($P486,Member_Tab,7,FALSE())),1,0))  )</f>
        <v>0</v>
      </c>
    </row>
    <row r="487" s="173" customFormat="true" ht="15" hidden="true" customHeight="false" outlineLevel="1" collapsed="false">
      <c r="E487" s="40"/>
      <c r="K487" s="40"/>
      <c r="L487" s="40"/>
      <c r="M487" s="40"/>
      <c r="N487" s="40"/>
      <c r="P487" s="177" t="n">
        <f aca="false">P350</f>
        <v>0</v>
      </c>
      <c r="Q487" s="40"/>
      <c r="R487" s="178"/>
      <c r="S487" s="76" t="n">
        <f aca="false">IF(ISERROR(VLOOKUP($P487,Member_Tab,4,FALSE())),0,(VLOOKUP($P487,Member_Tab,4,FALSE()) * 0.2 * S$7) * (IF(AND(S$5 &gt;= VLOOKUP($P487,Member_Tab,6,FALSE()), S$5 &lt;= VLOOKUP($P487,Member_Tab,7,FALSE())),1,0))  )</f>
        <v>0</v>
      </c>
      <c r="T487" s="76" t="n">
        <f aca="false">IF(ISERROR(VLOOKUP($P487,Member_Tab,4,FALSE())),0,(VLOOKUP($P487,Member_Tab,4,FALSE()) * 0.2 * T$7) * (IF(AND(T$5 &gt;= VLOOKUP($P487,Member_Tab,6,FALSE()), T$5 &lt;= VLOOKUP($P487,Member_Tab,7,FALSE())),1,0))  )</f>
        <v>0</v>
      </c>
      <c r="U487" s="76" t="n">
        <f aca="false">IF(ISERROR(VLOOKUP($P487,Member_Tab,4,FALSE())),0,(VLOOKUP($P487,Member_Tab,4,FALSE()) * 0.2 * U$7) * (IF(AND(U$5 &gt;= VLOOKUP($P487,Member_Tab,6,FALSE()), U$5 &lt;= VLOOKUP($P487,Member_Tab,7,FALSE())),1,0))  )</f>
        <v>0</v>
      </c>
      <c r="V487" s="76" t="n">
        <f aca="false">IF(ISERROR(VLOOKUP($P487,Member_Tab,4,FALSE())),0,(VLOOKUP($P487,Member_Tab,4,FALSE()) * 0.2 * V$7) * (IF(AND(V$5 &gt;= VLOOKUP($P487,Member_Tab,6,FALSE()), V$5 &lt;= VLOOKUP($P487,Member_Tab,7,FALSE())),1,0))  )</f>
        <v>0</v>
      </c>
      <c r="W487" s="76" t="n">
        <f aca="false">IF(ISERROR(VLOOKUP($P487,Member_Tab,4,FALSE())),0,(VLOOKUP($P487,Member_Tab,4,FALSE()) * 0.2 * W$7) * (IF(AND(W$5 &gt;= VLOOKUP($P487,Member_Tab,6,FALSE()), W$5 &lt;= VLOOKUP($P487,Member_Tab,7,FALSE())),1,0))  )</f>
        <v>0</v>
      </c>
      <c r="X487" s="76" t="n">
        <f aca="false">IF(ISERROR(VLOOKUP($P487,Member_Tab,4,FALSE())),0,(VLOOKUP($P487,Member_Tab,4,FALSE()) * 0.2 * X$7) * (IF(AND(X$5 &gt;= VLOOKUP($P487,Member_Tab,6,FALSE()), X$5 &lt;= VLOOKUP($P487,Member_Tab,7,FALSE())),1,0))  )</f>
        <v>0</v>
      </c>
      <c r="Y487" s="76" t="n">
        <f aca="false">IF(ISERROR(VLOOKUP($P487,Member_Tab,4,FALSE())),0,(VLOOKUP($P487,Member_Tab,4,FALSE()) * 0.2 * Y$7) * (IF(AND(Y$5 &gt;= VLOOKUP($P487,Member_Tab,6,FALSE()), Y$5 &lt;= VLOOKUP($P487,Member_Tab,7,FALSE())),1,0))  )</f>
        <v>0</v>
      </c>
      <c r="Z487" s="76" t="n">
        <f aca="false">IF(ISERROR(VLOOKUP($P487,Member_Tab,4,FALSE())),0,(VLOOKUP($P487,Member_Tab,4,FALSE()) * 0.2 * Z$7) * (IF(AND(Z$5 &gt;= VLOOKUP($P487,Member_Tab,6,FALSE()), Z$5 &lt;= VLOOKUP($P487,Member_Tab,7,FALSE())),1,0))  )</f>
        <v>0</v>
      </c>
      <c r="AA487" s="76" t="n">
        <f aca="false">IF(ISERROR(VLOOKUP($P487,Member_Tab,4,FALSE())),0,(VLOOKUP($P487,Member_Tab,4,FALSE()) * 0.2 * AA$7) * (IF(AND(AA$5 &gt;= VLOOKUP($P487,Member_Tab,6,FALSE()), AA$5 &lt;= VLOOKUP($P487,Member_Tab,7,FALSE())),1,0))  )</f>
        <v>0</v>
      </c>
      <c r="AB487" s="76" t="n">
        <f aca="false">IF(ISERROR(VLOOKUP($P487,Member_Tab,4,FALSE())),0,(VLOOKUP($P487,Member_Tab,4,FALSE()) * 0.2 * AB$7) * (IF(AND(AB$5 &gt;= VLOOKUP($P487,Member_Tab,6,FALSE()), AB$5 &lt;= VLOOKUP($P487,Member_Tab,7,FALSE())),1,0))  )</f>
        <v>0</v>
      </c>
      <c r="AC487" s="76" t="n">
        <f aca="false">IF(ISERROR(VLOOKUP($P487,Member_Tab,4,FALSE())),0,(VLOOKUP($P487,Member_Tab,4,FALSE()) * 0.2 * AC$7) * (IF(AND(AC$5 &gt;= VLOOKUP($P487,Member_Tab,6,FALSE()), AC$5 &lt;= VLOOKUP($P487,Member_Tab,7,FALSE())),1,0))  )</f>
        <v>0</v>
      </c>
      <c r="AD487" s="76" t="n">
        <f aca="false">IF(ISERROR(VLOOKUP($P487,Member_Tab,4,FALSE())),0,(VLOOKUP($P487,Member_Tab,4,FALSE()) * 0.2 * AD$7) * (IF(AND(AD$5 &gt;= VLOOKUP($P487,Member_Tab,6,FALSE()), AD$5 &lt;= VLOOKUP($P487,Member_Tab,7,FALSE())),1,0))  )</f>
        <v>0</v>
      </c>
      <c r="AE487" s="76" t="n">
        <f aca="false">IF(ISERROR(VLOOKUP($P487,Member_Tab,4,FALSE())),0,(VLOOKUP($P487,Member_Tab,4,FALSE()) * 0.2 * AE$7) * (IF(AND(AE$5 &gt;= VLOOKUP($P487,Member_Tab,6,FALSE()), AE$5 &lt;= VLOOKUP($P487,Member_Tab,7,FALSE())),1,0))  )</f>
        <v>0</v>
      </c>
      <c r="AF487" s="76" t="n">
        <f aca="false">IF(ISERROR(VLOOKUP($P487,Member_Tab,4,FALSE())),0,(VLOOKUP($P487,Member_Tab,4,FALSE()) * 0.2 * AF$7) * (IF(AND(AF$5 &gt;= VLOOKUP($P487,Member_Tab,6,FALSE()), AF$5 &lt;= VLOOKUP($P487,Member_Tab,7,FALSE())),1,0))  )</f>
        <v>0</v>
      </c>
      <c r="AG487" s="76" t="n">
        <f aca="false">IF(ISERROR(VLOOKUP($P487,Member_Tab,4,FALSE())),0,(VLOOKUP($P487,Member_Tab,4,FALSE()) * 0.2 * AG$7) * (IF(AND(AG$5 &gt;= VLOOKUP($P487,Member_Tab,6,FALSE()), AG$5 &lt;= VLOOKUP($P487,Member_Tab,7,FALSE())),1,0))  )</f>
        <v>0</v>
      </c>
      <c r="AH487" s="76" t="n">
        <f aca="false">IF(ISERROR(VLOOKUP($P487,Member_Tab,4,FALSE())),0,(VLOOKUP($P487,Member_Tab,4,FALSE()) * 0.2 * AH$7) * (IF(AND(AH$5 &gt;= VLOOKUP($P487,Member_Tab,6,FALSE()), AH$5 &lt;= VLOOKUP($P487,Member_Tab,7,FALSE())),1,0))  )</f>
        <v>0</v>
      </c>
      <c r="AI487" s="76" t="n">
        <f aca="false">IF(ISERROR(VLOOKUP($P487,Member_Tab,4,FALSE())),0,(VLOOKUP($P487,Member_Tab,4,FALSE()) * 0.2 * AI$7) * (IF(AND(AI$5 &gt;= VLOOKUP($P487,Member_Tab,6,FALSE()), AI$5 &lt;= VLOOKUP($P487,Member_Tab,7,FALSE())),1,0))  )</f>
        <v>0</v>
      </c>
      <c r="AJ487" s="76" t="n">
        <f aca="false">IF(ISERROR(VLOOKUP($P487,Member_Tab,4,FALSE())),0,(VLOOKUP($P487,Member_Tab,4,FALSE()) * 0.2 * AJ$7) * (IF(AND(AJ$5 &gt;= VLOOKUP($P487,Member_Tab,6,FALSE()), AJ$5 &lt;= VLOOKUP($P487,Member_Tab,7,FALSE())),1,0))  )</f>
        <v>0</v>
      </c>
      <c r="AK487" s="76" t="n">
        <f aca="false">IF(ISERROR(VLOOKUP($P487,Member_Tab,4,FALSE())),0,(VLOOKUP($P487,Member_Tab,4,FALSE()) * 0.2 * AK$7) * (IF(AND(AK$5 &gt;= VLOOKUP($P487,Member_Tab,6,FALSE()), AK$5 &lt;= VLOOKUP($P487,Member_Tab,7,FALSE())),1,0))  )</f>
        <v>0</v>
      </c>
      <c r="AL487" s="76" t="n">
        <f aca="false">IF(ISERROR(VLOOKUP($P487,Member_Tab,4,FALSE())),0,(VLOOKUP($P487,Member_Tab,4,FALSE()) * 0.2 * AL$7) * (IF(AND(AL$5 &gt;= VLOOKUP($P487,Member_Tab,6,FALSE()), AL$5 &lt;= VLOOKUP($P487,Member_Tab,7,FALSE())),1,0))  )</f>
        <v>0</v>
      </c>
      <c r="AM487" s="76" t="n">
        <f aca="false">IF(ISERROR(VLOOKUP($P487,Member_Tab,4,FALSE())),0,(VLOOKUP($P487,Member_Tab,4,FALSE()) * 0.2 * AM$7) * (IF(AND(AM$5 &gt;= VLOOKUP($P487,Member_Tab,6,FALSE()), AM$5 &lt;= VLOOKUP($P487,Member_Tab,7,FALSE())),1,0))  )</f>
        <v>0</v>
      </c>
      <c r="AN487" s="76" t="n">
        <f aca="false">IF(ISERROR(VLOOKUP($P487,Member_Tab,4,FALSE())),0,(VLOOKUP($P487,Member_Tab,4,FALSE()) * 0.2 * AN$7) * (IF(AND(AN$5 &gt;= VLOOKUP($P487,Member_Tab,6,FALSE()), AN$5 &lt;= VLOOKUP($P487,Member_Tab,7,FALSE())),1,0))  )</f>
        <v>0</v>
      </c>
      <c r="AO487" s="76" t="n">
        <f aca="false">IF(ISERROR(VLOOKUP($P487,Member_Tab,4,FALSE())),0,(VLOOKUP($P487,Member_Tab,4,FALSE()) * 0.2 * AO$7) * (IF(AND(AO$5 &gt;= VLOOKUP($P487,Member_Tab,6,FALSE()), AO$5 &lt;= VLOOKUP($P487,Member_Tab,7,FALSE())),1,0))  )</f>
        <v>0</v>
      </c>
      <c r="AP487" s="76" t="n">
        <f aca="false">IF(ISERROR(VLOOKUP($P487,Member_Tab,4,FALSE())),0,(VLOOKUP($P487,Member_Tab,4,FALSE()) * 0.2 * AP$7) * (IF(AND(AP$5 &gt;= VLOOKUP($P487,Member_Tab,6,FALSE()), AP$5 &lt;= VLOOKUP($P487,Member_Tab,7,FALSE())),1,0))  )</f>
        <v>0</v>
      </c>
      <c r="AQ487" s="76" t="n">
        <f aca="false">IF(ISERROR(VLOOKUP($P487,Member_Tab,4,FALSE())),0,(VLOOKUP($P487,Member_Tab,4,FALSE()) * 0.2 * AQ$7) * (IF(AND(AQ$5 &gt;= VLOOKUP($P487,Member_Tab,6,FALSE()), AQ$5 &lt;= VLOOKUP($P487,Member_Tab,7,FALSE())),1,0))  )</f>
        <v>0</v>
      </c>
      <c r="AR487" s="76" t="n">
        <f aca="false">IF(ISERROR(VLOOKUP($P487,Member_Tab,4,FALSE())),0,(VLOOKUP($P487,Member_Tab,4,FALSE()) * 0.2 * AR$7) * (IF(AND(AR$5 &gt;= VLOOKUP($P487,Member_Tab,6,FALSE()), AR$5 &lt;= VLOOKUP($P487,Member_Tab,7,FALSE())),1,0))  )</f>
        <v>0</v>
      </c>
      <c r="AS487" s="76" t="n">
        <f aca="false">IF(ISERROR(VLOOKUP($P487,Member_Tab,4,FALSE())),0,(VLOOKUP($P487,Member_Tab,4,FALSE()) * 0.2 * AS$7) * (IF(AND(AS$5 &gt;= VLOOKUP($P487,Member_Tab,6,FALSE()), AS$5 &lt;= VLOOKUP($P487,Member_Tab,7,FALSE())),1,0))  )</f>
        <v>0</v>
      </c>
      <c r="AT487" s="76" t="n">
        <f aca="false">IF(ISERROR(VLOOKUP($P487,Member_Tab,4,FALSE())),0,(VLOOKUP($P487,Member_Tab,4,FALSE()) * 0.2 * AT$7) * (IF(AND(AT$5 &gt;= VLOOKUP($P487,Member_Tab,6,FALSE()), AT$5 &lt;= VLOOKUP($P487,Member_Tab,7,FALSE())),1,0))  )</f>
        <v>0</v>
      </c>
      <c r="AU487" s="76" t="n">
        <f aca="false">IF(ISERROR(VLOOKUP($P487,Member_Tab,4,FALSE())),0,(VLOOKUP($P487,Member_Tab,4,FALSE()) * 0.2 * AU$7) * (IF(AND(AU$5 &gt;= VLOOKUP($P487,Member_Tab,6,FALSE()), AU$5 &lt;= VLOOKUP($P487,Member_Tab,7,FALSE())),1,0))  )</f>
        <v>0</v>
      </c>
      <c r="AV487" s="76" t="n">
        <f aca="false">IF(ISERROR(VLOOKUP($P487,Member_Tab,4,FALSE())),0,(VLOOKUP($P487,Member_Tab,4,FALSE()) * 0.2 * AV$7) * (IF(AND(AV$5 &gt;= VLOOKUP($P487,Member_Tab,6,FALSE()), AV$5 &lt;= VLOOKUP($P487,Member_Tab,7,FALSE())),1,0))  )</f>
        <v>0</v>
      </c>
      <c r="AW487" s="76" t="n">
        <f aca="false">IF(ISERROR(VLOOKUP($P487,Member_Tab,4,FALSE())),0,(VLOOKUP($P487,Member_Tab,4,FALSE()) * 0.2 * AW$7) * (IF(AND(AW$5 &gt;= VLOOKUP($P487,Member_Tab,6,FALSE()), AW$5 &lt;= VLOOKUP($P487,Member_Tab,7,FALSE())),1,0))  )</f>
        <v>0</v>
      </c>
      <c r="AX487" s="76" t="n">
        <f aca="false">IF(ISERROR(VLOOKUP($P487,Member_Tab,4,FALSE())),0,(VLOOKUP($P487,Member_Tab,4,FALSE()) * 0.2 * AX$7) * (IF(AND(AX$5 &gt;= VLOOKUP($P487,Member_Tab,6,FALSE()), AX$5 &lt;= VLOOKUP($P487,Member_Tab,7,FALSE())),1,0))  )</f>
        <v>0</v>
      </c>
      <c r="AY487" s="76" t="n">
        <f aca="false">IF(ISERROR(VLOOKUP($P487,Member_Tab,4,FALSE())),0,(VLOOKUP($P487,Member_Tab,4,FALSE()) * 0.2 * AY$7) * (IF(AND(AY$5 &gt;= VLOOKUP($P487,Member_Tab,6,FALSE()), AY$5 &lt;= VLOOKUP($P487,Member_Tab,7,FALSE())),1,0))  )</f>
        <v>0</v>
      </c>
      <c r="AZ487" s="76" t="n">
        <f aca="false">IF(ISERROR(VLOOKUP($P487,Member_Tab,4,FALSE())),0,(VLOOKUP($P487,Member_Tab,4,FALSE()) * 0.2 * AZ$7) * (IF(AND(AZ$5 &gt;= VLOOKUP($P487,Member_Tab,6,FALSE()), AZ$5 &lt;= VLOOKUP($P487,Member_Tab,7,FALSE())),1,0))  )</f>
        <v>0</v>
      </c>
      <c r="BA487" s="76" t="n">
        <f aca="false">IF(ISERROR(VLOOKUP($P487,Member_Tab,4,FALSE())),0,(VLOOKUP($P487,Member_Tab,4,FALSE()) * 0.2 * BA$7) * (IF(AND(BA$5 &gt;= VLOOKUP($P487,Member_Tab,6,FALSE()), BA$5 &lt;= VLOOKUP($P487,Member_Tab,7,FALSE())),1,0))  )</f>
        <v>0</v>
      </c>
      <c r="BB487" s="76" t="n">
        <f aca="false">IF(ISERROR(VLOOKUP($P487,Member_Tab,4,FALSE())),0,(VLOOKUP($P487,Member_Tab,4,FALSE()) * 0.2 * BB$7) * (IF(AND(BB$5 &gt;= VLOOKUP($P487,Member_Tab,6,FALSE()), BB$5 &lt;= VLOOKUP($P487,Member_Tab,7,FALSE())),1,0))  )</f>
        <v>0</v>
      </c>
    </row>
    <row r="488" s="173" customFormat="true" ht="15" hidden="true" customHeight="false" outlineLevel="1" collapsed="false">
      <c r="E488" s="40"/>
      <c r="K488" s="40"/>
      <c r="L488" s="40"/>
      <c r="M488" s="40"/>
      <c r="N488" s="40"/>
      <c r="P488" s="177" t="n">
        <f aca="false">P351</f>
        <v>0</v>
      </c>
      <c r="Q488" s="40"/>
      <c r="R488" s="178"/>
      <c r="S488" s="76" t="n">
        <f aca="false">IF(ISERROR(VLOOKUP($P488,Member_Tab,4,FALSE())),0,(VLOOKUP($P488,Member_Tab,4,FALSE()) * 0.2 * S$7) * (IF(AND(S$5 &gt;= VLOOKUP($P488,Member_Tab,6,FALSE()), S$5 &lt;= VLOOKUP($P488,Member_Tab,7,FALSE())),1,0))  )</f>
        <v>0</v>
      </c>
      <c r="T488" s="76" t="n">
        <f aca="false">IF(ISERROR(VLOOKUP($P488,Member_Tab,4,FALSE())),0,(VLOOKUP($P488,Member_Tab,4,FALSE()) * 0.2 * T$7) * (IF(AND(T$5 &gt;= VLOOKUP($P488,Member_Tab,6,FALSE()), T$5 &lt;= VLOOKUP($P488,Member_Tab,7,FALSE())),1,0))  )</f>
        <v>0</v>
      </c>
      <c r="U488" s="76" t="n">
        <f aca="false">IF(ISERROR(VLOOKUP($P488,Member_Tab,4,FALSE())),0,(VLOOKUP($P488,Member_Tab,4,FALSE()) * 0.2 * U$7) * (IF(AND(U$5 &gt;= VLOOKUP($P488,Member_Tab,6,FALSE()), U$5 &lt;= VLOOKUP($P488,Member_Tab,7,FALSE())),1,0))  )</f>
        <v>0</v>
      </c>
      <c r="V488" s="76" t="n">
        <f aca="false">IF(ISERROR(VLOOKUP($P488,Member_Tab,4,FALSE())),0,(VLOOKUP($P488,Member_Tab,4,FALSE()) * 0.2 * V$7) * (IF(AND(V$5 &gt;= VLOOKUP($P488,Member_Tab,6,FALSE()), V$5 &lt;= VLOOKUP($P488,Member_Tab,7,FALSE())),1,0))  )</f>
        <v>0</v>
      </c>
      <c r="W488" s="76" t="n">
        <f aca="false">IF(ISERROR(VLOOKUP($P488,Member_Tab,4,FALSE())),0,(VLOOKUP($P488,Member_Tab,4,FALSE()) * 0.2 * W$7) * (IF(AND(W$5 &gt;= VLOOKUP($P488,Member_Tab,6,FALSE()), W$5 &lt;= VLOOKUP($P488,Member_Tab,7,FALSE())),1,0))  )</f>
        <v>0</v>
      </c>
      <c r="X488" s="76" t="n">
        <f aca="false">IF(ISERROR(VLOOKUP($P488,Member_Tab,4,FALSE())),0,(VLOOKUP($P488,Member_Tab,4,FALSE()) * 0.2 * X$7) * (IF(AND(X$5 &gt;= VLOOKUP($P488,Member_Tab,6,FALSE()), X$5 &lt;= VLOOKUP($P488,Member_Tab,7,FALSE())),1,0))  )</f>
        <v>0</v>
      </c>
      <c r="Y488" s="76" t="n">
        <f aca="false">IF(ISERROR(VLOOKUP($P488,Member_Tab,4,FALSE())),0,(VLOOKUP($P488,Member_Tab,4,FALSE()) * 0.2 * Y$7) * (IF(AND(Y$5 &gt;= VLOOKUP($P488,Member_Tab,6,FALSE()), Y$5 &lt;= VLOOKUP($P488,Member_Tab,7,FALSE())),1,0))  )</f>
        <v>0</v>
      </c>
      <c r="Z488" s="76" t="n">
        <f aca="false">IF(ISERROR(VLOOKUP($P488,Member_Tab,4,FALSE())),0,(VLOOKUP($P488,Member_Tab,4,FALSE()) * 0.2 * Z$7) * (IF(AND(Z$5 &gt;= VLOOKUP($P488,Member_Tab,6,FALSE()), Z$5 &lt;= VLOOKUP($P488,Member_Tab,7,FALSE())),1,0))  )</f>
        <v>0</v>
      </c>
      <c r="AA488" s="76" t="n">
        <f aca="false">IF(ISERROR(VLOOKUP($P488,Member_Tab,4,FALSE())),0,(VLOOKUP($P488,Member_Tab,4,FALSE()) * 0.2 * AA$7) * (IF(AND(AA$5 &gt;= VLOOKUP($P488,Member_Tab,6,FALSE()), AA$5 &lt;= VLOOKUP($P488,Member_Tab,7,FALSE())),1,0))  )</f>
        <v>0</v>
      </c>
      <c r="AB488" s="76" t="n">
        <f aca="false">IF(ISERROR(VLOOKUP($P488,Member_Tab,4,FALSE())),0,(VLOOKUP($P488,Member_Tab,4,FALSE()) * 0.2 * AB$7) * (IF(AND(AB$5 &gt;= VLOOKUP($P488,Member_Tab,6,FALSE()), AB$5 &lt;= VLOOKUP($P488,Member_Tab,7,FALSE())),1,0))  )</f>
        <v>0</v>
      </c>
      <c r="AC488" s="76" t="n">
        <f aca="false">IF(ISERROR(VLOOKUP($P488,Member_Tab,4,FALSE())),0,(VLOOKUP($P488,Member_Tab,4,FALSE()) * 0.2 * AC$7) * (IF(AND(AC$5 &gt;= VLOOKUP($P488,Member_Tab,6,FALSE()), AC$5 &lt;= VLOOKUP($P488,Member_Tab,7,FALSE())),1,0))  )</f>
        <v>0</v>
      </c>
      <c r="AD488" s="76" t="n">
        <f aca="false">IF(ISERROR(VLOOKUP($P488,Member_Tab,4,FALSE())),0,(VLOOKUP($P488,Member_Tab,4,FALSE()) * 0.2 * AD$7) * (IF(AND(AD$5 &gt;= VLOOKUP($P488,Member_Tab,6,FALSE()), AD$5 &lt;= VLOOKUP($P488,Member_Tab,7,FALSE())),1,0))  )</f>
        <v>0</v>
      </c>
      <c r="AE488" s="76" t="n">
        <f aca="false">IF(ISERROR(VLOOKUP($P488,Member_Tab,4,FALSE())),0,(VLOOKUP($P488,Member_Tab,4,FALSE()) * 0.2 * AE$7) * (IF(AND(AE$5 &gt;= VLOOKUP($P488,Member_Tab,6,FALSE()), AE$5 &lt;= VLOOKUP($P488,Member_Tab,7,FALSE())),1,0))  )</f>
        <v>0</v>
      </c>
      <c r="AF488" s="76" t="n">
        <f aca="false">IF(ISERROR(VLOOKUP($P488,Member_Tab,4,FALSE())),0,(VLOOKUP($P488,Member_Tab,4,FALSE()) * 0.2 * AF$7) * (IF(AND(AF$5 &gt;= VLOOKUP($P488,Member_Tab,6,FALSE()), AF$5 &lt;= VLOOKUP($P488,Member_Tab,7,FALSE())),1,0))  )</f>
        <v>0</v>
      </c>
      <c r="AG488" s="76" t="n">
        <f aca="false">IF(ISERROR(VLOOKUP($P488,Member_Tab,4,FALSE())),0,(VLOOKUP($P488,Member_Tab,4,FALSE()) * 0.2 * AG$7) * (IF(AND(AG$5 &gt;= VLOOKUP($P488,Member_Tab,6,FALSE()), AG$5 &lt;= VLOOKUP($P488,Member_Tab,7,FALSE())),1,0))  )</f>
        <v>0</v>
      </c>
      <c r="AH488" s="76" t="n">
        <f aca="false">IF(ISERROR(VLOOKUP($P488,Member_Tab,4,FALSE())),0,(VLOOKUP($P488,Member_Tab,4,FALSE()) * 0.2 * AH$7) * (IF(AND(AH$5 &gt;= VLOOKUP($P488,Member_Tab,6,FALSE()), AH$5 &lt;= VLOOKUP($P488,Member_Tab,7,FALSE())),1,0))  )</f>
        <v>0</v>
      </c>
      <c r="AI488" s="76" t="n">
        <f aca="false">IF(ISERROR(VLOOKUP($P488,Member_Tab,4,FALSE())),0,(VLOOKUP($P488,Member_Tab,4,FALSE()) * 0.2 * AI$7) * (IF(AND(AI$5 &gt;= VLOOKUP($P488,Member_Tab,6,FALSE()), AI$5 &lt;= VLOOKUP($P488,Member_Tab,7,FALSE())),1,0))  )</f>
        <v>0</v>
      </c>
      <c r="AJ488" s="76" t="n">
        <f aca="false">IF(ISERROR(VLOOKUP($P488,Member_Tab,4,FALSE())),0,(VLOOKUP($P488,Member_Tab,4,FALSE()) * 0.2 * AJ$7) * (IF(AND(AJ$5 &gt;= VLOOKUP($P488,Member_Tab,6,FALSE()), AJ$5 &lt;= VLOOKUP($P488,Member_Tab,7,FALSE())),1,0))  )</f>
        <v>0</v>
      </c>
      <c r="AK488" s="76" t="n">
        <f aca="false">IF(ISERROR(VLOOKUP($P488,Member_Tab,4,FALSE())),0,(VLOOKUP($P488,Member_Tab,4,FALSE()) * 0.2 * AK$7) * (IF(AND(AK$5 &gt;= VLOOKUP($P488,Member_Tab,6,FALSE()), AK$5 &lt;= VLOOKUP($P488,Member_Tab,7,FALSE())),1,0))  )</f>
        <v>0</v>
      </c>
      <c r="AL488" s="76" t="n">
        <f aca="false">IF(ISERROR(VLOOKUP($P488,Member_Tab,4,FALSE())),0,(VLOOKUP($P488,Member_Tab,4,FALSE()) * 0.2 * AL$7) * (IF(AND(AL$5 &gt;= VLOOKUP($P488,Member_Tab,6,FALSE()), AL$5 &lt;= VLOOKUP($P488,Member_Tab,7,FALSE())),1,0))  )</f>
        <v>0</v>
      </c>
      <c r="AM488" s="76" t="n">
        <f aca="false">IF(ISERROR(VLOOKUP($P488,Member_Tab,4,FALSE())),0,(VLOOKUP($P488,Member_Tab,4,FALSE()) * 0.2 * AM$7) * (IF(AND(AM$5 &gt;= VLOOKUP($P488,Member_Tab,6,FALSE()), AM$5 &lt;= VLOOKUP($P488,Member_Tab,7,FALSE())),1,0))  )</f>
        <v>0</v>
      </c>
      <c r="AN488" s="76" t="n">
        <f aca="false">IF(ISERROR(VLOOKUP($P488,Member_Tab,4,FALSE())),0,(VLOOKUP($P488,Member_Tab,4,FALSE()) * 0.2 * AN$7) * (IF(AND(AN$5 &gt;= VLOOKUP($P488,Member_Tab,6,FALSE()), AN$5 &lt;= VLOOKUP($P488,Member_Tab,7,FALSE())),1,0))  )</f>
        <v>0</v>
      </c>
      <c r="AO488" s="76" t="n">
        <f aca="false">IF(ISERROR(VLOOKUP($P488,Member_Tab,4,FALSE())),0,(VLOOKUP($P488,Member_Tab,4,FALSE()) * 0.2 * AO$7) * (IF(AND(AO$5 &gt;= VLOOKUP($P488,Member_Tab,6,FALSE()), AO$5 &lt;= VLOOKUP($P488,Member_Tab,7,FALSE())),1,0))  )</f>
        <v>0</v>
      </c>
      <c r="AP488" s="76" t="n">
        <f aca="false">IF(ISERROR(VLOOKUP($P488,Member_Tab,4,FALSE())),0,(VLOOKUP($P488,Member_Tab,4,FALSE()) * 0.2 * AP$7) * (IF(AND(AP$5 &gt;= VLOOKUP($P488,Member_Tab,6,FALSE()), AP$5 &lt;= VLOOKUP($P488,Member_Tab,7,FALSE())),1,0))  )</f>
        <v>0</v>
      </c>
      <c r="AQ488" s="76" t="n">
        <f aca="false">IF(ISERROR(VLOOKUP($P488,Member_Tab,4,FALSE())),0,(VLOOKUP($P488,Member_Tab,4,FALSE()) * 0.2 * AQ$7) * (IF(AND(AQ$5 &gt;= VLOOKUP($P488,Member_Tab,6,FALSE()), AQ$5 &lt;= VLOOKUP($P488,Member_Tab,7,FALSE())),1,0))  )</f>
        <v>0</v>
      </c>
      <c r="AR488" s="76" t="n">
        <f aca="false">IF(ISERROR(VLOOKUP($P488,Member_Tab,4,FALSE())),0,(VLOOKUP($P488,Member_Tab,4,FALSE()) * 0.2 * AR$7) * (IF(AND(AR$5 &gt;= VLOOKUP($P488,Member_Tab,6,FALSE()), AR$5 &lt;= VLOOKUP($P488,Member_Tab,7,FALSE())),1,0))  )</f>
        <v>0</v>
      </c>
      <c r="AS488" s="76" t="n">
        <f aca="false">IF(ISERROR(VLOOKUP($P488,Member_Tab,4,FALSE())),0,(VLOOKUP($P488,Member_Tab,4,FALSE()) * 0.2 * AS$7) * (IF(AND(AS$5 &gt;= VLOOKUP($P488,Member_Tab,6,FALSE()), AS$5 &lt;= VLOOKUP($P488,Member_Tab,7,FALSE())),1,0))  )</f>
        <v>0</v>
      </c>
      <c r="AT488" s="76" t="n">
        <f aca="false">IF(ISERROR(VLOOKUP($P488,Member_Tab,4,FALSE())),0,(VLOOKUP($P488,Member_Tab,4,FALSE()) * 0.2 * AT$7) * (IF(AND(AT$5 &gt;= VLOOKUP($P488,Member_Tab,6,FALSE()), AT$5 &lt;= VLOOKUP($P488,Member_Tab,7,FALSE())),1,0))  )</f>
        <v>0</v>
      </c>
      <c r="AU488" s="76" t="n">
        <f aca="false">IF(ISERROR(VLOOKUP($P488,Member_Tab,4,FALSE())),0,(VLOOKUP($P488,Member_Tab,4,FALSE()) * 0.2 * AU$7) * (IF(AND(AU$5 &gt;= VLOOKUP($P488,Member_Tab,6,FALSE()), AU$5 &lt;= VLOOKUP($P488,Member_Tab,7,FALSE())),1,0))  )</f>
        <v>0</v>
      </c>
      <c r="AV488" s="76" t="n">
        <f aca="false">IF(ISERROR(VLOOKUP($P488,Member_Tab,4,FALSE())),0,(VLOOKUP($P488,Member_Tab,4,FALSE()) * 0.2 * AV$7) * (IF(AND(AV$5 &gt;= VLOOKUP($P488,Member_Tab,6,FALSE()), AV$5 &lt;= VLOOKUP($P488,Member_Tab,7,FALSE())),1,0))  )</f>
        <v>0</v>
      </c>
      <c r="AW488" s="76" t="n">
        <f aca="false">IF(ISERROR(VLOOKUP($P488,Member_Tab,4,FALSE())),0,(VLOOKUP($P488,Member_Tab,4,FALSE()) * 0.2 * AW$7) * (IF(AND(AW$5 &gt;= VLOOKUP($P488,Member_Tab,6,FALSE()), AW$5 &lt;= VLOOKUP($P488,Member_Tab,7,FALSE())),1,0))  )</f>
        <v>0</v>
      </c>
      <c r="AX488" s="76" t="n">
        <f aca="false">IF(ISERROR(VLOOKUP($P488,Member_Tab,4,FALSE())),0,(VLOOKUP($P488,Member_Tab,4,FALSE()) * 0.2 * AX$7) * (IF(AND(AX$5 &gt;= VLOOKUP($P488,Member_Tab,6,FALSE()), AX$5 &lt;= VLOOKUP($P488,Member_Tab,7,FALSE())),1,0))  )</f>
        <v>0</v>
      </c>
      <c r="AY488" s="76" t="n">
        <f aca="false">IF(ISERROR(VLOOKUP($P488,Member_Tab,4,FALSE())),0,(VLOOKUP($P488,Member_Tab,4,FALSE()) * 0.2 * AY$7) * (IF(AND(AY$5 &gt;= VLOOKUP($P488,Member_Tab,6,FALSE()), AY$5 &lt;= VLOOKUP($P488,Member_Tab,7,FALSE())),1,0))  )</f>
        <v>0</v>
      </c>
      <c r="AZ488" s="76" t="n">
        <f aca="false">IF(ISERROR(VLOOKUP($P488,Member_Tab,4,FALSE())),0,(VLOOKUP($P488,Member_Tab,4,FALSE()) * 0.2 * AZ$7) * (IF(AND(AZ$5 &gt;= VLOOKUP($P488,Member_Tab,6,FALSE()), AZ$5 &lt;= VLOOKUP($P488,Member_Tab,7,FALSE())),1,0))  )</f>
        <v>0</v>
      </c>
      <c r="BA488" s="76" t="n">
        <f aca="false">IF(ISERROR(VLOOKUP($P488,Member_Tab,4,FALSE())),0,(VLOOKUP($P488,Member_Tab,4,FALSE()) * 0.2 * BA$7) * (IF(AND(BA$5 &gt;= VLOOKUP($P488,Member_Tab,6,FALSE()), BA$5 &lt;= VLOOKUP($P488,Member_Tab,7,FALSE())),1,0))  )</f>
        <v>0</v>
      </c>
      <c r="BB488" s="76" t="n">
        <f aca="false">IF(ISERROR(VLOOKUP($P488,Member_Tab,4,FALSE())),0,(VLOOKUP($P488,Member_Tab,4,FALSE()) * 0.2 * BB$7) * (IF(AND(BB$5 &gt;= VLOOKUP($P488,Member_Tab,6,FALSE()), BB$5 &lt;= VLOOKUP($P488,Member_Tab,7,FALSE())),1,0))  )</f>
        <v>0</v>
      </c>
    </row>
    <row r="489" s="173" customFormat="true" ht="15" hidden="true" customHeight="false" outlineLevel="1" collapsed="false">
      <c r="E489" s="40"/>
      <c r="K489" s="40"/>
      <c r="L489" s="40"/>
      <c r="M489" s="40"/>
      <c r="N489" s="40"/>
      <c r="P489" s="177" t="n">
        <f aca="false">P352</f>
        <v>0</v>
      </c>
      <c r="Q489" s="40"/>
      <c r="R489" s="178"/>
      <c r="S489" s="76" t="n">
        <f aca="false">IF(ISERROR(VLOOKUP($P489,Member_Tab,4,FALSE())),0,(VLOOKUP($P489,Member_Tab,4,FALSE()) * 0.2 * S$7) * (IF(AND(S$5 &gt;= VLOOKUP($P489,Member_Tab,6,FALSE()), S$5 &lt;= VLOOKUP($P489,Member_Tab,7,FALSE())),1,0))  )</f>
        <v>0</v>
      </c>
      <c r="T489" s="76" t="n">
        <f aca="false">IF(ISERROR(VLOOKUP($P489,Member_Tab,4,FALSE())),0,(VLOOKUP($P489,Member_Tab,4,FALSE()) * 0.2 * T$7) * (IF(AND(T$5 &gt;= VLOOKUP($P489,Member_Tab,6,FALSE()), T$5 &lt;= VLOOKUP($P489,Member_Tab,7,FALSE())),1,0))  )</f>
        <v>0</v>
      </c>
      <c r="U489" s="76" t="n">
        <f aca="false">IF(ISERROR(VLOOKUP($P489,Member_Tab,4,FALSE())),0,(VLOOKUP($P489,Member_Tab,4,FALSE()) * 0.2 * U$7) * (IF(AND(U$5 &gt;= VLOOKUP($P489,Member_Tab,6,FALSE()), U$5 &lt;= VLOOKUP($P489,Member_Tab,7,FALSE())),1,0))  )</f>
        <v>0</v>
      </c>
      <c r="V489" s="76" t="n">
        <f aca="false">IF(ISERROR(VLOOKUP($P489,Member_Tab,4,FALSE())),0,(VLOOKUP($P489,Member_Tab,4,FALSE()) * 0.2 * V$7) * (IF(AND(V$5 &gt;= VLOOKUP($P489,Member_Tab,6,FALSE()), V$5 &lt;= VLOOKUP($P489,Member_Tab,7,FALSE())),1,0))  )</f>
        <v>0</v>
      </c>
      <c r="W489" s="76" t="n">
        <f aca="false">IF(ISERROR(VLOOKUP($P489,Member_Tab,4,FALSE())),0,(VLOOKUP($P489,Member_Tab,4,FALSE()) * 0.2 * W$7) * (IF(AND(W$5 &gt;= VLOOKUP($P489,Member_Tab,6,FALSE()), W$5 &lt;= VLOOKUP($P489,Member_Tab,7,FALSE())),1,0))  )</f>
        <v>0</v>
      </c>
      <c r="X489" s="76" t="n">
        <f aca="false">IF(ISERROR(VLOOKUP($P489,Member_Tab,4,FALSE())),0,(VLOOKUP($P489,Member_Tab,4,FALSE()) * 0.2 * X$7) * (IF(AND(X$5 &gt;= VLOOKUP($P489,Member_Tab,6,FALSE()), X$5 &lt;= VLOOKUP($P489,Member_Tab,7,FALSE())),1,0))  )</f>
        <v>0</v>
      </c>
      <c r="Y489" s="76" t="n">
        <f aca="false">IF(ISERROR(VLOOKUP($P489,Member_Tab,4,FALSE())),0,(VLOOKUP($P489,Member_Tab,4,FALSE()) * 0.2 * Y$7) * (IF(AND(Y$5 &gt;= VLOOKUP($P489,Member_Tab,6,FALSE()), Y$5 &lt;= VLOOKUP($P489,Member_Tab,7,FALSE())),1,0))  )</f>
        <v>0</v>
      </c>
      <c r="Z489" s="76" t="n">
        <f aca="false">IF(ISERROR(VLOOKUP($P489,Member_Tab,4,FALSE())),0,(VLOOKUP($P489,Member_Tab,4,FALSE()) * 0.2 * Z$7) * (IF(AND(Z$5 &gt;= VLOOKUP($P489,Member_Tab,6,FALSE()), Z$5 &lt;= VLOOKUP($P489,Member_Tab,7,FALSE())),1,0))  )</f>
        <v>0</v>
      </c>
      <c r="AA489" s="76" t="n">
        <f aca="false">IF(ISERROR(VLOOKUP($P489,Member_Tab,4,FALSE())),0,(VLOOKUP($P489,Member_Tab,4,FALSE()) * 0.2 * AA$7) * (IF(AND(AA$5 &gt;= VLOOKUP($P489,Member_Tab,6,FALSE()), AA$5 &lt;= VLOOKUP($P489,Member_Tab,7,FALSE())),1,0))  )</f>
        <v>0</v>
      </c>
      <c r="AB489" s="76" t="n">
        <f aca="false">IF(ISERROR(VLOOKUP($P489,Member_Tab,4,FALSE())),0,(VLOOKUP($P489,Member_Tab,4,FALSE()) * 0.2 * AB$7) * (IF(AND(AB$5 &gt;= VLOOKUP($P489,Member_Tab,6,FALSE()), AB$5 &lt;= VLOOKUP($P489,Member_Tab,7,FALSE())),1,0))  )</f>
        <v>0</v>
      </c>
      <c r="AC489" s="76" t="n">
        <f aca="false">IF(ISERROR(VLOOKUP($P489,Member_Tab,4,FALSE())),0,(VLOOKUP($P489,Member_Tab,4,FALSE()) * 0.2 * AC$7) * (IF(AND(AC$5 &gt;= VLOOKUP($P489,Member_Tab,6,FALSE()), AC$5 &lt;= VLOOKUP($P489,Member_Tab,7,FALSE())),1,0))  )</f>
        <v>0</v>
      </c>
      <c r="AD489" s="76" t="n">
        <f aca="false">IF(ISERROR(VLOOKUP($P489,Member_Tab,4,FALSE())),0,(VLOOKUP($P489,Member_Tab,4,FALSE()) * 0.2 * AD$7) * (IF(AND(AD$5 &gt;= VLOOKUP($P489,Member_Tab,6,FALSE()), AD$5 &lt;= VLOOKUP($P489,Member_Tab,7,FALSE())),1,0))  )</f>
        <v>0</v>
      </c>
      <c r="AE489" s="76" t="n">
        <f aca="false">IF(ISERROR(VLOOKUP($P489,Member_Tab,4,FALSE())),0,(VLOOKUP($P489,Member_Tab,4,FALSE()) * 0.2 * AE$7) * (IF(AND(AE$5 &gt;= VLOOKUP($P489,Member_Tab,6,FALSE()), AE$5 &lt;= VLOOKUP($P489,Member_Tab,7,FALSE())),1,0))  )</f>
        <v>0</v>
      </c>
      <c r="AF489" s="76" t="n">
        <f aca="false">IF(ISERROR(VLOOKUP($P489,Member_Tab,4,FALSE())),0,(VLOOKUP($P489,Member_Tab,4,FALSE()) * 0.2 * AF$7) * (IF(AND(AF$5 &gt;= VLOOKUP($P489,Member_Tab,6,FALSE()), AF$5 &lt;= VLOOKUP($P489,Member_Tab,7,FALSE())),1,0))  )</f>
        <v>0</v>
      </c>
      <c r="AG489" s="76" t="n">
        <f aca="false">IF(ISERROR(VLOOKUP($P489,Member_Tab,4,FALSE())),0,(VLOOKUP($P489,Member_Tab,4,FALSE()) * 0.2 * AG$7) * (IF(AND(AG$5 &gt;= VLOOKUP($P489,Member_Tab,6,FALSE()), AG$5 &lt;= VLOOKUP($P489,Member_Tab,7,FALSE())),1,0))  )</f>
        <v>0</v>
      </c>
      <c r="AH489" s="76" t="n">
        <f aca="false">IF(ISERROR(VLOOKUP($P489,Member_Tab,4,FALSE())),0,(VLOOKUP($P489,Member_Tab,4,FALSE()) * 0.2 * AH$7) * (IF(AND(AH$5 &gt;= VLOOKUP($P489,Member_Tab,6,FALSE()), AH$5 &lt;= VLOOKUP($P489,Member_Tab,7,FALSE())),1,0))  )</f>
        <v>0</v>
      </c>
      <c r="AI489" s="76" t="n">
        <f aca="false">IF(ISERROR(VLOOKUP($P489,Member_Tab,4,FALSE())),0,(VLOOKUP($P489,Member_Tab,4,FALSE()) * 0.2 * AI$7) * (IF(AND(AI$5 &gt;= VLOOKUP($P489,Member_Tab,6,FALSE()), AI$5 &lt;= VLOOKUP($P489,Member_Tab,7,FALSE())),1,0))  )</f>
        <v>0</v>
      </c>
      <c r="AJ489" s="76" t="n">
        <f aca="false">IF(ISERROR(VLOOKUP($P489,Member_Tab,4,FALSE())),0,(VLOOKUP($P489,Member_Tab,4,FALSE()) * 0.2 * AJ$7) * (IF(AND(AJ$5 &gt;= VLOOKUP($P489,Member_Tab,6,FALSE()), AJ$5 &lt;= VLOOKUP($P489,Member_Tab,7,FALSE())),1,0))  )</f>
        <v>0</v>
      </c>
      <c r="AK489" s="76" t="n">
        <f aca="false">IF(ISERROR(VLOOKUP($P489,Member_Tab,4,FALSE())),0,(VLOOKUP($P489,Member_Tab,4,FALSE()) * 0.2 * AK$7) * (IF(AND(AK$5 &gt;= VLOOKUP($P489,Member_Tab,6,FALSE()), AK$5 &lt;= VLOOKUP($P489,Member_Tab,7,FALSE())),1,0))  )</f>
        <v>0</v>
      </c>
      <c r="AL489" s="76" t="n">
        <f aca="false">IF(ISERROR(VLOOKUP($P489,Member_Tab,4,FALSE())),0,(VLOOKUP($P489,Member_Tab,4,FALSE()) * 0.2 * AL$7) * (IF(AND(AL$5 &gt;= VLOOKUP($P489,Member_Tab,6,FALSE()), AL$5 &lt;= VLOOKUP($P489,Member_Tab,7,FALSE())),1,0))  )</f>
        <v>0</v>
      </c>
      <c r="AM489" s="76" t="n">
        <f aca="false">IF(ISERROR(VLOOKUP($P489,Member_Tab,4,FALSE())),0,(VLOOKUP($P489,Member_Tab,4,FALSE()) * 0.2 * AM$7) * (IF(AND(AM$5 &gt;= VLOOKUP($P489,Member_Tab,6,FALSE()), AM$5 &lt;= VLOOKUP($P489,Member_Tab,7,FALSE())),1,0))  )</f>
        <v>0</v>
      </c>
      <c r="AN489" s="76" t="n">
        <f aca="false">IF(ISERROR(VLOOKUP($P489,Member_Tab,4,FALSE())),0,(VLOOKUP($P489,Member_Tab,4,FALSE()) * 0.2 * AN$7) * (IF(AND(AN$5 &gt;= VLOOKUP($P489,Member_Tab,6,FALSE()), AN$5 &lt;= VLOOKUP($P489,Member_Tab,7,FALSE())),1,0))  )</f>
        <v>0</v>
      </c>
      <c r="AO489" s="76" t="n">
        <f aca="false">IF(ISERROR(VLOOKUP($P489,Member_Tab,4,FALSE())),0,(VLOOKUP($P489,Member_Tab,4,FALSE()) * 0.2 * AO$7) * (IF(AND(AO$5 &gt;= VLOOKUP($P489,Member_Tab,6,FALSE()), AO$5 &lt;= VLOOKUP($P489,Member_Tab,7,FALSE())),1,0))  )</f>
        <v>0</v>
      </c>
      <c r="AP489" s="76" t="n">
        <f aca="false">IF(ISERROR(VLOOKUP($P489,Member_Tab,4,FALSE())),0,(VLOOKUP($P489,Member_Tab,4,FALSE()) * 0.2 * AP$7) * (IF(AND(AP$5 &gt;= VLOOKUP($P489,Member_Tab,6,FALSE()), AP$5 &lt;= VLOOKUP($P489,Member_Tab,7,FALSE())),1,0))  )</f>
        <v>0</v>
      </c>
      <c r="AQ489" s="76" t="n">
        <f aca="false">IF(ISERROR(VLOOKUP($P489,Member_Tab,4,FALSE())),0,(VLOOKUP($P489,Member_Tab,4,FALSE()) * 0.2 * AQ$7) * (IF(AND(AQ$5 &gt;= VLOOKUP($P489,Member_Tab,6,FALSE()), AQ$5 &lt;= VLOOKUP($P489,Member_Tab,7,FALSE())),1,0))  )</f>
        <v>0</v>
      </c>
      <c r="AR489" s="76" t="n">
        <f aca="false">IF(ISERROR(VLOOKUP($P489,Member_Tab,4,FALSE())),0,(VLOOKUP($P489,Member_Tab,4,FALSE()) * 0.2 * AR$7) * (IF(AND(AR$5 &gt;= VLOOKUP($P489,Member_Tab,6,FALSE()), AR$5 &lt;= VLOOKUP($P489,Member_Tab,7,FALSE())),1,0))  )</f>
        <v>0</v>
      </c>
      <c r="AS489" s="76" t="n">
        <f aca="false">IF(ISERROR(VLOOKUP($P489,Member_Tab,4,FALSE())),0,(VLOOKUP($P489,Member_Tab,4,FALSE()) * 0.2 * AS$7) * (IF(AND(AS$5 &gt;= VLOOKUP($P489,Member_Tab,6,FALSE()), AS$5 &lt;= VLOOKUP($P489,Member_Tab,7,FALSE())),1,0))  )</f>
        <v>0</v>
      </c>
      <c r="AT489" s="76" t="n">
        <f aca="false">IF(ISERROR(VLOOKUP($P489,Member_Tab,4,FALSE())),0,(VLOOKUP($P489,Member_Tab,4,FALSE()) * 0.2 * AT$7) * (IF(AND(AT$5 &gt;= VLOOKUP($P489,Member_Tab,6,FALSE()), AT$5 &lt;= VLOOKUP($P489,Member_Tab,7,FALSE())),1,0))  )</f>
        <v>0</v>
      </c>
      <c r="AU489" s="76" t="n">
        <f aca="false">IF(ISERROR(VLOOKUP($P489,Member_Tab,4,FALSE())),0,(VLOOKUP($P489,Member_Tab,4,FALSE()) * 0.2 * AU$7) * (IF(AND(AU$5 &gt;= VLOOKUP($P489,Member_Tab,6,FALSE()), AU$5 &lt;= VLOOKUP($P489,Member_Tab,7,FALSE())),1,0))  )</f>
        <v>0</v>
      </c>
      <c r="AV489" s="76" t="n">
        <f aca="false">IF(ISERROR(VLOOKUP($P489,Member_Tab,4,FALSE())),0,(VLOOKUP($P489,Member_Tab,4,FALSE()) * 0.2 * AV$7) * (IF(AND(AV$5 &gt;= VLOOKUP($P489,Member_Tab,6,FALSE()), AV$5 &lt;= VLOOKUP($P489,Member_Tab,7,FALSE())),1,0))  )</f>
        <v>0</v>
      </c>
      <c r="AW489" s="76" t="n">
        <f aca="false">IF(ISERROR(VLOOKUP($P489,Member_Tab,4,FALSE())),0,(VLOOKUP($P489,Member_Tab,4,FALSE()) * 0.2 * AW$7) * (IF(AND(AW$5 &gt;= VLOOKUP($P489,Member_Tab,6,FALSE()), AW$5 &lt;= VLOOKUP($P489,Member_Tab,7,FALSE())),1,0))  )</f>
        <v>0</v>
      </c>
      <c r="AX489" s="76" t="n">
        <f aca="false">IF(ISERROR(VLOOKUP($P489,Member_Tab,4,FALSE())),0,(VLOOKUP($P489,Member_Tab,4,FALSE()) * 0.2 * AX$7) * (IF(AND(AX$5 &gt;= VLOOKUP($P489,Member_Tab,6,FALSE()), AX$5 &lt;= VLOOKUP($P489,Member_Tab,7,FALSE())),1,0))  )</f>
        <v>0</v>
      </c>
      <c r="AY489" s="76" t="n">
        <f aca="false">IF(ISERROR(VLOOKUP($P489,Member_Tab,4,FALSE())),0,(VLOOKUP($P489,Member_Tab,4,FALSE()) * 0.2 * AY$7) * (IF(AND(AY$5 &gt;= VLOOKUP($P489,Member_Tab,6,FALSE()), AY$5 &lt;= VLOOKUP($P489,Member_Tab,7,FALSE())),1,0))  )</f>
        <v>0</v>
      </c>
      <c r="AZ489" s="76" t="n">
        <f aca="false">IF(ISERROR(VLOOKUP($P489,Member_Tab,4,FALSE())),0,(VLOOKUP($P489,Member_Tab,4,FALSE()) * 0.2 * AZ$7) * (IF(AND(AZ$5 &gt;= VLOOKUP($P489,Member_Tab,6,FALSE()), AZ$5 &lt;= VLOOKUP($P489,Member_Tab,7,FALSE())),1,0))  )</f>
        <v>0</v>
      </c>
      <c r="BA489" s="76" t="n">
        <f aca="false">IF(ISERROR(VLOOKUP($P489,Member_Tab,4,FALSE())),0,(VLOOKUP($P489,Member_Tab,4,FALSE()) * 0.2 * BA$7) * (IF(AND(BA$5 &gt;= VLOOKUP($P489,Member_Tab,6,FALSE()), BA$5 &lt;= VLOOKUP($P489,Member_Tab,7,FALSE())),1,0))  )</f>
        <v>0</v>
      </c>
      <c r="BB489" s="76" t="n">
        <f aca="false">IF(ISERROR(VLOOKUP($P489,Member_Tab,4,FALSE())),0,(VLOOKUP($P489,Member_Tab,4,FALSE()) * 0.2 * BB$7) * (IF(AND(BB$5 &gt;= VLOOKUP($P489,Member_Tab,6,FALSE()), BB$5 &lt;= VLOOKUP($P489,Member_Tab,7,FALSE())),1,0))  )</f>
        <v>0</v>
      </c>
    </row>
    <row r="490" s="173" customFormat="true" ht="15" hidden="true" customHeight="false" outlineLevel="1" collapsed="false">
      <c r="E490" s="40"/>
      <c r="K490" s="40"/>
      <c r="L490" s="40"/>
      <c r="M490" s="40"/>
      <c r="N490" s="40"/>
      <c r="P490" s="177" t="n">
        <f aca="false">P353</f>
        <v>0</v>
      </c>
      <c r="Q490" s="40"/>
      <c r="R490" s="178"/>
      <c r="S490" s="76" t="n">
        <f aca="false">IF(ISERROR(VLOOKUP($P490,Member_Tab,4,FALSE())),0,(VLOOKUP($P490,Member_Tab,4,FALSE()) * 0.2 * S$7) * (IF(AND(S$5 &gt;= VLOOKUP($P490,Member_Tab,6,FALSE()), S$5 &lt;= VLOOKUP($P490,Member_Tab,7,FALSE())),1,0))  )</f>
        <v>0</v>
      </c>
      <c r="T490" s="76" t="n">
        <f aca="false">IF(ISERROR(VLOOKUP($P490,Member_Tab,4,FALSE())),0,(VLOOKUP($P490,Member_Tab,4,FALSE()) * 0.2 * T$7) * (IF(AND(T$5 &gt;= VLOOKUP($P490,Member_Tab,6,FALSE()), T$5 &lt;= VLOOKUP($P490,Member_Tab,7,FALSE())),1,0))  )</f>
        <v>0</v>
      </c>
      <c r="U490" s="76" t="n">
        <f aca="false">IF(ISERROR(VLOOKUP($P490,Member_Tab,4,FALSE())),0,(VLOOKUP($P490,Member_Tab,4,FALSE()) * 0.2 * U$7) * (IF(AND(U$5 &gt;= VLOOKUP($P490,Member_Tab,6,FALSE()), U$5 &lt;= VLOOKUP($P490,Member_Tab,7,FALSE())),1,0))  )</f>
        <v>0</v>
      </c>
      <c r="V490" s="76" t="n">
        <f aca="false">IF(ISERROR(VLOOKUP($P490,Member_Tab,4,FALSE())),0,(VLOOKUP($P490,Member_Tab,4,FALSE()) * 0.2 * V$7) * (IF(AND(V$5 &gt;= VLOOKUP($P490,Member_Tab,6,FALSE()), V$5 &lt;= VLOOKUP($P490,Member_Tab,7,FALSE())),1,0))  )</f>
        <v>0</v>
      </c>
      <c r="W490" s="76" t="n">
        <f aca="false">IF(ISERROR(VLOOKUP($P490,Member_Tab,4,FALSE())),0,(VLOOKUP($P490,Member_Tab,4,FALSE()) * 0.2 * W$7) * (IF(AND(W$5 &gt;= VLOOKUP($P490,Member_Tab,6,FALSE()), W$5 &lt;= VLOOKUP($P490,Member_Tab,7,FALSE())),1,0))  )</f>
        <v>0</v>
      </c>
      <c r="X490" s="76" t="n">
        <f aca="false">IF(ISERROR(VLOOKUP($P490,Member_Tab,4,FALSE())),0,(VLOOKUP($P490,Member_Tab,4,FALSE()) * 0.2 * X$7) * (IF(AND(X$5 &gt;= VLOOKUP($P490,Member_Tab,6,FALSE()), X$5 &lt;= VLOOKUP($P490,Member_Tab,7,FALSE())),1,0))  )</f>
        <v>0</v>
      </c>
      <c r="Y490" s="76" t="n">
        <f aca="false">IF(ISERROR(VLOOKUP($P490,Member_Tab,4,FALSE())),0,(VLOOKUP($P490,Member_Tab,4,FALSE()) * 0.2 * Y$7) * (IF(AND(Y$5 &gt;= VLOOKUP($P490,Member_Tab,6,FALSE()), Y$5 &lt;= VLOOKUP($P490,Member_Tab,7,FALSE())),1,0))  )</f>
        <v>0</v>
      </c>
      <c r="Z490" s="76" t="n">
        <f aca="false">IF(ISERROR(VLOOKUP($P490,Member_Tab,4,FALSE())),0,(VLOOKUP($P490,Member_Tab,4,FALSE()) * 0.2 * Z$7) * (IF(AND(Z$5 &gt;= VLOOKUP($P490,Member_Tab,6,FALSE()), Z$5 &lt;= VLOOKUP($P490,Member_Tab,7,FALSE())),1,0))  )</f>
        <v>0</v>
      </c>
      <c r="AA490" s="76" t="n">
        <f aca="false">IF(ISERROR(VLOOKUP($P490,Member_Tab,4,FALSE())),0,(VLOOKUP($P490,Member_Tab,4,FALSE()) * 0.2 * AA$7) * (IF(AND(AA$5 &gt;= VLOOKUP($P490,Member_Tab,6,FALSE()), AA$5 &lt;= VLOOKUP($P490,Member_Tab,7,FALSE())),1,0))  )</f>
        <v>0</v>
      </c>
      <c r="AB490" s="76" t="n">
        <f aca="false">IF(ISERROR(VLOOKUP($P490,Member_Tab,4,FALSE())),0,(VLOOKUP($P490,Member_Tab,4,FALSE()) * 0.2 * AB$7) * (IF(AND(AB$5 &gt;= VLOOKUP($P490,Member_Tab,6,FALSE()), AB$5 &lt;= VLOOKUP($P490,Member_Tab,7,FALSE())),1,0))  )</f>
        <v>0</v>
      </c>
      <c r="AC490" s="76" t="n">
        <f aca="false">IF(ISERROR(VLOOKUP($P490,Member_Tab,4,FALSE())),0,(VLOOKUP($P490,Member_Tab,4,FALSE()) * 0.2 * AC$7) * (IF(AND(AC$5 &gt;= VLOOKUP($P490,Member_Tab,6,FALSE()), AC$5 &lt;= VLOOKUP($P490,Member_Tab,7,FALSE())),1,0))  )</f>
        <v>0</v>
      </c>
      <c r="AD490" s="76" t="n">
        <f aca="false">IF(ISERROR(VLOOKUP($P490,Member_Tab,4,FALSE())),0,(VLOOKUP($P490,Member_Tab,4,FALSE()) * 0.2 * AD$7) * (IF(AND(AD$5 &gt;= VLOOKUP($P490,Member_Tab,6,FALSE()), AD$5 &lt;= VLOOKUP($P490,Member_Tab,7,FALSE())),1,0))  )</f>
        <v>0</v>
      </c>
      <c r="AE490" s="76" t="n">
        <f aca="false">IF(ISERROR(VLOOKUP($P490,Member_Tab,4,FALSE())),0,(VLOOKUP($P490,Member_Tab,4,FALSE()) * 0.2 * AE$7) * (IF(AND(AE$5 &gt;= VLOOKUP($P490,Member_Tab,6,FALSE()), AE$5 &lt;= VLOOKUP($P490,Member_Tab,7,FALSE())),1,0))  )</f>
        <v>0</v>
      </c>
      <c r="AF490" s="76" t="n">
        <f aca="false">IF(ISERROR(VLOOKUP($P490,Member_Tab,4,FALSE())),0,(VLOOKUP($P490,Member_Tab,4,FALSE()) * 0.2 * AF$7) * (IF(AND(AF$5 &gt;= VLOOKUP($P490,Member_Tab,6,FALSE()), AF$5 &lt;= VLOOKUP($P490,Member_Tab,7,FALSE())),1,0))  )</f>
        <v>0</v>
      </c>
      <c r="AG490" s="76" t="n">
        <f aca="false">IF(ISERROR(VLOOKUP($P490,Member_Tab,4,FALSE())),0,(VLOOKUP($P490,Member_Tab,4,FALSE()) * 0.2 * AG$7) * (IF(AND(AG$5 &gt;= VLOOKUP($P490,Member_Tab,6,FALSE()), AG$5 &lt;= VLOOKUP($P490,Member_Tab,7,FALSE())),1,0))  )</f>
        <v>0</v>
      </c>
      <c r="AH490" s="76" t="n">
        <f aca="false">IF(ISERROR(VLOOKUP($P490,Member_Tab,4,FALSE())),0,(VLOOKUP($P490,Member_Tab,4,FALSE()) * 0.2 * AH$7) * (IF(AND(AH$5 &gt;= VLOOKUP($P490,Member_Tab,6,FALSE()), AH$5 &lt;= VLOOKUP($P490,Member_Tab,7,FALSE())),1,0))  )</f>
        <v>0</v>
      </c>
      <c r="AI490" s="76" t="n">
        <f aca="false">IF(ISERROR(VLOOKUP($P490,Member_Tab,4,FALSE())),0,(VLOOKUP($P490,Member_Tab,4,FALSE()) * 0.2 * AI$7) * (IF(AND(AI$5 &gt;= VLOOKUP($P490,Member_Tab,6,FALSE()), AI$5 &lt;= VLOOKUP($P490,Member_Tab,7,FALSE())),1,0))  )</f>
        <v>0</v>
      </c>
      <c r="AJ490" s="76" t="n">
        <f aca="false">IF(ISERROR(VLOOKUP($P490,Member_Tab,4,FALSE())),0,(VLOOKUP($P490,Member_Tab,4,FALSE()) * 0.2 * AJ$7) * (IF(AND(AJ$5 &gt;= VLOOKUP($P490,Member_Tab,6,FALSE()), AJ$5 &lt;= VLOOKUP($P490,Member_Tab,7,FALSE())),1,0))  )</f>
        <v>0</v>
      </c>
      <c r="AK490" s="76" t="n">
        <f aca="false">IF(ISERROR(VLOOKUP($P490,Member_Tab,4,FALSE())),0,(VLOOKUP($P490,Member_Tab,4,FALSE()) * 0.2 * AK$7) * (IF(AND(AK$5 &gt;= VLOOKUP($P490,Member_Tab,6,FALSE()), AK$5 &lt;= VLOOKUP($P490,Member_Tab,7,FALSE())),1,0))  )</f>
        <v>0</v>
      </c>
      <c r="AL490" s="76" t="n">
        <f aca="false">IF(ISERROR(VLOOKUP($P490,Member_Tab,4,FALSE())),0,(VLOOKUP($P490,Member_Tab,4,FALSE()) * 0.2 * AL$7) * (IF(AND(AL$5 &gt;= VLOOKUP($P490,Member_Tab,6,FALSE()), AL$5 &lt;= VLOOKUP($P490,Member_Tab,7,FALSE())),1,0))  )</f>
        <v>0</v>
      </c>
      <c r="AM490" s="76" t="n">
        <f aca="false">IF(ISERROR(VLOOKUP($P490,Member_Tab,4,FALSE())),0,(VLOOKUP($P490,Member_Tab,4,FALSE()) * 0.2 * AM$7) * (IF(AND(AM$5 &gt;= VLOOKUP($P490,Member_Tab,6,FALSE()), AM$5 &lt;= VLOOKUP($P490,Member_Tab,7,FALSE())),1,0))  )</f>
        <v>0</v>
      </c>
      <c r="AN490" s="76" t="n">
        <f aca="false">IF(ISERROR(VLOOKUP($P490,Member_Tab,4,FALSE())),0,(VLOOKUP($P490,Member_Tab,4,FALSE()) * 0.2 * AN$7) * (IF(AND(AN$5 &gt;= VLOOKUP($P490,Member_Tab,6,FALSE()), AN$5 &lt;= VLOOKUP($P490,Member_Tab,7,FALSE())),1,0))  )</f>
        <v>0</v>
      </c>
      <c r="AO490" s="76" t="n">
        <f aca="false">IF(ISERROR(VLOOKUP($P490,Member_Tab,4,FALSE())),0,(VLOOKUP($P490,Member_Tab,4,FALSE()) * 0.2 * AO$7) * (IF(AND(AO$5 &gt;= VLOOKUP($P490,Member_Tab,6,FALSE()), AO$5 &lt;= VLOOKUP($P490,Member_Tab,7,FALSE())),1,0))  )</f>
        <v>0</v>
      </c>
      <c r="AP490" s="76" t="n">
        <f aca="false">IF(ISERROR(VLOOKUP($P490,Member_Tab,4,FALSE())),0,(VLOOKUP($P490,Member_Tab,4,FALSE()) * 0.2 * AP$7) * (IF(AND(AP$5 &gt;= VLOOKUP($P490,Member_Tab,6,FALSE()), AP$5 &lt;= VLOOKUP($P490,Member_Tab,7,FALSE())),1,0))  )</f>
        <v>0</v>
      </c>
      <c r="AQ490" s="76" t="n">
        <f aca="false">IF(ISERROR(VLOOKUP($P490,Member_Tab,4,FALSE())),0,(VLOOKUP($P490,Member_Tab,4,FALSE()) * 0.2 * AQ$7) * (IF(AND(AQ$5 &gt;= VLOOKUP($P490,Member_Tab,6,FALSE()), AQ$5 &lt;= VLOOKUP($P490,Member_Tab,7,FALSE())),1,0))  )</f>
        <v>0</v>
      </c>
      <c r="AR490" s="76" t="n">
        <f aca="false">IF(ISERROR(VLOOKUP($P490,Member_Tab,4,FALSE())),0,(VLOOKUP($P490,Member_Tab,4,FALSE()) * 0.2 * AR$7) * (IF(AND(AR$5 &gt;= VLOOKUP($P490,Member_Tab,6,FALSE()), AR$5 &lt;= VLOOKUP($P490,Member_Tab,7,FALSE())),1,0))  )</f>
        <v>0</v>
      </c>
      <c r="AS490" s="76" t="n">
        <f aca="false">IF(ISERROR(VLOOKUP($P490,Member_Tab,4,FALSE())),0,(VLOOKUP($P490,Member_Tab,4,FALSE()) * 0.2 * AS$7) * (IF(AND(AS$5 &gt;= VLOOKUP($P490,Member_Tab,6,FALSE()), AS$5 &lt;= VLOOKUP($P490,Member_Tab,7,FALSE())),1,0))  )</f>
        <v>0</v>
      </c>
      <c r="AT490" s="76" t="n">
        <f aca="false">IF(ISERROR(VLOOKUP($P490,Member_Tab,4,FALSE())),0,(VLOOKUP($P490,Member_Tab,4,FALSE()) * 0.2 * AT$7) * (IF(AND(AT$5 &gt;= VLOOKUP($P490,Member_Tab,6,FALSE()), AT$5 &lt;= VLOOKUP($P490,Member_Tab,7,FALSE())),1,0))  )</f>
        <v>0</v>
      </c>
      <c r="AU490" s="76" t="n">
        <f aca="false">IF(ISERROR(VLOOKUP($P490,Member_Tab,4,FALSE())),0,(VLOOKUP($P490,Member_Tab,4,FALSE()) * 0.2 * AU$7) * (IF(AND(AU$5 &gt;= VLOOKUP($P490,Member_Tab,6,FALSE()), AU$5 &lt;= VLOOKUP($P490,Member_Tab,7,FALSE())),1,0))  )</f>
        <v>0</v>
      </c>
      <c r="AV490" s="76" t="n">
        <f aca="false">IF(ISERROR(VLOOKUP($P490,Member_Tab,4,FALSE())),0,(VLOOKUP($P490,Member_Tab,4,FALSE()) * 0.2 * AV$7) * (IF(AND(AV$5 &gt;= VLOOKUP($P490,Member_Tab,6,FALSE()), AV$5 &lt;= VLOOKUP($P490,Member_Tab,7,FALSE())),1,0))  )</f>
        <v>0</v>
      </c>
      <c r="AW490" s="76" t="n">
        <f aca="false">IF(ISERROR(VLOOKUP($P490,Member_Tab,4,FALSE())),0,(VLOOKUP($P490,Member_Tab,4,FALSE()) * 0.2 * AW$7) * (IF(AND(AW$5 &gt;= VLOOKUP($P490,Member_Tab,6,FALSE()), AW$5 &lt;= VLOOKUP($P490,Member_Tab,7,FALSE())),1,0))  )</f>
        <v>0</v>
      </c>
      <c r="AX490" s="76" t="n">
        <f aca="false">IF(ISERROR(VLOOKUP($P490,Member_Tab,4,FALSE())),0,(VLOOKUP($P490,Member_Tab,4,FALSE()) * 0.2 * AX$7) * (IF(AND(AX$5 &gt;= VLOOKUP($P490,Member_Tab,6,FALSE()), AX$5 &lt;= VLOOKUP($P490,Member_Tab,7,FALSE())),1,0))  )</f>
        <v>0</v>
      </c>
      <c r="AY490" s="76" t="n">
        <f aca="false">IF(ISERROR(VLOOKUP($P490,Member_Tab,4,FALSE())),0,(VLOOKUP($P490,Member_Tab,4,FALSE()) * 0.2 * AY$7) * (IF(AND(AY$5 &gt;= VLOOKUP($P490,Member_Tab,6,FALSE()), AY$5 &lt;= VLOOKUP($P490,Member_Tab,7,FALSE())),1,0))  )</f>
        <v>0</v>
      </c>
      <c r="AZ490" s="76" t="n">
        <f aca="false">IF(ISERROR(VLOOKUP($P490,Member_Tab,4,FALSE())),0,(VLOOKUP($P490,Member_Tab,4,FALSE()) * 0.2 * AZ$7) * (IF(AND(AZ$5 &gt;= VLOOKUP($P490,Member_Tab,6,FALSE()), AZ$5 &lt;= VLOOKUP($P490,Member_Tab,7,FALSE())),1,0))  )</f>
        <v>0</v>
      </c>
      <c r="BA490" s="76" t="n">
        <f aca="false">IF(ISERROR(VLOOKUP($P490,Member_Tab,4,FALSE())),0,(VLOOKUP($P490,Member_Tab,4,FALSE()) * 0.2 * BA$7) * (IF(AND(BA$5 &gt;= VLOOKUP($P490,Member_Tab,6,FALSE()), BA$5 &lt;= VLOOKUP($P490,Member_Tab,7,FALSE())),1,0))  )</f>
        <v>0</v>
      </c>
      <c r="BB490" s="76" t="n">
        <f aca="false">IF(ISERROR(VLOOKUP($P490,Member_Tab,4,FALSE())),0,(VLOOKUP($P490,Member_Tab,4,FALSE()) * 0.2 * BB$7) * (IF(AND(BB$5 &gt;= VLOOKUP($P490,Member_Tab,6,FALSE()), BB$5 &lt;= VLOOKUP($P490,Member_Tab,7,FALSE())),1,0))  )</f>
        <v>0</v>
      </c>
    </row>
    <row r="491" s="173" customFormat="true" ht="15.75" hidden="false" customHeight="false" outlineLevel="0" collapsed="false">
      <c r="E491" s="40"/>
      <c r="K491" s="40"/>
      <c r="L491" s="40"/>
      <c r="M491" s="40"/>
      <c r="N491" s="40"/>
      <c r="P491" s="179" t="s">
        <v>231</v>
      </c>
      <c r="Q491" s="40"/>
      <c r="R491" s="180"/>
      <c r="S491" s="181" t="n">
        <f aca="false">SUM(S391:S490)</f>
        <v>134.4</v>
      </c>
      <c r="T491" s="181" t="n">
        <f aca="false">SUM(T391:T490)</f>
        <v>128</v>
      </c>
      <c r="U491" s="181" t="n">
        <f aca="false">SUM(U391:U490)</f>
        <v>147.2</v>
      </c>
      <c r="V491" s="181" t="n">
        <f aca="false">SUM(V391:V490)</f>
        <v>115.2</v>
      </c>
      <c r="W491" s="181" t="n">
        <f aca="false">SUM(W391:W490)</f>
        <v>134.4</v>
      </c>
      <c r="X491" s="181" t="n">
        <f aca="false">SUM(X391:X490)</f>
        <v>128</v>
      </c>
      <c r="Y491" s="181" t="n">
        <f aca="false">SUM(Y391:Y490)</f>
        <v>134.4</v>
      </c>
      <c r="Z491" s="181" t="n">
        <f aca="false">SUM(Z391:Z490)</f>
        <v>147.2</v>
      </c>
      <c r="AA491" s="181" t="n">
        <f aca="false">SUM(AA391:AA490)</f>
        <v>134.4</v>
      </c>
      <c r="AB491" s="181" t="n">
        <f aca="false">SUM(AB391:AB490)</f>
        <v>140.8</v>
      </c>
      <c r="AC491" s="181" t="n">
        <f aca="false">SUM(AC391:AC490)</f>
        <v>140.8</v>
      </c>
      <c r="AD491" s="181" t="n">
        <f aca="false">SUM(AD391:AD490)</f>
        <v>121.6</v>
      </c>
      <c r="AE491" s="181" t="n">
        <f aca="false">SUM(AE391:AE490)</f>
        <v>140.8</v>
      </c>
      <c r="AF491" s="181" t="n">
        <f aca="false">SUM(AF391:AF490)</f>
        <v>134.4</v>
      </c>
      <c r="AG491" s="181" t="n">
        <f aca="false">SUM(AG391:AG490)</f>
        <v>128</v>
      </c>
      <c r="AH491" s="181" t="n">
        <f aca="false">SUM(AH391:AH490)</f>
        <v>134.4</v>
      </c>
      <c r="AI491" s="181" t="n">
        <f aca="false">SUM(AI391:AI490)</f>
        <v>121.6</v>
      </c>
      <c r="AJ491" s="181" t="n">
        <f aca="false">SUM(AJ391:AJ490)</f>
        <v>128</v>
      </c>
      <c r="AK491" s="181" t="n">
        <f aca="false">SUM(AK391:AK490)</f>
        <v>147.2</v>
      </c>
      <c r="AL491" s="181" t="n">
        <f aca="false">SUM(AL391:AL490)</f>
        <v>134.4</v>
      </c>
      <c r="AM491" s="181" t="n">
        <f aca="false">SUM(AM391:AM490)</f>
        <v>134.4</v>
      </c>
      <c r="AN491" s="181" t="n">
        <f aca="false">SUM(AN391:AN490)</f>
        <v>140.8</v>
      </c>
      <c r="AO491" s="181" t="n">
        <f aca="false">SUM(AO391:AO490)</f>
        <v>128</v>
      </c>
      <c r="AP491" s="181" t="n">
        <f aca="false">SUM(AP391:AP490)</f>
        <v>121.6</v>
      </c>
      <c r="AQ491" s="181" t="n">
        <f aca="false">SUM(AQ391:AQ490)</f>
        <v>134.4</v>
      </c>
      <c r="AR491" s="181" t="n">
        <f aca="false">SUM(AR391:AR490)</f>
        <v>128</v>
      </c>
      <c r="AS491" s="181" t="n">
        <f aca="false">SUM(AS391:AS490)</f>
        <v>134.4</v>
      </c>
      <c r="AT491" s="181" t="n">
        <f aca="false">SUM(AT391:AT490)</f>
        <v>128</v>
      </c>
      <c r="AU491" s="181" t="n">
        <f aca="false">SUM(AU391:AU490)</f>
        <v>128</v>
      </c>
      <c r="AV491" s="181" t="n">
        <f aca="false">SUM(AV391:AV490)</f>
        <v>121.6</v>
      </c>
      <c r="AW491" s="181" t="n">
        <f aca="false">SUM(AW391:AW490)</f>
        <v>147.2</v>
      </c>
      <c r="AX491" s="181" t="n">
        <f aca="false">SUM(AX391:AX490)</f>
        <v>128</v>
      </c>
      <c r="AY491" s="181" t="n">
        <f aca="false">SUM(AY391:AY490)</f>
        <v>140.8</v>
      </c>
      <c r="AZ491" s="181" t="n">
        <f aca="false">SUM(AZ391:AZ490)</f>
        <v>140.8</v>
      </c>
      <c r="BA491" s="181" t="n">
        <f aca="false">SUM(BA391:BA490)</f>
        <v>128</v>
      </c>
      <c r="BB491" s="181" t="n">
        <f aca="false">SUM(BB391:BB490)</f>
        <v>128</v>
      </c>
    </row>
    <row r="492" s="173" customFormat="true" ht="15.75" hidden="false" customHeight="false" outlineLevel="0" collapsed="false">
      <c r="E492" s="40"/>
      <c r="K492" s="40"/>
      <c r="L492" s="40"/>
      <c r="M492" s="40"/>
      <c r="N492" s="40"/>
      <c r="P492" s="179" t="s">
        <v>232</v>
      </c>
      <c r="Q492" s="40"/>
      <c r="R492" s="182"/>
      <c r="S492" s="181" t="n">
        <f aca="false">S491*ProdFac</f>
        <v>107.52</v>
      </c>
      <c r="T492" s="181" t="n">
        <f aca="false">T491*ProdFac</f>
        <v>102.4</v>
      </c>
      <c r="U492" s="181" t="n">
        <f aca="false">U491*ProdFac</f>
        <v>117.76</v>
      </c>
      <c r="V492" s="181" t="n">
        <f aca="false">V491*ProdFac</f>
        <v>92.16</v>
      </c>
      <c r="W492" s="181" t="n">
        <f aca="false">W491*ProdFac</f>
        <v>107.52</v>
      </c>
      <c r="X492" s="181" t="n">
        <f aca="false">X491*ProdFac</f>
        <v>102.4</v>
      </c>
      <c r="Y492" s="181" t="n">
        <f aca="false">Y491*ProdFac</f>
        <v>107.52</v>
      </c>
      <c r="Z492" s="181" t="n">
        <f aca="false">Z491*ProdFac</f>
        <v>117.76</v>
      </c>
      <c r="AA492" s="181" t="n">
        <f aca="false">AA491*ProdFac</f>
        <v>107.52</v>
      </c>
      <c r="AB492" s="181" t="n">
        <f aca="false">AB491*ProdFac</f>
        <v>112.64</v>
      </c>
      <c r="AC492" s="181" t="n">
        <f aca="false">AC491*ProdFac</f>
        <v>112.64</v>
      </c>
      <c r="AD492" s="181" t="n">
        <f aca="false">AD491*ProdFac</f>
        <v>97.28</v>
      </c>
      <c r="AE492" s="181" t="n">
        <f aca="false">AE491*ProdFac</f>
        <v>112.64</v>
      </c>
      <c r="AF492" s="181" t="n">
        <f aca="false">AF491*ProdFac</f>
        <v>107.52</v>
      </c>
      <c r="AG492" s="181" t="n">
        <f aca="false">AG491*ProdFac</f>
        <v>102.4</v>
      </c>
      <c r="AH492" s="181" t="n">
        <f aca="false">AH491*ProdFac</f>
        <v>107.52</v>
      </c>
      <c r="AI492" s="181" t="n">
        <f aca="false">AI491*ProdFac</f>
        <v>97.28</v>
      </c>
      <c r="AJ492" s="181" t="n">
        <f aca="false">AJ491*ProdFac</f>
        <v>102.4</v>
      </c>
      <c r="AK492" s="181" t="n">
        <f aca="false">AK491*ProdFac</f>
        <v>117.76</v>
      </c>
      <c r="AL492" s="181" t="n">
        <f aca="false">AL491*ProdFac</f>
        <v>107.52</v>
      </c>
      <c r="AM492" s="181" t="n">
        <f aca="false">AM491*ProdFac</f>
        <v>107.52</v>
      </c>
      <c r="AN492" s="181" t="n">
        <f aca="false">AN491*ProdFac</f>
        <v>112.64</v>
      </c>
      <c r="AO492" s="181" t="n">
        <f aca="false">AO491*ProdFac</f>
        <v>102.4</v>
      </c>
      <c r="AP492" s="181" t="n">
        <f aca="false">AP491*ProdFac</f>
        <v>97.28</v>
      </c>
      <c r="AQ492" s="181" t="n">
        <f aca="false">AQ491*ProdFac</f>
        <v>107.52</v>
      </c>
      <c r="AR492" s="181" t="n">
        <f aca="false">AR491*ProdFac</f>
        <v>102.4</v>
      </c>
      <c r="AS492" s="181" t="n">
        <f aca="false">AS491*ProdFac</f>
        <v>107.52</v>
      </c>
      <c r="AT492" s="181" t="n">
        <f aca="false">AT491*ProdFac</f>
        <v>102.4</v>
      </c>
      <c r="AU492" s="181" t="n">
        <f aca="false">AU491*ProdFac</f>
        <v>102.4</v>
      </c>
      <c r="AV492" s="181" t="n">
        <f aca="false">AV491*ProdFac</f>
        <v>97.28</v>
      </c>
      <c r="AW492" s="181" t="n">
        <f aca="false">AW491*ProdFac</f>
        <v>117.76</v>
      </c>
      <c r="AX492" s="181" t="n">
        <f aca="false">AX491*ProdFac</f>
        <v>102.4</v>
      </c>
      <c r="AY492" s="181" t="n">
        <f aca="false">AY491*ProdFac</f>
        <v>112.64</v>
      </c>
      <c r="AZ492" s="181" t="n">
        <f aca="false">AZ491*ProdFac</f>
        <v>112.64</v>
      </c>
      <c r="BA492" s="181" t="n">
        <f aca="false">BA491*ProdFac</f>
        <v>102.4</v>
      </c>
      <c r="BB492" s="181" t="n">
        <f aca="false">BB491*ProdFac</f>
        <v>102.4</v>
      </c>
    </row>
    <row r="493" s="173" customFormat="true" ht="15.75" hidden="true" customHeight="false" outlineLevel="1" collapsed="false">
      <c r="E493" s="40"/>
      <c r="K493" s="40"/>
      <c r="L493" s="40"/>
      <c r="M493" s="40"/>
      <c r="N493" s="40"/>
      <c r="P493" s="183" t="str">
        <f aca="false">P391</f>
        <v>Lastname1, Firstname1 (ext.)</v>
      </c>
      <c r="Q493" s="40"/>
      <c r="R493" s="182"/>
      <c r="S493" s="184" t="n">
        <f aca="false">IF(ISERROR(VLOOKUP($P391,Member_Tab,5,FALSE())),0,VLOOKUP($P391,Member_Tab,5,FALSE())*IF(AND(S$5 &gt; VLOOKUP($P391,Member_Tab,6,FALSE()),S$5 &lt; VLOOKUP($P391,Member_Tab,7,FALSE())),1,0))</f>
        <v>0</v>
      </c>
      <c r="T493" s="184" t="n">
        <f aca="false">IF(ISERROR(VLOOKUP($P391,Member_Tab,5,FALSE())),0,VLOOKUP($P391,Member_Tab,5,FALSE())*IF(AND(T$5 &gt; VLOOKUP($P391,Member_Tab,6,FALSE()),T$5 &lt; VLOOKUP($P391,Member_Tab,7,FALSE())),1,0))</f>
        <v>0</v>
      </c>
      <c r="U493" s="184" t="n">
        <f aca="false">IF(ISERROR(VLOOKUP($P391,Member_Tab,5,FALSE())),0,VLOOKUP($P391,Member_Tab,5,FALSE())*IF(AND(U$5 &gt; VLOOKUP($P391,Member_Tab,6,FALSE()),U$5 &lt; VLOOKUP($P391,Member_Tab,7,FALSE())),1,0))</f>
        <v>0</v>
      </c>
      <c r="V493" s="184" t="n">
        <f aca="false">IF(ISERROR(VLOOKUP($P391,Member_Tab,5,FALSE())),0,VLOOKUP($P391,Member_Tab,5,FALSE())*IF(AND(V$5 &gt; VLOOKUP($P391,Member_Tab,6,FALSE()),V$5 &lt; VLOOKUP($P391,Member_Tab,7,FALSE())),1,0))</f>
        <v>0</v>
      </c>
      <c r="W493" s="184" t="n">
        <f aca="false">IF(ISERROR(VLOOKUP($P391,Member_Tab,5,FALSE())),0,VLOOKUP($P391,Member_Tab,5,FALSE())*IF(AND(W$5 &gt; VLOOKUP($P391,Member_Tab,6,FALSE()),W$5 &lt; VLOOKUP($P391,Member_Tab,7,FALSE())),1,0))</f>
        <v>0</v>
      </c>
      <c r="X493" s="184" t="n">
        <f aca="false">IF(ISERROR(VLOOKUP($P391,Member_Tab,5,FALSE())),0,VLOOKUP($P391,Member_Tab,5,FALSE())*IF(AND(X$5 &gt; VLOOKUP($P391,Member_Tab,6,FALSE()),X$5 &lt; VLOOKUP($P391,Member_Tab,7,FALSE())),1,0))</f>
        <v>0</v>
      </c>
      <c r="Y493" s="184" t="n">
        <f aca="false">IF(ISERROR(VLOOKUP($P391,Member_Tab,5,FALSE())),0,VLOOKUP($P391,Member_Tab,5,FALSE())*IF(AND(Y$5 &gt; VLOOKUP($P391,Member_Tab,6,FALSE()),Y$5 &lt; VLOOKUP($P391,Member_Tab,7,FALSE())),1,0))</f>
        <v>0</v>
      </c>
      <c r="Z493" s="184" t="n">
        <f aca="false">IF(ISERROR(VLOOKUP($P391,Member_Tab,5,FALSE())),0,VLOOKUP($P391,Member_Tab,5,FALSE())*IF(AND(Z$5 &gt; VLOOKUP($P391,Member_Tab,6,FALSE()),Z$5 &lt; VLOOKUP($P391,Member_Tab,7,FALSE())),1,0))</f>
        <v>0</v>
      </c>
      <c r="AA493" s="184" t="n">
        <f aca="false">IF(ISERROR(VLOOKUP($P391,Member_Tab,5,FALSE())),0,VLOOKUP($P391,Member_Tab,5,FALSE())*IF(AND(AA$5 &gt; VLOOKUP($P391,Member_Tab,6,FALSE()),AA$5 &lt; VLOOKUP($P391,Member_Tab,7,FALSE())),1,0))</f>
        <v>0</v>
      </c>
      <c r="AB493" s="184" t="n">
        <f aca="false">IF(ISERROR(VLOOKUP($P391,Member_Tab,5,FALSE())),0,VLOOKUP($P391,Member_Tab,5,FALSE())*IF(AND(AB$5 &gt; VLOOKUP($P391,Member_Tab,6,FALSE()),AB$5 &lt; VLOOKUP($P391,Member_Tab,7,FALSE())),1,0))</f>
        <v>0</v>
      </c>
      <c r="AC493" s="184" t="n">
        <f aca="false">IF(ISERROR(VLOOKUP($P391,Member_Tab,5,FALSE())),0,VLOOKUP($P391,Member_Tab,5,FALSE())*IF(AND(AC$5 &gt; VLOOKUP($P391,Member_Tab,6,FALSE()),AC$5 &lt; VLOOKUP($P391,Member_Tab,7,FALSE())),1,0))</f>
        <v>0</v>
      </c>
      <c r="AD493" s="184" t="n">
        <f aca="false">IF(ISERROR(VLOOKUP($P391,Member_Tab,5,FALSE())),0,VLOOKUP($P391,Member_Tab,5,FALSE())*IF(AND(AD$5 &gt; VLOOKUP($P391,Member_Tab,6,FALSE()),AD$5 &lt; VLOOKUP($P391,Member_Tab,7,FALSE())),1,0))</f>
        <v>0</v>
      </c>
      <c r="AE493" s="184" t="n">
        <f aca="false">IF(ISERROR(VLOOKUP($P391,Member_Tab,5,FALSE())),0,VLOOKUP($P391,Member_Tab,5,FALSE())*IF(AND(AE$5 &gt; VLOOKUP($P391,Member_Tab,6,FALSE()),AE$5 &lt; VLOOKUP($P391,Member_Tab,7,FALSE())),1,0))</f>
        <v>0</v>
      </c>
      <c r="AF493" s="184" t="n">
        <f aca="false">IF(ISERROR(VLOOKUP($P391,Member_Tab,5,FALSE())),0,VLOOKUP($P391,Member_Tab,5,FALSE())*IF(AND(AF$5 &gt; VLOOKUP($P391,Member_Tab,6,FALSE()),AF$5 &lt; VLOOKUP($P391,Member_Tab,7,FALSE())),1,0))</f>
        <v>0</v>
      </c>
      <c r="AG493" s="184" t="n">
        <f aca="false">IF(ISERROR(VLOOKUP($P391,Member_Tab,5,FALSE())),0,VLOOKUP($P391,Member_Tab,5,FALSE())*IF(AND(AG$5 &gt; VLOOKUP($P391,Member_Tab,6,FALSE()),AG$5 &lt; VLOOKUP($P391,Member_Tab,7,FALSE())),1,0))</f>
        <v>0</v>
      </c>
      <c r="AH493" s="184" t="n">
        <f aca="false">IF(ISERROR(VLOOKUP($P391,Member_Tab,5,FALSE())),0,VLOOKUP($P391,Member_Tab,5,FALSE())*IF(AND(AH$5 &gt; VLOOKUP($P391,Member_Tab,6,FALSE()),AH$5 &lt; VLOOKUP($P391,Member_Tab,7,FALSE())),1,0))</f>
        <v>0</v>
      </c>
      <c r="AI493" s="184" t="n">
        <f aca="false">IF(ISERROR(VLOOKUP($P391,Member_Tab,5,FALSE())),0,VLOOKUP($P391,Member_Tab,5,FALSE())*IF(AND(AI$5 &gt; VLOOKUP($P391,Member_Tab,6,FALSE()),AI$5 &lt; VLOOKUP($P391,Member_Tab,7,FALSE())),1,0))</f>
        <v>0</v>
      </c>
      <c r="AJ493" s="184" t="n">
        <f aca="false">IF(ISERROR(VLOOKUP($P391,Member_Tab,5,FALSE())),0,VLOOKUP($P391,Member_Tab,5,FALSE())*IF(AND(AJ$5 &gt; VLOOKUP($P391,Member_Tab,6,FALSE()),AJ$5 &lt; VLOOKUP($P391,Member_Tab,7,FALSE())),1,0))</f>
        <v>0</v>
      </c>
      <c r="AK493" s="184" t="n">
        <f aca="false">IF(ISERROR(VLOOKUP($P391,Member_Tab,5,FALSE())),0,VLOOKUP($P391,Member_Tab,5,FALSE())*IF(AND(AK$5 &gt; VLOOKUP($P391,Member_Tab,6,FALSE()),AK$5 &lt; VLOOKUP($P391,Member_Tab,7,FALSE())),1,0))</f>
        <v>0</v>
      </c>
      <c r="AL493" s="184" t="n">
        <f aca="false">IF(ISERROR(VLOOKUP($P391,Member_Tab,5,FALSE())),0,VLOOKUP($P391,Member_Tab,5,FALSE())*IF(AND(AL$5 &gt; VLOOKUP($P391,Member_Tab,6,FALSE()),AL$5 &lt; VLOOKUP($P391,Member_Tab,7,FALSE())),1,0))</f>
        <v>0</v>
      </c>
      <c r="AM493" s="184" t="n">
        <f aca="false">IF(ISERROR(VLOOKUP($P391,Member_Tab,5,FALSE())),0,VLOOKUP($P391,Member_Tab,5,FALSE())*IF(AND(AM$5 &gt; VLOOKUP($P391,Member_Tab,6,FALSE()),AM$5 &lt; VLOOKUP($P391,Member_Tab,7,FALSE())),1,0))</f>
        <v>0</v>
      </c>
      <c r="AN493" s="184" t="n">
        <f aca="false">IF(ISERROR(VLOOKUP($P391,Member_Tab,5,FALSE())),0,VLOOKUP($P391,Member_Tab,5,FALSE())*IF(AND(AN$5 &gt; VLOOKUP($P391,Member_Tab,6,FALSE()),AN$5 &lt; VLOOKUP($P391,Member_Tab,7,FALSE())),1,0))</f>
        <v>0</v>
      </c>
      <c r="AO493" s="184" t="n">
        <f aca="false">IF(ISERROR(VLOOKUP($P391,Member_Tab,5,FALSE())),0,VLOOKUP($P391,Member_Tab,5,FALSE())*IF(AND(AO$5 &gt; VLOOKUP($P391,Member_Tab,6,FALSE()),AO$5 &lt; VLOOKUP($P391,Member_Tab,7,FALSE())),1,0))</f>
        <v>0</v>
      </c>
      <c r="AP493" s="184" t="n">
        <f aca="false">IF(ISERROR(VLOOKUP($P391,Member_Tab,5,FALSE())),0,VLOOKUP($P391,Member_Tab,5,FALSE())*IF(AND(AP$5 &gt; VLOOKUP($P391,Member_Tab,6,FALSE()),AP$5 &lt; VLOOKUP($P391,Member_Tab,7,FALSE())),1,0))</f>
        <v>0</v>
      </c>
      <c r="AQ493" s="184" t="n">
        <f aca="false">IF(ISERROR(VLOOKUP($P391,Member_Tab,5,FALSE())),0,VLOOKUP($P391,Member_Tab,5,FALSE())*IF(AND(AQ$5 &gt; VLOOKUP($P391,Member_Tab,6,FALSE()),AQ$5 &lt; VLOOKUP($P391,Member_Tab,7,FALSE())),1,0))</f>
        <v>0</v>
      </c>
      <c r="AR493" s="184" t="n">
        <f aca="false">IF(ISERROR(VLOOKUP($P391,Member_Tab,5,FALSE())),0,VLOOKUP($P391,Member_Tab,5,FALSE())*IF(AND(AR$5 &gt; VLOOKUP($P391,Member_Tab,6,FALSE()),AR$5 &lt; VLOOKUP($P391,Member_Tab,7,FALSE())),1,0))</f>
        <v>0</v>
      </c>
      <c r="AS493" s="184" t="n">
        <f aca="false">IF(ISERROR(VLOOKUP($P391,Member_Tab,5,FALSE())),0,VLOOKUP($P391,Member_Tab,5,FALSE())*IF(AND(AS$5 &gt; VLOOKUP($P391,Member_Tab,6,FALSE()),AS$5 &lt; VLOOKUP($P391,Member_Tab,7,FALSE())),1,0))</f>
        <v>0</v>
      </c>
      <c r="AT493" s="184" t="n">
        <f aca="false">IF(ISERROR(VLOOKUP($P391,Member_Tab,5,FALSE())),0,VLOOKUP($P391,Member_Tab,5,FALSE())*IF(AND(AT$5 &gt; VLOOKUP($P391,Member_Tab,6,FALSE()),AT$5 &lt; VLOOKUP($P391,Member_Tab,7,FALSE())),1,0))</f>
        <v>0</v>
      </c>
      <c r="AU493" s="184" t="n">
        <f aca="false">IF(ISERROR(VLOOKUP($P391,Member_Tab,5,FALSE())),0,VLOOKUP($P391,Member_Tab,5,FALSE())*IF(AND(AU$5 &gt; VLOOKUP($P391,Member_Tab,6,FALSE()),AU$5 &lt; VLOOKUP($P391,Member_Tab,7,FALSE())),1,0))</f>
        <v>0</v>
      </c>
      <c r="AV493" s="184" t="n">
        <f aca="false">IF(ISERROR(VLOOKUP($P391,Member_Tab,5,FALSE())),0,VLOOKUP($P391,Member_Tab,5,FALSE())*IF(AND(AV$5 &gt; VLOOKUP($P391,Member_Tab,6,FALSE()),AV$5 &lt; VLOOKUP($P391,Member_Tab,7,FALSE())),1,0))</f>
        <v>0</v>
      </c>
      <c r="AW493" s="184" t="n">
        <f aca="false">IF(ISERROR(VLOOKUP($P391,Member_Tab,5,FALSE())),0,VLOOKUP($P391,Member_Tab,5,FALSE())*IF(AND(AW$5 &gt; VLOOKUP($P391,Member_Tab,6,FALSE()),AW$5 &lt; VLOOKUP($P391,Member_Tab,7,FALSE())),1,0))</f>
        <v>0</v>
      </c>
      <c r="AX493" s="184" t="n">
        <f aca="false">IF(ISERROR(VLOOKUP($P391,Member_Tab,5,FALSE())),0,VLOOKUP($P391,Member_Tab,5,FALSE())*IF(AND(AX$5 &gt; VLOOKUP($P391,Member_Tab,6,FALSE()),AX$5 &lt; VLOOKUP($P391,Member_Tab,7,FALSE())),1,0))</f>
        <v>0</v>
      </c>
      <c r="AY493" s="184" t="n">
        <f aca="false">IF(ISERROR(VLOOKUP($P391,Member_Tab,5,FALSE())),0,VLOOKUP($P391,Member_Tab,5,FALSE())*IF(AND(AY$5 &gt; VLOOKUP($P391,Member_Tab,6,FALSE()),AY$5 &lt; VLOOKUP($P391,Member_Tab,7,FALSE())),1,0))</f>
        <v>0</v>
      </c>
      <c r="AZ493" s="184" t="n">
        <f aca="false">IF(ISERROR(VLOOKUP($P391,Member_Tab,5,FALSE())),0,VLOOKUP($P391,Member_Tab,5,FALSE())*IF(AND(AZ$5 &gt; VLOOKUP($P391,Member_Tab,6,FALSE()),AZ$5 &lt; VLOOKUP($P391,Member_Tab,7,FALSE())),1,0))</f>
        <v>0</v>
      </c>
      <c r="BA493" s="184" t="n">
        <f aca="false">IF(ISERROR(VLOOKUP($P391,Member_Tab,5,FALSE())),0,VLOOKUP($P391,Member_Tab,5,FALSE())*IF(AND(BA$5 &gt; VLOOKUP($P391,Member_Tab,6,FALSE()),BA$5 &lt; VLOOKUP($P391,Member_Tab,7,FALSE())),1,0))</f>
        <v>0</v>
      </c>
      <c r="BB493" s="184" t="n">
        <f aca="false">IF(ISERROR(VLOOKUP($P391,Member_Tab,5,FALSE())),0,VLOOKUP($P391,Member_Tab,5,FALSE())*IF(AND(BB$5 &gt; VLOOKUP($P391,Member_Tab,6,FALSE()),BB$5 &lt; VLOOKUP($P391,Member_Tab,7,FALSE())),1,0))</f>
        <v>0</v>
      </c>
    </row>
    <row r="494" s="173" customFormat="true" ht="15.75" hidden="true" customHeight="false" outlineLevel="1" collapsed="false">
      <c r="E494" s="40"/>
      <c r="K494" s="40"/>
      <c r="L494" s="40"/>
      <c r="M494" s="40"/>
      <c r="N494" s="40"/>
      <c r="P494" s="183" t="str">
        <f aca="false">P392</f>
        <v>Lastname2, Firstname2</v>
      </c>
      <c r="Q494" s="40"/>
      <c r="R494" s="182"/>
      <c r="S494" s="184" t="n">
        <f aca="false">IF(ISERROR(VLOOKUP($P392,Member_Tab,5,FALSE())),0,VLOOKUP($P392,Member_Tab,5,FALSE())*IF(AND(S$5 &gt; VLOOKUP($P392,Member_Tab,6,FALSE()),S$5 &lt; VLOOKUP($P392,Member_Tab,7,FALSE())),1,0))</f>
        <v>0</v>
      </c>
      <c r="T494" s="184" t="n">
        <f aca="false">IF(ISERROR(VLOOKUP($P392,Member_Tab,5,FALSE())),0,VLOOKUP($P392,Member_Tab,5,FALSE())*IF(AND(T$5 &gt; VLOOKUP($P392,Member_Tab,6,FALSE()),T$5 &lt; VLOOKUP($P392,Member_Tab,7,FALSE())),1,0))</f>
        <v>0</v>
      </c>
      <c r="U494" s="184" t="n">
        <f aca="false">IF(ISERROR(VLOOKUP($P392,Member_Tab,5,FALSE())),0,VLOOKUP($P392,Member_Tab,5,FALSE())*IF(AND(U$5 &gt; VLOOKUP($P392,Member_Tab,6,FALSE()),U$5 &lt; VLOOKUP($P392,Member_Tab,7,FALSE())),1,0))</f>
        <v>0</v>
      </c>
      <c r="V494" s="184" t="n">
        <f aca="false">IF(ISERROR(VLOOKUP($P392,Member_Tab,5,FALSE())),0,VLOOKUP($P392,Member_Tab,5,FALSE())*IF(AND(V$5 &gt; VLOOKUP($P392,Member_Tab,6,FALSE()),V$5 &lt; VLOOKUP($P392,Member_Tab,7,FALSE())),1,0))</f>
        <v>0</v>
      </c>
      <c r="W494" s="184" t="n">
        <f aca="false">IF(ISERROR(VLOOKUP($P392,Member_Tab,5,FALSE())),0,VLOOKUP($P392,Member_Tab,5,FALSE())*IF(AND(W$5 &gt; VLOOKUP($P392,Member_Tab,6,FALSE()),W$5 &lt; VLOOKUP($P392,Member_Tab,7,FALSE())),1,0))</f>
        <v>0</v>
      </c>
      <c r="X494" s="184" t="n">
        <f aca="false">IF(ISERROR(VLOOKUP($P392,Member_Tab,5,FALSE())),0,VLOOKUP($P392,Member_Tab,5,FALSE())*IF(AND(X$5 &gt; VLOOKUP($P392,Member_Tab,6,FALSE()),X$5 &lt; VLOOKUP($P392,Member_Tab,7,FALSE())),1,0))</f>
        <v>0</v>
      </c>
      <c r="Y494" s="184" t="n">
        <f aca="false">IF(ISERROR(VLOOKUP($P392,Member_Tab,5,FALSE())),0,VLOOKUP($P392,Member_Tab,5,FALSE())*IF(AND(Y$5 &gt; VLOOKUP($P392,Member_Tab,6,FALSE()),Y$5 &lt; VLOOKUP($P392,Member_Tab,7,FALSE())),1,0))</f>
        <v>0</v>
      </c>
      <c r="Z494" s="184" t="n">
        <f aca="false">IF(ISERROR(VLOOKUP($P392,Member_Tab,5,FALSE())),0,VLOOKUP($P392,Member_Tab,5,FALSE())*IF(AND(Z$5 &gt; VLOOKUP($P392,Member_Tab,6,FALSE()),Z$5 &lt; VLOOKUP($P392,Member_Tab,7,FALSE())),1,0))</f>
        <v>0</v>
      </c>
      <c r="AA494" s="184" t="n">
        <f aca="false">IF(ISERROR(VLOOKUP($P392,Member_Tab,5,FALSE())),0,VLOOKUP($P392,Member_Tab,5,FALSE())*IF(AND(AA$5 &gt; VLOOKUP($P392,Member_Tab,6,FALSE()),AA$5 &lt; VLOOKUP($P392,Member_Tab,7,FALSE())),1,0))</f>
        <v>0</v>
      </c>
      <c r="AB494" s="184" t="n">
        <f aca="false">IF(ISERROR(VLOOKUP($P392,Member_Tab,5,FALSE())),0,VLOOKUP($P392,Member_Tab,5,FALSE())*IF(AND(AB$5 &gt; VLOOKUP($P392,Member_Tab,6,FALSE()),AB$5 &lt; VLOOKUP($P392,Member_Tab,7,FALSE())),1,0))</f>
        <v>0</v>
      </c>
      <c r="AC494" s="184" t="n">
        <f aca="false">IF(ISERROR(VLOOKUP($P392,Member_Tab,5,FALSE())),0,VLOOKUP($P392,Member_Tab,5,FALSE())*IF(AND(AC$5 &gt; VLOOKUP($P392,Member_Tab,6,FALSE()),AC$5 &lt; VLOOKUP($P392,Member_Tab,7,FALSE())),1,0))</f>
        <v>0</v>
      </c>
      <c r="AD494" s="184" t="n">
        <f aca="false">IF(ISERROR(VLOOKUP($P392,Member_Tab,5,FALSE())),0,VLOOKUP($P392,Member_Tab,5,FALSE())*IF(AND(AD$5 &gt; VLOOKUP($P392,Member_Tab,6,FALSE()),AD$5 &lt; VLOOKUP($P392,Member_Tab,7,FALSE())),1,0))</f>
        <v>0</v>
      </c>
      <c r="AE494" s="184" t="n">
        <f aca="false">IF(ISERROR(VLOOKUP($P392,Member_Tab,5,FALSE())),0,VLOOKUP($P392,Member_Tab,5,FALSE())*IF(AND(AE$5 &gt; VLOOKUP($P392,Member_Tab,6,FALSE()),AE$5 &lt; VLOOKUP($P392,Member_Tab,7,FALSE())),1,0))</f>
        <v>0</v>
      </c>
      <c r="AF494" s="184" t="n">
        <f aca="false">IF(ISERROR(VLOOKUP($P392,Member_Tab,5,FALSE())),0,VLOOKUP($P392,Member_Tab,5,FALSE())*IF(AND(AF$5 &gt; VLOOKUP($P392,Member_Tab,6,FALSE()),AF$5 &lt; VLOOKUP($P392,Member_Tab,7,FALSE())),1,0))</f>
        <v>0</v>
      </c>
      <c r="AG494" s="184" t="n">
        <f aca="false">IF(ISERROR(VLOOKUP($P392,Member_Tab,5,FALSE())),0,VLOOKUP($P392,Member_Tab,5,FALSE())*IF(AND(AG$5 &gt; VLOOKUP($P392,Member_Tab,6,FALSE()),AG$5 &lt; VLOOKUP($P392,Member_Tab,7,FALSE())),1,0))</f>
        <v>0</v>
      </c>
      <c r="AH494" s="184" t="n">
        <f aca="false">IF(ISERROR(VLOOKUP($P392,Member_Tab,5,FALSE())),0,VLOOKUP($P392,Member_Tab,5,FALSE())*IF(AND(AH$5 &gt; VLOOKUP($P392,Member_Tab,6,FALSE()),AH$5 &lt; VLOOKUP($P392,Member_Tab,7,FALSE())),1,0))</f>
        <v>0</v>
      </c>
      <c r="AI494" s="184" t="n">
        <f aca="false">IF(ISERROR(VLOOKUP($P392,Member_Tab,5,FALSE())),0,VLOOKUP($P392,Member_Tab,5,FALSE())*IF(AND(AI$5 &gt; VLOOKUP($P392,Member_Tab,6,FALSE()),AI$5 &lt; VLOOKUP($P392,Member_Tab,7,FALSE())),1,0))</f>
        <v>0</v>
      </c>
      <c r="AJ494" s="184" t="n">
        <f aca="false">IF(ISERROR(VLOOKUP($P392,Member_Tab,5,FALSE())),0,VLOOKUP($P392,Member_Tab,5,FALSE())*IF(AND(AJ$5 &gt; VLOOKUP($P392,Member_Tab,6,FALSE()),AJ$5 &lt; VLOOKUP($P392,Member_Tab,7,FALSE())),1,0))</f>
        <v>0</v>
      </c>
      <c r="AK494" s="184" t="n">
        <f aca="false">IF(ISERROR(VLOOKUP($P392,Member_Tab,5,FALSE())),0,VLOOKUP($P392,Member_Tab,5,FALSE())*IF(AND(AK$5 &gt; VLOOKUP($P392,Member_Tab,6,FALSE()),AK$5 &lt; VLOOKUP($P392,Member_Tab,7,FALSE())),1,0))</f>
        <v>0</v>
      </c>
      <c r="AL494" s="184" t="n">
        <f aca="false">IF(ISERROR(VLOOKUP($P392,Member_Tab,5,FALSE())),0,VLOOKUP($P392,Member_Tab,5,FALSE())*IF(AND(AL$5 &gt; VLOOKUP($P392,Member_Tab,6,FALSE()),AL$5 &lt; VLOOKUP($P392,Member_Tab,7,FALSE())),1,0))</f>
        <v>0</v>
      </c>
      <c r="AM494" s="184" t="n">
        <f aca="false">IF(ISERROR(VLOOKUP($P392,Member_Tab,5,FALSE())),0,VLOOKUP($P392,Member_Tab,5,FALSE())*IF(AND(AM$5 &gt; VLOOKUP($P392,Member_Tab,6,FALSE()),AM$5 &lt; VLOOKUP($P392,Member_Tab,7,FALSE())),1,0))</f>
        <v>0</v>
      </c>
      <c r="AN494" s="184" t="n">
        <f aca="false">IF(ISERROR(VLOOKUP($P392,Member_Tab,5,FALSE())),0,VLOOKUP($P392,Member_Tab,5,FALSE())*IF(AND(AN$5 &gt; VLOOKUP($P392,Member_Tab,6,FALSE()),AN$5 &lt; VLOOKUP($P392,Member_Tab,7,FALSE())),1,0))</f>
        <v>0</v>
      </c>
      <c r="AO494" s="184" t="n">
        <f aca="false">IF(ISERROR(VLOOKUP($P392,Member_Tab,5,FALSE())),0,VLOOKUP($P392,Member_Tab,5,FALSE())*IF(AND(AO$5 &gt; VLOOKUP($P392,Member_Tab,6,FALSE()),AO$5 &lt; VLOOKUP($P392,Member_Tab,7,FALSE())),1,0))</f>
        <v>0</v>
      </c>
      <c r="AP494" s="184" t="n">
        <f aca="false">IF(ISERROR(VLOOKUP($P392,Member_Tab,5,FALSE())),0,VLOOKUP($P392,Member_Tab,5,FALSE())*IF(AND(AP$5 &gt; VLOOKUP($P392,Member_Tab,6,FALSE()),AP$5 &lt; VLOOKUP($P392,Member_Tab,7,FALSE())),1,0))</f>
        <v>0</v>
      </c>
      <c r="AQ494" s="184" t="n">
        <f aca="false">IF(ISERROR(VLOOKUP($P392,Member_Tab,5,FALSE())),0,VLOOKUP($P392,Member_Tab,5,FALSE())*IF(AND(AQ$5 &gt; VLOOKUP($P392,Member_Tab,6,FALSE()),AQ$5 &lt; VLOOKUP($P392,Member_Tab,7,FALSE())),1,0))</f>
        <v>0</v>
      </c>
      <c r="AR494" s="184" t="n">
        <f aca="false">IF(ISERROR(VLOOKUP($P392,Member_Tab,5,FALSE())),0,VLOOKUP($P392,Member_Tab,5,FALSE())*IF(AND(AR$5 &gt; VLOOKUP($P392,Member_Tab,6,FALSE()),AR$5 &lt; VLOOKUP($P392,Member_Tab,7,FALSE())),1,0))</f>
        <v>0</v>
      </c>
      <c r="AS494" s="184" t="n">
        <f aca="false">IF(ISERROR(VLOOKUP($P392,Member_Tab,5,FALSE())),0,VLOOKUP($P392,Member_Tab,5,FALSE())*IF(AND(AS$5 &gt; VLOOKUP($P392,Member_Tab,6,FALSE()),AS$5 &lt; VLOOKUP($P392,Member_Tab,7,FALSE())),1,0))</f>
        <v>0</v>
      </c>
      <c r="AT494" s="184" t="n">
        <f aca="false">IF(ISERROR(VLOOKUP($P392,Member_Tab,5,FALSE())),0,VLOOKUP($P392,Member_Tab,5,FALSE())*IF(AND(AT$5 &gt; VLOOKUP($P392,Member_Tab,6,FALSE()),AT$5 &lt; VLOOKUP($P392,Member_Tab,7,FALSE())),1,0))</f>
        <v>0</v>
      </c>
      <c r="AU494" s="184" t="n">
        <f aca="false">IF(ISERROR(VLOOKUP($P392,Member_Tab,5,FALSE())),0,VLOOKUP($P392,Member_Tab,5,FALSE())*IF(AND(AU$5 &gt; VLOOKUP($P392,Member_Tab,6,FALSE()),AU$5 &lt; VLOOKUP($P392,Member_Tab,7,FALSE())),1,0))</f>
        <v>0</v>
      </c>
      <c r="AV494" s="184" t="n">
        <f aca="false">IF(ISERROR(VLOOKUP($P392,Member_Tab,5,FALSE())),0,VLOOKUP($P392,Member_Tab,5,FALSE())*IF(AND(AV$5 &gt; VLOOKUP($P392,Member_Tab,6,FALSE()),AV$5 &lt; VLOOKUP($P392,Member_Tab,7,FALSE())),1,0))</f>
        <v>0</v>
      </c>
      <c r="AW494" s="184" t="n">
        <f aca="false">IF(ISERROR(VLOOKUP($P392,Member_Tab,5,FALSE())),0,VLOOKUP($P392,Member_Tab,5,FALSE())*IF(AND(AW$5 &gt; VLOOKUP($P392,Member_Tab,6,FALSE()),AW$5 &lt; VLOOKUP($P392,Member_Tab,7,FALSE())),1,0))</f>
        <v>0</v>
      </c>
      <c r="AX494" s="184" t="n">
        <f aca="false">IF(ISERROR(VLOOKUP($P392,Member_Tab,5,FALSE())),0,VLOOKUP($P392,Member_Tab,5,FALSE())*IF(AND(AX$5 &gt; VLOOKUP($P392,Member_Tab,6,FALSE()),AX$5 &lt; VLOOKUP($P392,Member_Tab,7,FALSE())),1,0))</f>
        <v>0</v>
      </c>
      <c r="AY494" s="184" t="n">
        <f aca="false">IF(ISERROR(VLOOKUP($P392,Member_Tab,5,FALSE())),0,VLOOKUP($P392,Member_Tab,5,FALSE())*IF(AND(AY$5 &gt; VLOOKUP($P392,Member_Tab,6,FALSE()),AY$5 &lt; VLOOKUP($P392,Member_Tab,7,FALSE())),1,0))</f>
        <v>0</v>
      </c>
      <c r="AZ494" s="184" t="n">
        <f aca="false">IF(ISERROR(VLOOKUP($P392,Member_Tab,5,FALSE())),0,VLOOKUP($P392,Member_Tab,5,FALSE())*IF(AND(AZ$5 &gt; VLOOKUP($P392,Member_Tab,6,FALSE()),AZ$5 &lt; VLOOKUP($P392,Member_Tab,7,FALSE())),1,0))</f>
        <v>0</v>
      </c>
      <c r="BA494" s="184" t="n">
        <f aca="false">IF(ISERROR(VLOOKUP($P392,Member_Tab,5,FALSE())),0,VLOOKUP($P392,Member_Tab,5,FALSE())*IF(AND(BA$5 &gt; VLOOKUP($P392,Member_Tab,6,FALSE()),BA$5 &lt; VLOOKUP($P392,Member_Tab,7,FALSE())),1,0))</f>
        <v>0</v>
      </c>
      <c r="BB494" s="184" t="n">
        <f aca="false">IF(ISERROR(VLOOKUP($P392,Member_Tab,5,FALSE())),0,VLOOKUP($P392,Member_Tab,5,FALSE())*IF(AND(BB$5 &gt; VLOOKUP($P392,Member_Tab,6,FALSE()),BB$5 &lt; VLOOKUP($P392,Member_Tab,7,FALSE())),1,0))</f>
        <v>0</v>
      </c>
    </row>
    <row r="495" s="173" customFormat="true" ht="15.75" hidden="true" customHeight="false" outlineLevel="1" collapsed="false">
      <c r="E495" s="40"/>
      <c r="K495" s="40"/>
      <c r="L495" s="40"/>
      <c r="M495" s="40"/>
      <c r="N495" s="40"/>
      <c r="P495" s="183" t="str">
        <f aca="false">P393</f>
        <v> Lastname3, Firstname3</v>
      </c>
      <c r="Q495" s="40"/>
      <c r="R495" s="182"/>
      <c r="S495" s="184" t="n">
        <f aca="false">IF(ISERROR(VLOOKUP($P393,Member_Tab,5,FALSE())),0,VLOOKUP($P393,Member_Tab,5,FALSE())*IF(AND(S$5 &gt; VLOOKUP($P393,Member_Tab,6,FALSE()),S$5 &lt; VLOOKUP($P393,Member_Tab,7,FALSE())),1,0))</f>
        <v>0</v>
      </c>
      <c r="T495" s="184" t="n">
        <f aca="false">IF(ISERROR(VLOOKUP($P393,Member_Tab,5,FALSE())),0,VLOOKUP($P393,Member_Tab,5,FALSE())*IF(AND(T$5 &gt; VLOOKUP($P393,Member_Tab,6,FALSE()),T$5 &lt; VLOOKUP($P393,Member_Tab,7,FALSE())),1,0))</f>
        <v>0</v>
      </c>
      <c r="U495" s="184" t="n">
        <f aca="false">IF(ISERROR(VLOOKUP($P393,Member_Tab,5,FALSE())),0,VLOOKUP($P393,Member_Tab,5,FALSE())*IF(AND(U$5 &gt; VLOOKUP($P393,Member_Tab,6,FALSE()),U$5 &lt; VLOOKUP($P393,Member_Tab,7,FALSE())),1,0))</f>
        <v>0</v>
      </c>
      <c r="V495" s="184" t="n">
        <f aca="false">IF(ISERROR(VLOOKUP($P393,Member_Tab,5,FALSE())),0,VLOOKUP($P393,Member_Tab,5,FALSE())*IF(AND(V$5 &gt; VLOOKUP($P393,Member_Tab,6,FALSE()),V$5 &lt; VLOOKUP($P393,Member_Tab,7,FALSE())),1,0))</f>
        <v>0</v>
      </c>
      <c r="W495" s="184" t="n">
        <f aca="false">IF(ISERROR(VLOOKUP($P393,Member_Tab,5,FALSE())),0,VLOOKUP($P393,Member_Tab,5,FALSE())*IF(AND(W$5 &gt; VLOOKUP($P393,Member_Tab,6,FALSE()),W$5 &lt; VLOOKUP($P393,Member_Tab,7,FALSE())),1,0))</f>
        <v>0</v>
      </c>
      <c r="X495" s="184" t="n">
        <f aca="false">IF(ISERROR(VLOOKUP($P393,Member_Tab,5,FALSE())),0,VLOOKUP($P393,Member_Tab,5,FALSE())*IF(AND(X$5 &gt; VLOOKUP($P393,Member_Tab,6,FALSE()),X$5 &lt; VLOOKUP($P393,Member_Tab,7,FALSE())),1,0))</f>
        <v>0</v>
      </c>
      <c r="Y495" s="184" t="n">
        <f aca="false">IF(ISERROR(VLOOKUP($P393,Member_Tab,5,FALSE())),0,VLOOKUP($P393,Member_Tab,5,FALSE())*IF(AND(Y$5 &gt; VLOOKUP($P393,Member_Tab,6,FALSE()),Y$5 &lt; VLOOKUP($P393,Member_Tab,7,FALSE())),1,0))</f>
        <v>0</v>
      </c>
      <c r="Z495" s="184" t="n">
        <f aca="false">IF(ISERROR(VLOOKUP($P393,Member_Tab,5,FALSE())),0,VLOOKUP($P393,Member_Tab,5,FALSE())*IF(AND(Z$5 &gt; VLOOKUP($P393,Member_Tab,6,FALSE()),Z$5 &lt; VLOOKUP($P393,Member_Tab,7,FALSE())),1,0))</f>
        <v>0</v>
      </c>
      <c r="AA495" s="184" t="n">
        <f aca="false">IF(ISERROR(VLOOKUP($P393,Member_Tab,5,FALSE())),0,VLOOKUP($P393,Member_Tab,5,FALSE())*IF(AND(AA$5 &gt; VLOOKUP($P393,Member_Tab,6,FALSE()),AA$5 &lt; VLOOKUP($P393,Member_Tab,7,FALSE())),1,0))</f>
        <v>0</v>
      </c>
      <c r="AB495" s="184" t="n">
        <f aca="false">IF(ISERROR(VLOOKUP($P393,Member_Tab,5,FALSE())),0,VLOOKUP($P393,Member_Tab,5,FALSE())*IF(AND(AB$5 &gt; VLOOKUP($P393,Member_Tab,6,FALSE()),AB$5 &lt; VLOOKUP($P393,Member_Tab,7,FALSE())),1,0))</f>
        <v>0</v>
      </c>
      <c r="AC495" s="184" t="n">
        <f aca="false">IF(ISERROR(VLOOKUP($P393,Member_Tab,5,FALSE())),0,VLOOKUP($P393,Member_Tab,5,FALSE())*IF(AND(AC$5 &gt; VLOOKUP($P393,Member_Tab,6,FALSE()),AC$5 &lt; VLOOKUP($P393,Member_Tab,7,FALSE())),1,0))</f>
        <v>0</v>
      </c>
      <c r="AD495" s="184" t="n">
        <f aca="false">IF(ISERROR(VLOOKUP($P393,Member_Tab,5,FALSE())),0,VLOOKUP($P393,Member_Tab,5,FALSE())*IF(AND(AD$5 &gt; VLOOKUP($P393,Member_Tab,6,FALSE()),AD$5 &lt; VLOOKUP($P393,Member_Tab,7,FALSE())),1,0))</f>
        <v>0</v>
      </c>
      <c r="AE495" s="184" t="n">
        <f aca="false">IF(ISERROR(VLOOKUP($P393,Member_Tab,5,FALSE())),0,VLOOKUP($P393,Member_Tab,5,FALSE())*IF(AND(AE$5 &gt; VLOOKUP($P393,Member_Tab,6,FALSE()),AE$5 &lt; VLOOKUP($P393,Member_Tab,7,FALSE())),1,0))</f>
        <v>0</v>
      </c>
      <c r="AF495" s="184" t="n">
        <f aca="false">IF(ISERROR(VLOOKUP($P393,Member_Tab,5,FALSE())),0,VLOOKUP($P393,Member_Tab,5,FALSE())*IF(AND(AF$5 &gt; VLOOKUP($P393,Member_Tab,6,FALSE()),AF$5 &lt; VLOOKUP($P393,Member_Tab,7,FALSE())),1,0))</f>
        <v>0</v>
      </c>
      <c r="AG495" s="184" t="n">
        <f aca="false">IF(ISERROR(VLOOKUP($P393,Member_Tab,5,FALSE())),0,VLOOKUP($P393,Member_Tab,5,FALSE())*IF(AND(AG$5 &gt; VLOOKUP($P393,Member_Tab,6,FALSE()),AG$5 &lt; VLOOKUP($P393,Member_Tab,7,FALSE())),1,0))</f>
        <v>0</v>
      </c>
      <c r="AH495" s="184" t="n">
        <f aca="false">IF(ISERROR(VLOOKUP($P393,Member_Tab,5,FALSE())),0,VLOOKUP($P393,Member_Tab,5,FALSE())*IF(AND(AH$5 &gt; VLOOKUP($P393,Member_Tab,6,FALSE()),AH$5 &lt; VLOOKUP($P393,Member_Tab,7,FALSE())),1,0))</f>
        <v>0</v>
      </c>
      <c r="AI495" s="184" t="n">
        <f aca="false">IF(ISERROR(VLOOKUP($P393,Member_Tab,5,FALSE())),0,VLOOKUP($P393,Member_Tab,5,FALSE())*IF(AND(AI$5 &gt; VLOOKUP($P393,Member_Tab,6,FALSE()),AI$5 &lt; VLOOKUP($P393,Member_Tab,7,FALSE())),1,0))</f>
        <v>0</v>
      </c>
      <c r="AJ495" s="184" t="n">
        <f aca="false">IF(ISERROR(VLOOKUP($P393,Member_Tab,5,FALSE())),0,VLOOKUP($P393,Member_Tab,5,FALSE())*IF(AND(AJ$5 &gt; VLOOKUP($P393,Member_Tab,6,FALSE()),AJ$5 &lt; VLOOKUP($P393,Member_Tab,7,FALSE())),1,0))</f>
        <v>0</v>
      </c>
      <c r="AK495" s="184" t="n">
        <f aca="false">IF(ISERROR(VLOOKUP($P393,Member_Tab,5,FALSE())),0,VLOOKUP($P393,Member_Tab,5,FALSE())*IF(AND(AK$5 &gt; VLOOKUP($P393,Member_Tab,6,FALSE()),AK$5 &lt; VLOOKUP($P393,Member_Tab,7,FALSE())),1,0))</f>
        <v>0</v>
      </c>
      <c r="AL495" s="184" t="n">
        <f aca="false">IF(ISERROR(VLOOKUP($P393,Member_Tab,5,FALSE())),0,VLOOKUP($P393,Member_Tab,5,FALSE())*IF(AND(AL$5 &gt; VLOOKUP($P393,Member_Tab,6,FALSE()),AL$5 &lt; VLOOKUP($P393,Member_Tab,7,FALSE())),1,0))</f>
        <v>0</v>
      </c>
      <c r="AM495" s="184" t="n">
        <f aca="false">IF(ISERROR(VLOOKUP($P393,Member_Tab,5,FALSE())),0,VLOOKUP($P393,Member_Tab,5,FALSE())*IF(AND(AM$5 &gt; VLOOKUP($P393,Member_Tab,6,FALSE()),AM$5 &lt; VLOOKUP($P393,Member_Tab,7,FALSE())),1,0))</f>
        <v>0</v>
      </c>
      <c r="AN495" s="184" t="n">
        <f aca="false">IF(ISERROR(VLOOKUP($P393,Member_Tab,5,FALSE())),0,VLOOKUP($P393,Member_Tab,5,FALSE())*IF(AND(AN$5 &gt; VLOOKUP($P393,Member_Tab,6,FALSE()),AN$5 &lt; VLOOKUP($P393,Member_Tab,7,FALSE())),1,0))</f>
        <v>0</v>
      </c>
      <c r="AO495" s="184" t="n">
        <f aca="false">IF(ISERROR(VLOOKUP($P393,Member_Tab,5,FALSE())),0,VLOOKUP($P393,Member_Tab,5,FALSE())*IF(AND(AO$5 &gt; VLOOKUP($P393,Member_Tab,6,FALSE()),AO$5 &lt; VLOOKUP($P393,Member_Tab,7,FALSE())),1,0))</f>
        <v>0</v>
      </c>
      <c r="AP495" s="184" t="n">
        <f aca="false">IF(ISERROR(VLOOKUP($P393,Member_Tab,5,FALSE())),0,VLOOKUP($P393,Member_Tab,5,FALSE())*IF(AND(AP$5 &gt; VLOOKUP($P393,Member_Tab,6,FALSE()),AP$5 &lt; VLOOKUP($P393,Member_Tab,7,FALSE())),1,0))</f>
        <v>0</v>
      </c>
      <c r="AQ495" s="184" t="n">
        <f aca="false">IF(ISERROR(VLOOKUP($P393,Member_Tab,5,FALSE())),0,VLOOKUP($P393,Member_Tab,5,FALSE())*IF(AND(AQ$5 &gt; VLOOKUP($P393,Member_Tab,6,FALSE()),AQ$5 &lt; VLOOKUP($P393,Member_Tab,7,FALSE())),1,0))</f>
        <v>0</v>
      </c>
      <c r="AR495" s="184" t="n">
        <f aca="false">IF(ISERROR(VLOOKUP($P393,Member_Tab,5,FALSE())),0,VLOOKUP($P393,Member_Tab,5,FALSE())*IF(AND(AR$5 &gt; VLOOKUP($P393,Member_Tab,6,FALSE()),AR$5 &lt; VLOOKUP($P393,Member_Tab,7,FALSE())),1,0))</f>
        <v>0</v>
      </c>
      <c r="AS495" s="184" t="n">
        <f aca="false">IF(ISERROR(VLOOKUP($P393,Member_Tab,5,FALSE())),0,VLOOKUP($P393,Member_Tab,5,FALSE())*IF(AND(AS$5 &gt; VLOOKUP($P393,Member_Tab,6,FALSE()),AS$5 &lt; VLOOKUP($P393,Member_Tab,7,FALSE())),1,0))</f>
        <v>0</v>
      </c>
      <c r="AT495" s="184" t="n">
        <f aca="false">IF(ISERROR(VLOOKUP($P393,Member_Tab,5,FALSE())),0,VLOOKUP($P393,Member_Tab,5,FALSE())*IF(AND(AT$5 &gt; VLOOKUP($P393,Member_Tab,6,FALSE()),AT$5 &lt; VLOOKUP($P393,Member_Tab,7,FALSE())),1,0))</f>
        <v>0</v>
      </c>
      <c r="AU495" s="184" t="n">
        <f aca="false">IF(ISERROR(VLOOKUP($P393,Member_Tab,5,FALSE())),0,VLOOKUP($P393,Member_Tab,5,FALSE())*IF(AND(AU$5 &gt; VLOOKUP($P393,Member_Tab,6,FALSE()),AU$5 &lt; VLOOKUP($P393,Member_Tab,7,FALSE())),1,0))</f>
        <v>0</v>
      </c>
      <c r="AV495" s="184" t="n">
        <f aca="false">IF(ISERROR(VLOOKUP($P393,Member_Tab,5,FALSE())),0,VLOOKUP($P393,Member_Tab,5,FALSE())*IF(AND(AV$5 &gt; VLOOKUP($P393,Member_Tab,6,FALSE()),AV$5 &lt; VLOOKUP($P393,Member_Tab,7,FALSE())),1,0))</f>
        <v>0</v>
      </c>
      <c r="AW495" s="184" t="n">
        <f aca="false">IF(ISERROR(VLOOKUP($P393,Member_Tab,5,FALSE())),0,VLOOKUP($P393,Member_Tab,5,FALSE())*IF(AND(AW$5 &gt; VLOOKUP($P393,Member_Tab,6,FALSE()),AW$5 &lt; VLOOKUP($P393,Member_Tab,7,FALSE())),1,0))</f>
        <v>0</v>
      </c>
      <c r="AX495" s="184" t="n">
        <f aca="false">IF(ISERROR(VLOOKUP($P393,Member_Tab,5,FALSE())),0,VLOOKUP($P393,Member_Tab,5,FALSE())*IF(AND(AX$5 &gt; VLOOKUP($P393,Member_Tab,6,FALSE()),AX$5 &lt; VLOOKUP($P393,Member_Tab,7,FALSE())),1,0))</f>
        <v>0</v>
      </c>
      <c r="AY495" s="184" t="n">
        <f aca="false">IF(ISERROR(VLOOKUP($P393,Member_Tab,5,FALSE())),0,VLOOKUP($P393,Member_Tab,5,FALSE())*IF(AND(AY$5 &gt; VLOOKUP($P393,Member_Tab,6,FALSE()),AY$5 &lt; VLOOKUP($P393,Member_Tab,7,FALSE())),1,0))</f>
        <v>0</v>
      </c>
      <c r="AZ495" s="184" t="n">
        <f aca="false">IF(ISERROR(VLOOKUP($P393,Member_Tab,5,FALSE())),0,VLOOKUP($P393,Member_Tab,5,FALSE())*IF(AND(AZ$5 &gt; VLOOKUP($P393,Member_Tab,6,FALSE()),AZ$5 &lt; VLOOKUP($P393,Member_Tab,7,FALSE())),1,0))</f>
        <v>0</v>
      </c>
      <c r="BA495" s="184" t="n">
        <f aca="false">IF(ISERROR(VLOOKUP($P393,Member_Tab,5,FALSE())),0,VLOOKUP($P393,Member_Tab,5,FALSE())*IF(AND(BA$5 &gt; VLOOKUP($P393,Member_Tab,6,FALSE()),BA$5 &lt; VLOOKUP($P393,Member_Tab,7,FALSE())),1,0))</f>
        <v>0</v>
      </c>
      <c r="BB495" s="184" t="n">
        <f aca="false">IF(ISERROR(VLOOKUP($P393,Member_Tab,5,FALSE())),0,VLOOKUP($P393,Member_Tab,5,FALSE())*IF(AND(BB$5 &gt; VLOOKUP($P393,Member_Tab,6,FALSE()),BB$5 &lt; VLOOKUP($P393,Member_Tab,7,FALSE())),1,0))</f>
        <v>0</v>
      </c>
    </row>
    <row r="496" s="173" customFormat="true" ht="15.75" hidden="true" customHeight="false" outlineLevel="1" collapsed="false">
      <c r="E496" s="40"/>
      <c r="K496" s="40"/>
      <c r="L496" s="40"/>
      <c r="M496" s="40"/>
      <c r="N496" s="40"/>
      <c r="P496" s="183" t="str">
        <f aca="false">P394</f>
        <v>Lastname4, Firstname4</v>
      </c>
      <c r="Q496" s="40"/>
      <c r="R496" s="182"/>
      <c r="S496" s="184" t="n">
        <f aca="false">IF(ISERROR(VLOOKUP($P394,Member_Tab,5,FALSE())),0,VLOOKUP($P394,Member_Tab,5,FALSE())*IF(AND(S$5 &gt; VLOOKUP($P394,Member_Tab,6,FALSE()),S$5 &lt; VLOOKUP($P394,Member_Tab,7,FALSE())),1,0))</f>
        <v>0</v>
      </c>
      <c r="T496" s="184" t="n">
        <f aca="false">IF(ISERROR(VLOOKUP($P394,Member_Tab,5,FALSE())),0,VLOOKUP($P394,Member_Tab,5,FALSE())*IF(AND(T$5 &gt; VLOOKUP($P394,Member_Tab,6,FALSE()),T$5 &lt; VLOOKUP($P394,Member_Tab,7,FALSE())),1,0))</f>
        <v>0</v>
      </c>
      <c r="U496" s="184" t="n">
        <f aca="false">IF(ISERROR(VLOOKUP($P394,Member_Tab,5,FALSE())),0,VLOOKUP($P394,Member_Tab,5,FALSE())*IF(AND(U$5 &gt; VLOOKUP($P394,Member_Tab,6,FALSE()),U$5 &lt; VLOOKUP($P394,Member_Tab,7,FALSE())),1,0))</f>
        <v>0</v>
      </c>
      <c r="V496" s="184" t="n">
        <f aca="false">IF(ISERROR(VLOOKUP($P394,Member_Tab,5,FALSE())),0,VLOOKUP($P394,Member_Tab,5,FALSE())*IF(AND(V$5 &gt; VLOOKUP($P394,Member_Tab,6,FALSE()),V$5 &lt; VLOOKUP($P394,Member_Tab,7,FALSE())),1,0))</f>
        <v>0</v>
      </c>
      <c r="W496" s="184" t="n">
        <f aca="false">IF(ISERROR(VLOOKUP($P394,Member_Tab,5,FALSE())),0,VLOOKUP($P394,Member_Tab,5,FALSE())*IF(AND(W$5 &gt; VLOOKUP($P394,Member_Tab,6,FALSE()),W$5 &lt; VLOOKUP($P394,Member_Tab,7,FALSE())),1,0))</f>
        <v>0</v>
      </c>
      <c r="X496" s="184" t="n">
        <f aca="false">IF(ISERROR(VLOOKUP($P394,Member_Tab,5,FALSE())),0,VLOOKUP($P394,Member_Tab,5,FALSE())*IF(AND(X$5 &gt; VLOOKUP($P394,Member_Tab,6,FALSE()),X$5 &lt; VLOOKUP($P394,Member_Tab,7,FALSE())),1,0))</f>
        <v>0</v>
      </c>
      <c r="Y496" s="184" t="n">
        <f aca="false">IF(ISERROR(VLOOKUP($P394,Member_Tab,5,FALSE())),0,VLOOKUP($P394,Member_Tab,5,FALSE())*IF(AND(Y$5 &gt; VLOOKUP($P394,Member_Tab,6,FALSE()),Y$5 &lt; VLOOKUP($P394,Member_Tab,7,FALSE())),1,0))</f>
        <v>0</v>
      </c>
      <c r="Z496" s="184" t="n">
        <f aca="false">IF(ISERROR(VLOOKUP($P394,Member_Tab,5,FALSE())),0,VLOOKUP($P394,Member_Tab,5,FALSE())*IF(AND(Z$5 &gt; VLOOKUP($P394,Member_Tab,6,FALSE()),Z$5 &lt; VLOOKUP($P394,Member_Tab,7,FALSE())),1,0))</f>
        <v>0</v>
      </c>
      <c r="AA496" s="184" t="n">
        <f aca="false">IF(ISERROR(VLOOKUP($P394,Member_Tab,5,FALSE())),0,VLOOKUP($P394,Member_Tab,5,FALSE())*IF(AND(AA$5 &gt; VLOOKUP($P394,Member_Tab,6,FALSE()),AA$5 &lt; VLOOKUP($P394,Member_Tab,7,FALSE())),1,0))</f>
        <v>0</v>
      </c>
      <c r="AB496" s="184" t="n">
        <f aca="false">IF(ISERROR(VLOOKUP($P394,Member_Tab,5,FALSE())),0,VLOOKUP($P394,Member_Tab,5,FALSE())*IF(AND(AB$5 &gt; VLOOKUP($P394,Member_Tab,6,FALSE()),AB$5 &lt; VLOOKUP($P394,Member_Tab,7,FALSE())),1,0))</f>
        <v>0</v>
      </c>
      <c r="AC496" s="184" t="n">
        <f aca="false">IF(ISERROR(VLOOKUP($P394,Member_Tab,5,FALSE())),0,VLOOKUP($P394,Member_Tab,5,FALSE())*IF(AND(AC$5 &gt; VLOOKUP($P394,Member_Tab,6,FALSE()),AC$5 &lt; VLOOKUP($P394,Member_Tab,7,FALSE())),1,0))</f>
        <v>0</v>
      </c>
      <c r="AD496" s="184" t="n">
        <f aca="false">IF(ISERROR(VLOOKUP($P394,Member_Tab,5,FALSE())),0,VLOOKUP($P394,Member_Tab,5,FALSE())*IF(AND(AD$5 &gt; VLOOKUP($P394,Member_Tab,6,FALSE()),AD$5 &lt; VLOOKUP($P394,Member_Tab,7,FALSE())),1,0))</f>
        <v>0</v>
      </c>
      <c r="AE496" s="184" t="n">
        <f aca="false">IF(ISERROR(VLOOKUP($P394,Member_Tab,5,FALSE())),0,VLOOKUP($P394,Member_Tab,5,FALSE())*IF(AND(AE$5 &gt; VLOOKUP($P394,Member_Tab,6,FALSE()),AE$5 &lt; VLOOKUP($P394,Member_Tab,7,FALSE())),1,0))</f>
        <v>0</v>
      </c>
      <c r="AF496" s="184" t="n">
        <f aca="false">IF(ISERROR(VLOOKUP($P394,Member_Tab,5,FALSE())),0,VLOOKUP($P394,Member_Tab,5,FALSE())*IF(AND(AF$5 &gt; VLOOKUP($P394,Member_Tab,6,FALSE()),AF$5 &lt; VLOOKUP($P394,Member_Tab,7,FALSE())),1,0))</f>
        <v>0</v>
      </c>
      <c r="AG496" s="184" t="n">
        <f aca="false">IF(ISERROR(VLOOKUP($P394,Member_Tab,5,FALSE())),0,VLOOKUP($P394,Member_Tab,5,FALSE())*IF(AND(AG$5 &gt; VLOOKUP($P394,Member_Tab,6,FALSE()),AG$5 &lt; VLOOKUP($P394,Member_Tab,7,FALSE())),1,0))</f>
        <v>0</v>
      </c>
      <c r="AH496" s="184" t="n">
        <f aca="false">IF(ISERROR(VLOOKUP($P394,Member_Tab,5,FALSE())),0,VLOOKUP($P394,Member_Tab,5,FALSE())*IF(AND(AH$5 &gt; VLOOKUP($P394,Member_Tab,6,FALSE()),AH$5 &lt; VLOOKUP($P394,Member_Tab,7,FALSE())),1,0))</f>
        <v>0</v>
      </c>
      <c r="AI496" s="184" t="n">
        <f aca="false">IF(ISERROR(VLOOKUP($P394,Member_Tab,5,FALSE())),0,VLOOKUP($P394,Member_Tab,5,FALSE())*IF(AND(AI$5 &gt; VLOOKUP($P394,Member_Tab,6,FALSE()),AI$5 &lt; VLOOKUP($P394,Member_Tab,7,FALSE())),1,0))</f>
        <v>0</v>
      </c>
      <c r="AJ496" s="184" t="n">
        <f aca="false">IF(ISERROR(VLOOKUP($P394,Member_Tab,5,FALSE())),0,VLOOKUP($P394,Member_Tab,5,FALSE())*IF(AND(AJ$5 &gt; VLOOKUP($P394,Member_Tab,6,FALSE()),AJ$5 &lt; VLOOKUP($P394,Member_Tab,7,FALSE())),1,0))</f>
        <v>0</v>
      </c>
      <c r="AK496" s="184" t="n">
        <f aca="false">IF(ISERROR(VLOOKUP($P394,Member_Tab,5,FALSE())),0,VLOOKUP($P394,Member_Tab,5,FALSE())*IF(AND(AK$5 &gt; VLOOKUP($P394,Member_Tab,6,FALSE()),AK$5 &lt; VLOOKUP($P394,Member_Tab,7,FALSE())),1,0))</f>
        <v>0</v>
      </c>
      <c r="AL496" s="184" t="n">
        <f aca="false">IF(ISERROR(VLOOKUP($P394,Member_Tab,5,FALSE())),0,VLOOKUP($P394,Member_Tab,5,FALSE())*IF(AND(AL$5 &gt; VLOOKUP($P394,Member_Tab,6,FALSE()),AL$5 &lt; VLOOKUP($P394,Member_Tab,7,FALSE())),1,0))</f>
        <v>0</v>
      </c>
      <c r="AM496" s="184" t="n">
        <f aca="false">IF(ISERROR(VLOOKUP($P394,Member_Tab,5,FALSE())),0,VLOOKUP($P394,Member_Tab,5,FALSE())*IF(AND(AM$5 &gt; VLOOKUP($P394,Member_Tab,6,FALSE()),AM$5 &lt; VLOOKUP($P394,Member_Tab,7,FALSE())),1,0))</f>
        <v>0</v>
      </c>
      <c r="AN496" s="184" t="n">
        <f aca="false">IF(ISERROR(VLOOKUP($P394,Member_Tab,5,FALSE())),0,VLOOKUP($P394,Member_Tab,5,FALSE())*IF(AND(AN$5 &gt; VLOOKUP($P394,Member_Tab,6,FALSE()),AN$5 &lt; VLOOKUP($P394,Member_Tab,7,FALSE())),1,0))</f>
        <v>0</v>
      </c>
      <c r="AO496" s="184" t="n">
        <f aca="false">IF(ISERROR(VLOOKUP($P394,Member_Tab,5,FALSE())),0,VLOOKUP($P394,Member_Tab,5,FALSE())*IF(AND(AO$5 &gt; VLOOKUP($P394,Member_Tab,6,FALSE()),AO$5 &lt; VLOOKUP($P394,Member_Tab,7,FALSE())),1,0))</f>
        <v>0</v>
      </c>
      <c r="AP496" s="184" t="n">
        <f aca="false">IF(ISERROR(VLOOKUP($P394,Member_Tab,5,FALSE())),0,VLOOKUP($P394,Member_Tab,5,FALSE())*IF(AND(AP$5 &gt; VLOOKUP($P394,Member_Tab,6,FALSE()),AP$5 &lt; VLOOKUP($P394,Member_Tab,7,FALSE())),1,0))</f>
        <v>0</v>
      </c>
      <c r="AQ496" s="184" t="n">
        <f aca="false">IF(ISERROR(VLOOKUP($P394,Member_Tab,5,FALSE())),0,VLOOKUP($P394,Member_Tab,5,FALSE())*IF(AND(AQ$5 &gt; VLOOKUP($P394,Member_Tab,6,FALSE()),AQ$5 &lt; VLOOKUP($P394,Member_Tab,7,FALSE())),1,0))</f>
        <v>0</v>
      </c>
      <c r="AR496" s="184" t="n">
        <f aca="false">IF(ISERROR(VLOOKUP($P394,Member_Tab,5,FALSE())),0,VLOOKUP($P394,Member_Tab,5,FALSE())*IF(AND(AR$5 &gt; VLOOKUP($P394,Member_Tab,6,FALSE()),AR$5 &lt; VLOOKUP($P394,Member_Tab,7,FALSE())),1,0))</f>
        <v>0</v>
      </c>
      <c r="AS496" s="184" t="n">
        <f aca="false">IF(ISERROR(VLOOKUP($P394,Member_Tab,5,FALSE())),0,VLOOKUP($P394,Member_Tab,5,FALSE())*IF(AND(AS$5 &gt; VLOOKUP($P394,Member_Tab,6,FALSE()),AS$5 &lt; VLOOKUP($P394,Member_Tab,7,FALSE())),1,0))</f>
        <v>0</v>
      </c>
      <c r="AT496" s="184" t="n">
        <f aca="false">IF(ISERROR(VLOOKUP($P394,Member_Tab,5,FALSE())),0,VLOOKUP($P394,Member_Tab,5,FALSE())*IF(AND(AT$5 &gt; VLOOKUP($P394,Member_Tab,6,FALSE()),AT$5 &lt; VLOOKUP($P394,Member_Tab,7,FALSE())),1,0))</f>
        <v>0</v>
      </c>
      <c r="AU496" s="184" t="n">
        <f aca="false">IF(ISERROR(VLOOKUP($P394,Member_Tab,5,FALSE())),0,VLOOKUP($P394,Member_Tab,5,FALSE())*IF(AND(AU$5 &gt; VLOOKUP($P394,Member_Tab,6,FALSE()),AU$5 &lt; VLOOKUP($P394,Member_Tab,7,FALSE())),1,0))</f>
        <v>0</v>
      </c>
      <c r="AV496" s="184" t="n">
        <f aca="false">IF(ISERROR(VLOOKUP($P394,Member_Tab,5,FALSE())),0,VLOOKUP($P394,Member_Tab,5,FALSE())*IF(AND(AV$5 &gt; VLOOKUP($P394,Member_Tab,6,FALSE()),AV$5 &lt; VLOOKUP($P394,Member_Tab,7,FALSE())),1,0))</f>
        <v>0</v>
      </c>
      <c r="AW496" s="184" t="n">
        <f aca="false">IF(ISERROR(VLOOKUP($P394,Member_Tab,5,FALSE())),0,VLOOKUP($P394,Member_Tab,5,FALSE())*IF(AND(AW$5 &gt; VLOOKUP($P394,Member_Tab,6,FALSE()),AW$5 &lt; VLOOKUP($P394,Member_Tab,7,FALSE())),1,0))</f>
        <v>0</v>
      </c>
      <c r="AX496" s="184" t="n">
        <f aca="false">IF(ISERROR(VLOOKUP($P394,Member_Tab,5,FALSE())),0,VLOOKUP($P394,Member_Tab,5,FALSE())*IF(AND(AX$5 &gt; VLOOKUP($P394,Member_Tab,6,FALSE()),AX$5 &lt; VLOOKUP($P394,Member_Tab,7,FALSE())),1,0))</f>
        <v>0</v>
      </c>
      <c r="AY496" s="184" t="n">
        <f aca="false">IF(ISERROR(VLOOKUP($P394,Member_Tab,5,FALSE())),0,VLOOKUP($P394,Member_Tab,5,FALSE())*IF(AND(AY$5 &gt; VLOOKUP($P394,Member_Tab,6,FALSE()),AY$5 &lt; VLOOKUP($P394,Member_Tab,7,FALSE())),1,0))</f>
        <v>0</v>
      </c>
      <c r="AZ496" s="184" t="n">
        <f aca="false">IF(ISERROR(VLOOKUP($P394,Member_Tab,5,FALSE())),0,VLOOKUP($P394,Member_Tab,5,FALSE())*IF(AND(AZ$5 &gt; VLOOKUP($P394,Member_Tab,6,FALSE()),AZ$5 &lt; VLOOKUP($P394,Member_Tab,7,FALSE())),1,0))</f>
        <v>0</v>
      </c>
      <c r="BA496" s="184" t="n">
        <f aca="false">IF(ISERROR(VLOOKUP($P394,Member_Tab,5,FALSE())),0,VLOOKUP($P394,Member_Tab,5,FALSE())*IF(AND(BA$5 &gt; VLOOKUP($P394,Member_Tab,6,FALSE()),BA$5 &lt; VLOOKUP($P394,Member_Tab,7,FALSE())),1,0))</f>
        <v>0</v>
      </c>
      <c r="BB496" s="184" t="n">
        <f aca="false">IF(ISERROR(VLOOKUP($P394,Member_Tab,5,FALSE())),0,VLOOKUP($P394,Member_Tab,5,FALSE())*IF(AND(BB$5 &gt; VLOOKUP($P394,Member_Tab,6,FALSE()),BB$5 &lt; VLOOKUP($P394,Member_Tab,7,FALSE())),1,0))</f>
        <v>0</v>
      </c>
    </row>
    <row r="497" s="173" customFormat="true" ht="15.75" hidden="true" customHeight="false" outlineLevel="1" collapsed="false">
      <c r="E497" s="40"/>
      <c r="K497" s="40"/>
      <c r="L497" s="40"/>
      <c r="M497" s="40"/>
      <c r="N497" s="40"/>
      <c r="P497" s="183" t="str">
        <f aca="false">P395</f>
        <v>Lastname5, Firstname5</v>
      </c>
      <c r="Q497" s="40"/>
      <c r="R497" s="182"/>
      <c r="S497" s="184" t="n">
        <f aca="false">IF(ISERROR(VLOOKUP($P395,Member_Tab,5,FALSE())),0,VLOOKUP($P395,Member_Tab,5,FALSE())*IF(AND(S$5 &gt; VLOOKUP($P395,Member_Tab,6,FALSE()),S$5 &lt; VLOOKUP($P395,Member_Tab,7,FALSE())),1,0))</f>
        <v>0</v>
      </c>
      <c r="T497" s="184" t="n">
        <f aca="false">IF(ISERROR(VLOOKUP($P395,Member_Tab,5,FALSE())),0,VLOOKUP($P395,Member_Tab,5,FALSE())*IF(AND(T$5 &gt; VLOOKUP($P395,Member_Tab,6,FALSE()),T$5 &lt; VLOOKUP($P395,Member_Tab,7,FALSE())),1,0))</f>
        <v>0</v>
      </c>
      <c r="U497" s="184" t="n">
        <f aca="false">IF(ISERROR(VLOOKUP($P395,Member_Tab,5,FALSE())),0,VLOOKUP($P395,Member_Tab,5,FALSE())*IF(AND(U$5 &gt; VLOOKUP($P395,Member_Tab,6,FALSE()),U$5 &lt; VLOOKUP($P395,Member_Tab,7,FALSE())),1,0))</f>
        <v>0</v>
      </c>
      <c r="V497" s="184" t="n">
        <f aca="false">IF(ISERROR(VLOOKUP($P395,Member_Tab,5,FALSE())),0,VLOOKUP($P395,Member_Tab,5,FALSE())*IF(AND(V$5 &gt; VLOOKUP($P395,Member_Tab,6,FALSE()),V$5 &lt; VLOOKUP($P395,Member_Tab,7,FALSE())),1,0))</f>
        <v>0</v>
      </c>
      <c r="W497" s="184" t="n">
        <f aca="false">IF(ISERROR(VLOOKUP($P395,Member_Tab,5,FALSE())),0,VLOOKUP($P395,Member_Tab,5,FALSE())*IF(AND(W$5 &gt; VLOOKUP($P395,Member_Tab,6,FALSE()),W$5 &lt; VLOOKUP($P395,Member_Tab,7,FALSE())),1,0))</f>
        <v>0</v>
      </c>
      <c r="X497" s="184" t="n">
        <f aca="false">IF(ISERROR(VLOOKUP($P395,Member_Tab,5,FALSE())),0,VLOOKUP($P395,Member_Tab,5,FALSE())*IF(AND(X$5 &gt; VLOOKUP($P395,Member_Tab,6,FALSE()),X$5 &lt; VLOOKUP($P395,Member_Tab,7,FALSE())),1,0))</f>
        <v>0</v>
      </c>
      <c r="Y497" s="184" t="n">
        <f aca="false">IF(ISERROR(VLOOKUP($P395,Member_Tab,5,FALSE())),0,VLOOKUP($P395,Member_Tab,5,FALSE())*IF(AND(Y$5 &gt; VLOOKUP($P395,Member_Tab,6,FALSE()),Y$5 &lt; VLOOKUP($P395,Member_Tab,7,FALSE())),1,0))</f>
        <v>0</v>
      </c>
      <c r="Z497" s="184" t="n">
        <f aca="false">IF(ISERROR(VLOOKUP($P395,Member_Tab,5,FALSE())),0,VLOOKUP($P395,Member_Tab,5,FALSE())*IF(AND(Z$5 &gt; VLOOKUP($P395,Member_Tab,6,FALSE()),Z$5 &lt; VLOOKUP($P395,Member_Tab,7,FALSE())),1,0))</f>
        <v>0</v>
      </c>
      <c r="AA497" s="184" t="n">
        <f aca="false">IF(ISERROR(VLOOKUP($P395,Member_Tab,5,FALSE())),0,VLOOKUP($P395,Member_Tab,5,FALSE())*IF(AND(AA$5 &gt; VLOOKUP($P395,Member_Tab,6,FALSE()),AA$5 &lt; VLOOKUP($P395,Member_Tab,7,FALSE())),1,0))</f>
        <v>0</v>
      </c>
      <c r="AB497" s="184" t="n">
        <f aca="false">IF(ISERROR(VLOOKUP($P395,Member_Tab,5,FALSE())),0,VLOOKUP($P395,Member_Tab,5,FALSE())*IF(AND(AB$5 &gt; VLOOKUP($P395,Member_Tab,6,FALSE()),AB$5 &lt; VLOOKUP($P395,Member_Tab,7,FALSE())),1,0))</f>
        <v>0</v>
      </c>
      <c r="AC497" s="184" t="n">
        <f aca="false">IF(ISERROR(VLOOKUP($P395,Member_Tab,5,FALSE())),0,VLOOKUP($P395,Member_Tab,5,FALSE())*IF(AND(AC$5 &gt; VLOOKUP($P395,Member_Tab,6,FALSE()),AC$5 &lt; VLOOKUP($P395,Member_Tab,7,FALSE())),1,0))</f>
        <v>0</v>
      </c>
      <c r="AD497" s="184" t="n">
        <f aca="false">IF(ISERROR(VLOOKUP($P395,Member_Tab,5,FALSE())),0,VLOOKUP($P395,Member_Tab,5,FALSE())*IF(AND(AD$5 &gt; VLOOKUP($P395,Member_Tab,6,FALSE()),AD$5 &lt; VLOOKUP($P395,Member_Tab,7,FALSE())),1,0))</f>
        <v>0</v>
      </c>
      <c r="AE497" s="184" t="n">
        <f aca="false">IF(ISERROR(VLOOKUP($P395,Member_Tab,5,FALSE())),0,VLOOKUP($P395,Member_Tab,5,FALSE())*IF(AND(AE$5 &gt; VLOOKUP($P395,Member_Tab,6,FALSE()),AE$5 &lt; VLOOKUP($P395,Member_Tab,7,FALSE())),1,0))</f>
        <v>0</v>
      </c>
      <c r="AF497" s="184" t="n">
        <f aca="false">IF(ISERROR(VLOOKUP($P395,Member_Tab,5,FALSE())),0,VLOOKUP($P395,Member_Tab,5,FALSE())*IF(AND(AF$5 &gt; VLOOKUP($P395,Member_Tab,6,FALSE()),AF$5 &lt; VLOOKUP($P395,Member_Tab,7,FALSE())),1,0))</f>
        <v>0</v>
      </c>
      <c r="AG497" s="184" t="n">
        <f aca="false">IF(ISERROR(VLOOKUP($P395,Member_Tab,5,FALSE())),0,VLOOKUP($P395,Member_Tab,5,FALSE())*IF(AND(AG$5 &gt; VLOOKUP($P395,Member_Tab,6,FALSE()),AG$5 &lt; VLOOKUP($P395,Member_Tab,7,FALSE())),1,0))</f>
        <v>0</v>
      </c>
      <c r="AH497" s="184" t="n">
        <f aca="false">IF(ISERROR(VLOOKUP($P395,Member_Tab,5,FALSE())),0,VLOOKUP($P395,Member_Tab,5,FALSE())*IF(AND(AH$5 &gt; VLOOKUP($P395,Member_Tab,6,FALSE()),AH$5 &lt; VLOOKUP($P395,Member_Tab,7,FALSE())),1,0))</f>
        <v>0</v>
      </c>
      <c r="AI497" s="184" t="n">
        <f aca="false">IF(ISERROR(VLOOKUP($P395,Member_Tab,5,FALSE())),0,VLOOKUP($P395,Member_Tab,5,FALSE())*IF(AND(AI$5 &gt; VLOOKUP($P395,Member_Tab,6,FALSE()),AI$5 &lt; VLOOKUP($P395,Member_Tab,7,FALSE())),1,0))</f>
        <v>0</v>
      </c>
      <c r="AJ497" s="184" t="n">
        <f aca="false">IF(ISERROR(VLOOKUP($P395,Member_Tab,5,FALSE())),0,VLOOKUP($P395,Member_Tab,5,FALSE())*IF(AND(AJ$5 &gt; VLOOKUP($P395,Member_Tab,6,FALSE()),AJ$5 &lt; VLOOKUP($P395,Member_Tab,7,FALSE())),1,0))</f>
        <v>0</v>
      </c>
      <c r="AK497" s="184" t="n">
        <f aca="false">IF(ISERROR(VLOOKUP($P395,Member_Tab,5,FALSE())),0,VLOOKUP($P395,Member_Tab,5,FALSE())*IF(AND(AK$5 &gt; VLOOKUP($P395,Member_Tab,6,FALSE()),AK$5 &lt; VLOOKUP($P395,Member_Tab,7,FALSE())),1,0))</f>
        <v>0</v>
      </c>
      <c r="AL497" s="184" t="n">
        <f aca="false">IF(ISERROR(VLOOKUP($P395,Member_Tab,5,FALSE())),0,VLOOKUP($P395,Member_Tab,5,FALSE())*IF(AND(AL$5 &gt; VLOOKUP($P395,Member_Tab,6,FALSE()),AL$5 &lt; VLOOKUP($P395,Member_Tab,7,FALSE())),1,0))</f>
        <v>0</v>
      </c>
      <c r="AM497" s="184" t="n">
        <f aca="false">IF(ISERROR(VLOOKUP($P395,Member_Tab,5,FALSE())),0,VLOOKUP($P395,Member_Tab,5,FALSE())*IF(AND(AM$5 &gt; VLOOKUP($P395,Member_Tab,6,FALSE()),AM$5 &lt; VLOOKUP($P395,Member_Tab,7,FALSE())),1,0))</f>
        <v>0</v>
      </c>
      <c r="AN497" s="184" t="n">
        <f aca="false">IF(ISERROR(VLOOKUP($P395,Member_Tab,5,FALSE())),0,VLOOKUP($P395,Member_Tab,5,FALSE())*IF(AND(AN$5 &gt; VLOOKUP($P395,Member_Tab,6,FALSE()),AN$5 &lt; VLOOKUP($P395,Member_Tab,7,FALSE())),1,0))</f>
        <v>0</v>
      </c>
      <c r="AO497" s="184" t="n">
        <f aca="false">IF(ISERROR(VLOOKUP($P395,Member_Tab,5,FALSE())),0,VLOOKUP($P395,Member_Tab,5,FALSE())*IF(AND(AO$5 &gt; VLOOKUP($P395,Member_Tab,6,FALSE()),AO$5 &lt; VLOOKUP($P395,Member_Tab,7,FALSE())),1,0))</f>
        <v>0</v>
      </c>
      <c r="AP497" s="184" t="n">
        <f aca="false">IF(ISERROR(VLOOKUP($P395,Member_Tab,5,FALSE())),0,VLOOKUP($P395,Member_Tab,5,FALSE())*IF(AND(AP$5 &gt; VLOOKUP($P395,Member_Tab,6,FALSE()),AP$5 &lt; VLOOKUP($P395,Member_Tab,7,FALSE())),1,0))</f>
        <v>0</v>
      </c>
      <c r="AQ497" s="184" t="n">
        <f aca="false">IF(ISERROR(VLOOKUP($P395,Member_Tab,5,FALSE())),0,VLOOKUP($P395,Member_Tab,5,FALSE())*IF(AND(AQ$5 &gt; VLOOKUP($P395,Member_Tab,6,FALSE()),AQ$5 &lt; VLOOKUP($P395,Member_Tab,7,FALSE())),1,0))</f>
        <v>0</v>
      </c>
      <c r="AR497" s="184" t="n">
        <f aca="false">IF(ISERROR(VLOOKUP($P395,Member_Tab,5,FALSE())),0,VLOOKUP($P395,Member_Tab,5,FALSE())*IF(AND(AR$5 &gt; VLOOKUP($P395,Member_Tab,6,FALSE()),AR$5 &lt; VLOOKUP($P395,Member_Tab,7,FALSE())),1,0))</f>
        <v>0</v>
      </c>
      <c r="AS497" s="184" t="n">
        <f aca="false">IF(ISERROR(VLOOKUP($P395,Member_Tab,5,FALSE())),0,VLOOKUP($P395,Member_Tab,5,FALSE())*IF(AND(AS$5 &gt; VLOOKUP($P395,Member_Tab,6,FALSE()),AS$5 &lt; VLOOKUP($P395,Member_Tab,7,FALSE())),1,0))</f>
        <v>0</v>
      </c>
      <c r="AT497" s="184" t="n">
        <f aca="false">IF(ISERROR(VLOOKUP($P395,Member_Tab,5,FALSE())),0,VLOOKUP($P395,Member_Tab,5,FALSE())*IF(AND(AT$5 &gt; VLOOKUP($P395,Member_Tab,6,FALSE()),AT$5 &lt; VLOOKUP($P395,Member_Tab,7,FALSE())),1,0))</f>
        <v>0</v>
      </c>
      <c r="AU497" s="184" t="n">
        <f aca="false">IF(ISERROR(VLOOKUP($P395,Member_Tab,5,FALSE())),0,VLOOKUP($P395,Member_Tab,5,FALSE())*IF(AND(AU$5 &gt; VLOOKUP($P395,Member_Tab,6,FALSE()),AU$5 &lt; VLOOKUP($P395,Member_Tab,7,FALSE())),1,0))</f>
        <v>0</v>
      </c>
      <c r="AV497" s="184" t="n">
        <f aca="false">IF(ISERROR(VLOOKUP($P395,Member_Tab,5,FALSE())),0,VLOOKUP($P395,Member_Tab,5,FALSE())*IF(AND(AV$5 &gt; VLOOKUP($P395,Member_Tab,6,FALSE()),AV$5 &lt; VLOOKUP($P395,Member_Tab,7,FALSE())),1,0))</f>
        <v>0</v>
      </c>
      <c r="AW497" s="184" t="n">
        <f aca="false">IF(ISERROR(VLOOKUP($P395,Member_Tab,5,FALSE())),0,VLOOKUP($P395,Member_Tab,5,FALSE())*IF(AND(AW$5 &gt; VLOOKUP($P395,Member_Tab,6,FALSE()),AW$5 &lt; VLOOKUP($P395,Member_Tab,7,FALSE())),1,0))</f>
        <v>0</v>
      </c>
      <c r="AX497" s="184" t="n">
        <f aca="false">IF(ISERROR(VLOOKUP($P395,Member_Tab,5,FALSE())),0,VLOOKUP($P395,Member_Tab,5,FALSE())*IF(AND(AX$5 &gt; VLOOKUP($P395,Member_Tab,6,FALSE()),AX$5 &lt; VLOOKUP($P395,Member_Tab,7,FALSE())),1,0))</f>
        <v>0</v>
      </c>
      <c r="AY497" s="184" t="n">
        <f aca="false">IF(ISERROR(VLOOKUP($P395,Member_Tab,5,FALSE())),0,VLOOKUP($P395,Member_Tab,5,FALSE())*IF(AND(AY$5 &gt; VLOOKUP($P395,Member_Tab,6,FALSE()),AY$5 &lt; VLOOKUP($P395,Member_Tab,7,FALSE())),1,0))</f>
        <v>0</v>
      </c>
      <c r="AZ497" s="184" t="n">
        <f aca="false">IF(ISERROR(VLOOKUP($P395,Member_Tab,5,FALSE())),0,VLOOKUP($P395,Member_Tab,5,FALSE())*IF(AND(AZ$5 &gt; VLOOKUP($P395,Member_Tab,6,FALSE()),AZ$5 &lt; VLOOKUP($P395,Member_Tab,7,FALSE())),1,0))</f>
        <v>0</v>
      </c>
      <c r="BA497" s="184" t="n">
        <f aca="false">IF(ISERROR(VLOOKUP($P395,Member_Tab,5,FALSE())),0,VLOOKUP($P395,Member_Tab,5,FALSE())*IF(AND(BA$5 &gt; VLOOKUP($P395,Member_Tab,6,FALSE()),BA$5 &lt; VLOOKUP($P395,Member_Tab,7,FALSE())),1,0))</f>
        <v>0</v>
      </c>
      <c r="BB497" s="184" t="n">
        <f aca="false">IF(ISERROR(VLOOKUP($P395,Member_Tab,5,FALSE())),0,VLOOKUP($P395,Member_Tab,5,FALSE())*IF(AND(BB$5 &gt; VLOOKUP($P395,Member_Tab,6,FALSE()),BB$5 &lt; VLOOKUP($P395,Member_Tab,7,FALSE())),1,0))</f>
        <v>0</v>
      </c>
    </row>
    <row r="498" s="173" customFormat="true" ht="15.75" hidden="true" customHeight="false" outlineLevel="1" collapsed="false">
      <c r="E498" s="40"/>
      <c r="K498" s="40"/>
      <c r="L498" s="40"/>
      <c r="M498" s="40"/>
      <c r="N498" s="40"/>
      <c r="P498" s="183" t="str">
        <f aca="false">P396</f>
        <v>Lastname6, Firstname6</v>
      </c>
      <c r="Q498" s="40"/>
      <c r="R498" s="182"/>
      <c r="S498" s="184" t="n">
        <f aca="false">IF(ISERROR(VLOOKUP($P396,Member_Tab,5,FALSE())),0,VLOOKUP($P396,Member_Tab,5,FALSE())*IF(AND(S$5 &gt; VLOOKUP($P396,Member_Tab,6,FALSE()),S$5 &lt; VLOOKUP($P396,Member_Tab,7,FALSE())),1,0))</f>
        <v>0</v>
      </c>
      <c r="T498" s="184" t="n">
        <f aca="false">IF(ISERROR(VLOOKUP($P396,Member_Tab,5,FALSE())),0,VLOOKUP($P396,Member_Tab,5,FALSE())*IF(AND(T$5 &gt; VLOOKUP($P396,Member_Tab,6,FALSE()),T$5 &lt; VLOOKUP($P396,Member_Tab,7,FALSE())),1,0))</f>
        <v>0</v>
      </c>
      <c r="U498" s="184" t="n">
        <f aca="false">IF(ISERROR(VLOOKUP($P396,Member_Tab,5,FALSE())),0,VLOOKUP($P396,Member_Tab,5,FALSE())*IF(AND(U$5 &gt; VLOOKUP($P396,Member_Tab,6,FALSE()),U$5 &lt; VLOOKUP($P396,Member_Tab,7,FALSE())),1,0))</f>
        <v>0</v>
      </c>
      <c r="V498" s="184" t="n">
        <f aca="false">IF(ISERROR(VLOOKUP($P396,Member_Tab,5,FALSE())),0,VLOOKUP($P396,Member_Tab,5,FALSE())*IF(AND(V$5 &gt; VLOOKUP($P396,Member_Tab,6,FALSE()),V$5 &lt; VLOOKUP($P396,Member_Tab,7,FALSE())),1,0))</f>
        <v>0</v>
      </c>
      <c r="W498" s="184" t="n">
        <f aca="false">IF(ISERROR(VLOOKUP($P396,Member_Tab,5,FALSE())),0,VLOOKUP($P396,Member_Tab,5,FALSE())*IF(AND(W$5 &gt; VLOOKUP($P396,Member_Tab,6,FALSE()),W$5 &lt; VLOOKUP($P396,Member_Tab,7,FALSE())),1,0))</f>
        <v>0</v>
      </c>
      <c r="X498" s="184" t="n">
        <f aca="false">IF(ISERROR(VLOOKUP($P396,Member_Tab,5,FALSE())),0,VLOOKUP($P396,Member_Tab,5,FALSE())*IF(AND(X$5 &gt; VLOOKUP($P396,Member_Tab,6,FALSE()),X$5 &lt; VLOOKUP($P396,Member_Tab,7,FALSE())),1,0))</f>
        <v>0</v>
      </c>
      <c r="Y498" s="184" t="n">
        <f aca="false">IF(ISERROR(VLOOKUP($P396,Member_Tab,5,FALSE())),0,VLOOKUP($P396,Member_Tab,5,FALSE())*IF(AND(Y$5 &gt; VLOOKUP($P396,Member_Tab,6,FALSE()),Y$5 &lt; VLOOKUP($P396,Member_Tab,7,FALSE())),1,0))</f>
        <v>0</v>
      </c>
      <c r="Z498" s="184" t="n">
        <f aca="false">IF(ISERROR(VLOOKUP($P396,Member_Tab,5,FALSE())),0,VLOOKUP($P396,Member_Tab,5,FALSE())*IF(AND(Z$5 &gt; VLOOKUP($P396,Member_Tab,6,FALSE()),Z$5 &lt; VLOOKUP($P396,Member_Tab,7,FALSE())),1,0))</f>
        <v>0</v>
      </c>
      <c r="AA498" s="184" t="n">
        <f aca="false">IF(ISERROR(VLOOKUP($P396,Member_Tab,5,FALSE())),0,VLOOKUP($P396,Member_Tab,5,FALSE())*IF(AND(AA$5 &gt; VLOOKUP($P396,Member_Tab,6,FALSE()),AA$5 &lt; VLOOKUP($P396,Member_Tab,7,FALSE())),1,0))</f>
        <v>0</v>
      </c>
      <c r="AB498" s="184" t="n">
        <f aca="false">IF(ISERROR(VLOOKUP($P396,Member_Tab,5,FALSE())),0,VLOOKUP($P396,Member_Tab,5,FALSE())*IF(AND(AB$5 &gt; VLOOKUP($P396,Member_Tab,6,FALSE()),AB$5 &lt; VLOOKUP($P396,Member_Tab,7,FALSE())),1,0))</f>
        <v>0</v>
      </c>
      <c r="AC498" s="184" t="n">
        <f aca="false">IF(ISERROR(VLOOKUP($P396,Member_Tab,5,FALSE())),0,VLOOKUP($P396,Member_Tab,5,FALSE())*IF(AND(AC$5 &gt; VLOOKUP($P396,Member_Tab,6,FALSE()),AC$5 &lt; VLOOKUP($P396,Member_Tab,7,FALSE())),1,0))</f>
        <v>0</v>
      </c>
      <c r="AD498" s="184" t="n">
        <f aca="false">IF(ISERROR(VLOOKUP($P396,Member_Tab,5,FALSE())),0,VLOOKUP($P396,Member_Tab,5,FALSE())*IF(AND(AD$5 &gt; VLOOKUP($P396,Member_Tab,6,FALSE()),AD$5 &lt; VLOOKUP($P396,Member_Tab,7,FALSE())),1,0))</f>
        <v>0</v>
      </c>
      <c r="AE498" s="184" t="n">
        <f aca="false">IF(ISERROR(VLOOKUP($P396,Member_Tab,5,FALSE())),0,VLOOKUP($P396,Member_Tab,5,FALSE())*IF(AND(AE$5 &gt; VLOOKUP($P396,Member_Tab,6,FALSE()),AE$5 &lt; VLOOKUP($P396,Member_Tab,7,FALSE())),1,0))</f>
        <v>0</v>
      </c>
      <c r="AF498" s="184" t="n">
        <f aca="false">IF(ISERROR(VLOOKUP($P396,Member_Tab,5,FALSE())),0,VLOOKUP($P396,Member_Tab,5,FALSE())*IF(AND(AF$5 &gt; VLOOKUP($P396,Member_Tab,6,FALSE()),AF$5 &lt; VLOOKUP($P396,Member_Tab,7,FALSE())),1,0))</f>
        <v>0</v>
      </c>
      <c r="AG498" s="184" t="n">
        <f aca="false">IF(ISERROR(VLOOKUP($P396,Member_Tab,5,FALSE())),0,VLOOKUP($P396,Member_Tab,5,FALSE())*IF(AND(AG$5 &gt; VLOOKUP($P396,Member_Tab,6,FALSE()),AG$5 &lt; VLOOKUP($P396,Member_Tab,7,FALSE())),1,0))</f>
        <v>0</v>
      </c>
      <c r="AH498" s="184" t="n">
        <f aca="false">IF(ISERROR(VLOOKUP($P396,Member_Tab,5,FALSE())),0,VLOOKUP($P396,Member_Tab,5,FALSE())*IF(AND(AH$5 &gt; VLOOKUP($P396,Member_Tab,6,FALSE()),AH$5 &lt; VLOOKUP($P396,Member_Tab,7,FALSE())),1,0))</f>
        <v>0</v>
      </c>
      <c r="AI498" s="184" t="n">
        <f aca="false">IF(ISERROR(VLOOKUP($P396,Member_Tab,5,FALSE())),0,VLOOKUP($P396,Member_Tab,5,FALSE())*IF(AND(AI$5 &gt; VLOOKUP($P396,Member_Tab,6,FALSE()),AI$5 &lt; VLOOKUP($P396,Member_Tab,7,FALSE())),1,0))</f>
        <v>0</v>
      </c>
      <c r="AJ498" s="184" t="n">
        <f aca="false">IF(ISERROR(VLOOKUP($P396,Member_Tab,5,FALSE())),0,VLOOKUP($P396,Member_Tab,5,FALSE())*IF(AND(AJ$5 &gt; VLOOKUP($P396,Member_Tab,6,FALSE()),AJ$5 &lt; VLOOKUP($P396,Member_Tab,7,FALSE())),1,0))</f>
        <v>0</v>
      </c>
      <c r="AK498" s="184" t="n">
        <f aca="false">IF(ISERROR(VLOOKUP($P396,Member_Tab,5,FALSE())),0,VLOOKUP($P396,Member_Tab,5,FALSE())*IF(AND(AK$5 &gt; VLOOKUP($P396,Member_Tab,6,FALSE()),AK$5 &lt; VLOOKUP($P396,Member_Tab,7,FALSE())),1,0))</f>
        <v>0</v>
      </c>
      <c r="AL498" s="184" t="n">
        <f aca="false">IF(ISERROR(VLOOKUP($P396,Member_Tab,5,FALSE())),0,VLOOKUP($P396,Member_Tab,5,FALSE())*IF(AND(AL$5 &gt; VLOOKUP($P396,Member_Tab,6,FALSE()),AL$5 &lt; VLOOKUP($P396,Member_Tab,7,FALSE())),1,0))</f>
        <v>0</v>
      </c>
      <c r="AM498" s="184" t="n">
        <f aca="false">IF(ISERROR(VLOOKUP($P396,Member_Tab,5,FALSE())),0,VLOOKUP($P396,Member_Tab,5,FALSE())*IF(AND(AM$5 &gt; VLOOKUP($P396,Member_Tab,6,FALSE()),AM$5 &lt; VLOOKUP($P396,Member_Tab,7,FALSE())),1,0))</f>
        <v>0</v>
      </c>
      <c r="AN498" s="184" t="n">
        <f aca="false">IF(ISERROR(VLOOKUP($P396,Member_Tab,5,FALSE())),0,VLOOKUP($P396,Member_Tab,5,FALSE())*IF(AND(AN$5 &gt; VLOOKUP($P396,Member_Tab,6,FALSE()),AN$5 &lt; VLOOKUP($P396,Member_Tab,7,FALSE())),1,0))</f>
        <v>0</v>
      </c>
      <c r="AO498" s="184" t="n">
        <f aca="false">IF(ISERROR(VLOOKUP($P396,Member_Tab,5,FALSE())),0,VLOOKUP($P396,Member_Tab,5,FALSE())*IF(AND(AO$5 &gt; VLOOKUP($P396,Member_Tab,6,FALSE()),AO$5 &lt; VLOOKUP($P396,Member_Tab,7,FALSE())),1,0))</f>
        <v>0</v>
      </c>
      <c r="AP498" s="184" t="n">
        <f aca="false">IF(ISERROR(VLOOKUP($P396,Member_Tab,5,FALSE())),0,VLOOKUP($P396,Member_Tab,5,FALSE())*IF(AND(AP$5 &gt; VLOOKUP($P396,Member_Tab,6,FALSE()),AP$5 &lt; VLOOKUP($P396,Member_Tab,7,FALSE())),1,0))</f>
        <v>0</v>
      </c>
      <c r="AQ498" s="184" t="n">
        <f aca="false">IF(ISERROR(VLOOKUP($P396,Member_Tab,5,FALSE())),0,VLOOKUP($P396,Member_Tab,5,FALSE())*IF(AND(AQ$5 &gt; VLOOKUP($P396,Member_Tab,6,FALSE()),AQ$5 &lt; VLOOKUP($P396,Member_Tab,7,FALSE())),1,0))</f>
        <v>0</v>
      </c>
      <c r="AR498" s="184" t="n">
        <f aca="false">IF(ISERROR(VLOOKUP($P396,Member_Tab,5,FALSE())),0,VLOOKUP($P396,Member_Tab,5,FALSE())*IF(AND(AR$5 &gt; VLOOKUP($P396,Member_Tab,6,FALSE()),AR$5 &lt; VLOOKUP($P396,Member_Tab,7,FALSE())),1,0))</f>
        <v>0</v>
      </c>
      <c r="AS498" s="184" t="n">
        <f aca="false">IF(ISERROR(VLOOKUP($P396,Member_Tab,5,FALSE())),0,VLOOKUP($P396,Member_Tab,5,FALSE())*IF(AND(AS$5 &gt; VLOOKUP($P396,Member_Tab,6,FALSE()),AS$5 &lt; VLOOKUP($P396,Member_Tab,7,FALSE())),1,0))</f>
        <v>0</v>
      </c>
      <c r="AT498" s="184" t="n">
        <f aca="false">IF(ISERROR(VLOOKUP($P396,Member_Tab,5,FALSE())),0,VLOOKUP($P396,Member_Tab,5,FALSE())*IF(AND(AT$5 &gt; VLOOKUP($P396,Member_Tab,6,FALSE()),AT$5 &lt; VLOOKUP($P396,Member_Tab,7,FALSE())),1,0))</f>
        <v>0</v>
      </c>
      <c r="AU498" s="184" t="n">
        <f aca="false">IF(ISERROR(VLOOKUP($P396,Member_Tab,5,FALSE())),0,VLOOKUP($P396,Member_Tab,5,FALSE())*IF(AND(AU$5 &gt; VLOOKUP($P396,Member_Tab,6,FALSE()),AU$5 &lt; VLOOKUP($P396,Member_Tab,7,FALSE())),1,0))</f>
        <v>0</v>
      </c>
      <c r="AV498" s="184" t="n">
        <f aca="false">IF(ISERROR(VLOOKUP($P396,Member_Tab,5,FALSE())),0,VLOOKUP($P396,Member_Tab,5,FALSE())*IF(AND(AV$5 &gt; VLOOKUP($P396,Member_Tab,6,FALSE()),AV$5 &lt; VLOOKUP($P396,Member_Tab,7,FALSE())),1,0))</f>
        <v>0</v>
      </c>
      <c r="AW498" s="184" t="n">
        <f aca="false">IF(ISERROR(VLOOKUP($P396,Member_Tab,5,FALSE())),0,VLOOKUP($P396,Member_Tab,5,FALSE())*IF(AND(AW$5 &gt; VLOOKUP($P396,Member_Tab,6,FALSE()),AW$5 &lt; VLOOKUP($P396,Member_Tab,7,FALSE())),1,0))</f>
        <v>0</v>
      </c>
      <c r="AX498" s="184" t="n">
        <f aca="false">IF(ISERROR(VLOOKUP($P396,Member_Tab,5,FALSE())),0,VLOOKUP($P396,Member_Tab,5,FALSE())*IF(AND(AX$5 &gt; VLOOKUP($P396,Member_Tab,6,FALSE()),AX$5 &lt; VLOOKUP($P396,Member_Tab,7,FALSE())),1,0))</f>
        <v>0</v>
      </c>
      <c r="AY498" s="184" t="n">
        <f aca="false">IF(ISERROR(VLOOKUP($P396,Member_Tab,5,FALSE())),0,VLOOKUP($P396,Member_Tab,5,FALSE())*IF(AND(AY$5 &gt; VLOOKUP($P396,Member_Tab,6,FALSE()),AY$5 &lt; VLOOKUP($P396,Member_Tab,7,FALSE())),1,0))</f>
        <v>0</v>
      </c>
      <c r="AZ498" s="184" t="n">
        <f aca="false">IF(ISERROR(VLOOKUP($P396,Member_Tab,5,FALSE())),0,VLOOKUP($P396,Member_Tab,5,FALSE())*IF(AND(AZ$5 &gt; VLOOKUP($P396,Member_Tab,6,FALSE()),AZ$5 &lt; VLOOKUP($P396,Member_Tab,7,FALSE())),1,0))</f>
        <v>0</v>
      </c>
      <c r="BA498" s="184" t="n">
        <f aca="false">IF(ISERROR(VLOOKUP($P396,Member_Tab,5,FALSE())),0,VLOOKUP($P396,Member_Tab,5,FALSE())*IF(AND(BA$5 &gt; VLOOKUP($P396,Member_Tab,6,FALSE()),BA$5 &lt; VLOOKUP($P396,Member_Tab,7,FALSE())),1,0))</f>
        <v>0</v>
      </c>
      <c r="BB498" s="184" t="n">
        <f aca="false">IF(ISERROR(VLOOKUP($P396,Member_Tab,5,FALSE())),0,VLOOKUP($P396,Member_Tab,5,FALSE())*IF(AND(BB$5 &gt; VLOOKUP($P396,Member_Tab,6,FALSE()),BB$5 &lt; VLOOKUP($P396,Member_Tab,7,FALSE())),1,0))</f>
        <v>0</v>
      </c>
    </row>
    <row r="499" s="173" customFormat="true" ht="15.75" hidden="true" customHeight="false" outlineLevel="1" collapsed="false">
      <c r="E499" s="40"/>
      <c r="K499" s="40"/>
      <c r="L499" s="40"/>
      <c r="M499" s="40"/>
      <c r="N499" s="40"/>
      <c r="P499" s="183" t="str">
        <f aca="false">P397</f>
        <v>Lastname7, Firstname7</v>
      </c>
      <c r="Q499" s="40"/>
      <c r="R499" s="182"/>
      <c r="S499" s="184" t="n">
        <f aca="false">IF(ISERROR(VLOOKUP($P397,Member_Tab,5,FALSE())),0,VLOOKUP($P397,Member_Tab,5,FALSE())*IF(AND(S$5 &gt; VLOOKUP($P397,Member_Tab,6,FALSE()),S$5 &lt; VLOOKUP($P397,Member_Tab,7,FALSE())),1,0))</f>
        <v>0</v>
      </c>
      <c r="T499" s="184" t="n">
        <f aca="false">IF(ISERROR(VLOOKUP($P397,Member_Tab,5,FALSE())),0,VLOOKUP($P397,Member_Tab,5,FALSE())*IF(AND(T$5 &gt; VLOOKUP($P397,Member_Tab,6,FALSE()),T$5 &lt; VLOOKUP($P397,Member_Tab,7,FALSE())),1,0))</f>
        <v>0</v>
      </c>
      <c r="U499" s="184" t="n">
        <f aca="false">IF(ISERROR(VLOOKUP($P397,Member_Tab,5,FALSE())),0,VLOOKUP($P397,Member_Tab,5,FALSE())*IF(AND(U$5 &gt; VLOOKUP($P397,Member_Tab,6,FALSE()),U$5 &lt; VLOOKUP($P397,Member_Tab,7,FALSE())),1,0))</f>
        <v>0</v>
      </c>
      <c r="V499" s="184" t="n">
        <f aca="false">IF(ISERROR(VLOOKUP($P397,Member_Tab,5,FALSE())),0,VLOOKUP($P397,Member_Tab,5,FALSE())*IF(AND(V$5 &gt; VLOOKUP($P397,Member_Tab,6,FALSE()),V$5 &lt; VLOOKUP($P397,Member_Tab,7,FALSE())),1,0))</f>
        <v>0</v>
      </c>
      <c r="W499" s="184" t="n">
        <f aca="false">IF(ISERROR(VLOOKUP($P397,Member_Tab,5,FALSE())),0,VLOOKUP($P397,Member_Tab,5,FALSE())*IF(AND(W$5 &gt; VLOOKUP($P397,Member_Tab,6,FALSE()),W$5 &lt; VLOOKUP($P397,Member_Tab,7,FALSE())),1,0))</f>
        <v>0</v>
      </c>
      <c r="X499" s="184" t="n">
        <f aca="false">IF(ISERROR(VLOOKUP($P397,Member_Tab,5,FALSE())),0,VLOOKUP($P397,Member_Tab,5,FALSE())*IF(AND(X$5 &gt; VLOOKUP($P397,Member_Tab,6,FALSE()),X$5 &lt; VLOOKUP($P397,Member_Tab,7,FALSE())),1,0))</f>
        <v>0</v>
      </c>
      <c r="Y499" s="184" t="n">
        <f aca="false">IF(ISERROR(VLOOKUP($P397,Member_Tab,5,FALSE())),0,VLOOKUP($P397,Member_Tab,5,FALSE())*IF(AND(Y$5 &gt; VLOOKUP($P397,Member_Tab,6,FALSE()),Y$5 &lt; VLOOKUP($P397,Member_Tab,7,FALSE())),1,0))</f>
        <v>0</v>
      </c>
      <c r="Z499" s="184" t="n">
        <f aca="false">IF(ISERROR(VLOOKUP($P397,Member_Tab,5,FALSE())),0,VLOOKUP($P397,Member_Tab,5,FALSE())*IF(AND(Z$5 &gt; VLOOKUP($P397,Member_Tab,6,FALSE()),Z$5 &lt; VLOOKUP($P397,Member_Tab,7,FALSE())),1,0))</f>
        <v>0</v>
      </c>
      <c r="AA499" s="184" t="n">
        <f aca="false">IF(ISERROR(VLOOKUP($P397,Member_Tab,5,FALSE())),0,VLOOKUP($P397,Member_Tab,5,FALSE())*IF(AND(AA$5 &gt; VLOOKUP($P397,Member_Tab,6,FALSE()),AA$5 &lt; VLOOKUP($P397,Member_Tab,7,FALSE())),1,0))</f>
        <v>0</v>
      </c>
      <c r="AB499" s="184" t="n">
        <f aca="false">IF(ISERROR(VLOOKUP($P397,Member_Tab,5,FALSE())),0,VLOOKUP($P397,Member_Tab,5,FALSE())*IF(AND(AB$5 &gt; VLOOKUP($P397,Member_Tab,6,FALSE()),AB$5 &lt; VLOOKUP($P397,Member_Tab,7,FALSE())),1,0))</f>
        <v>0</v>
      </c>
      <c r="AC499" s="184" t="n">
        <f aca="false">IF(ISERROR(VLOOKUP($P397,Member_Tab,5,FALSE())),0,VLOOKUP($P397,Member_Tab,5,FALSE())*IF(AND(AC$5 &gt; VLOOKUP($P397,Member_Tab,6,FALSE()),AC$5 &lt; VLOOKUP($P397,Member_Tab,7,FALSE())),1,0))</f>
        <v>0</v>
      </c>
      <c r="AD499" s="184" t="n">
        <f aca="false">IF(ISERROR(VLOOKUP($P397,Member_Tab,5,FALSE())),0,VLOOKUP($P397,Member_Tab,5,FALSE())*IF(AND(AD$5 &gt; VLOOKUP($P397,Member_Tab,6,FALSE()),AD$5 &lt; VLOOKUP($P397,Member_Tab,7,FALSE())),1,0))</f>
        <v>0</v>
      </c>
      <c r="AE499" s="184" t="n">
        <f aca="false">IF(ISERROR(VLOOKUP($P397,Member_Tab,5,FALSE())),0,VLOOKUP($P397,Member_Tab,5,FALSE())*IF(AND(AE$5 &gt; VLOOKUP($P397,Member_Tab,6,FALSE()),AE$5 &lt; VLOOKUP($P397,Member_Tab,7,FALSE())),1,0))</f>
        <v>0</v>
      </c>
      <c r="AF499" s="184" t="n">
        <f aca="false">IF(ISERROR(VLOOKUP($P397,Member_Tab,5,FALSE())),0,VLOOKUP($P397,Member_Tab,5,FALSE())*IF(AND(AF$5 &gt; VLOOKUP($P397,Member_Tab,6,FALSE()),AF$5 &lt; VLOOKUP($P397,Member_Tab,7,FALSE())),1,0))</f>
        <v>0</v>
      </c>
      <c r="AG499" s="184" t="n">
        <f aca="false">IF(ISERROR(VLOOKUP($P397,Member_Tab,5,FALSE())),0,VLOOKUP($P397,Member_Tab,5,FALSE())*IF(AND(AG$5 &gt; VLOOKUP($P397,Member_Tab,6,FALSE()),AG$5 &lt; VLOOKUP($P397,Member_Tab,7,FALSE())),1,0))</f>
        <v>0</v>
      </c>
      <c r="AH499" s="184" t="n">
        <f aca="false">IF(ISERROR(VLOOKUP($P397,Member_Tab,5,FALSE())),0,VLOOKUP($P397,Member_Tab,5,FALSE())*IF(AND(AH$5 &gt; VLOOKUP($P397,Member_Tab,6,FALSE()),AH$5 &lt; VLOOKUP($P397,Member_Tab,7,FALSE())),1,0))</f>
        <v>0</v>
      </c>
      <c r="AI499" s="184" t="n">
        <f aca="false">IF(ISERROR(VLOOKUP($P397,Member_Tab,5,FALSE())),0,VLOOKUP($P397,Member_Tab,5,FALSE())*IF(AND(AI$5 &gt; VLOOKUP($P397,Member_Tab,6,FALSE()),AI$5 &lt; VLOOKUP($P397,Member_Tab,7,FALSE())),1,0))</f>
        <v>0</v>
      </c>
      <c r="AJ499" s="184" t="n">
        <f aca="false">IF(ISERROR(VLOOKUP($P397,Member_Tab,5,FALSE())),0,VLOOKUP($P397,Member_Tab,5,FALSE())*IF(AND(AJ$5 &gt; VLOOKUP($P397,Member_Tab,6,FALSE()),AJ$5 &lt; VLOOKUP($P397,Member_Tab,7,FALSE())),1,0))</f>
        <v>0</v>
      </c>
      <c r="AK499" s="184" t="n">
        <f aca="false">IF(ISERROR(VLOOKUP($P397,Member_Tab,5,FALSE())),0,VLOOKUP($P397,Member_Tab,5,FALSE())*IF(AND(AK$5 &gt; VLOOKUP($P397,Member_Tab,6,FALSE()),AK$5 &lt; VLOOKUP($P397,Member_Tab,7,FALSE())),1,0))</f>
        <v>0</v>
      </c>
      <c r="AL499" s="184" t="n">
        <f aca="false">IF(ISERROR(VLOOKUP($P397,Member_Tab,5,FALSE())),0,VLOOKUP($P397,Member_Tab,5,FALSE())*IF(AND(AL$5 &gt; VLOOKUP($P397,Member_Tab,6,FALSE()),AL$5 &lt; VLOOKUP($P397,Member_Tab,7,FALSE())),1,0))</f>
        <v>0</v>
      </c>
      <c r="AM499" s="184" t="n">
        <f aca="false">IF(ISERROR(VLOOKUP($P397,Member_Tab,5,FALSE())),0,VLOOKUP($P397,Member_Tab,5,FALSE())*IF(AND(AM$5 &gt; VLOOKUP($P397,Member_Tab,6,FALSE()),AM$5 &lt; VLOOKUP($P397,Member_Tab,7,FALSE())),1,0))</f>
        <v>0</v>
      </c>
      <c r="AN499" s="184" t="n">
        <f aca="false">IF(ISERROR(VLOOKUP($P397,Member_Tab,5,FALSE())),0,VLOOKUP($P397,Member_Tab,5,FALSE())*IF(AND(AN$5 &gt; VLOOKUP($P397,Member_Tab,6,FALSE()),AN$5 &lt; VLOOKUP($P397,Member_Tab,7,FALSE())),1,0))</f>
        <v>0</v>
      </c>
      <c r="AO499" s="184" t="n">
        <f aca="false">IF(ISERROR(VLOOKUP($P397,Member_Tab,5,FALSE())),0,VLOOKUP($P397,Member_Tab,5,FALSE())*IF(AND(AO$5 &gt; VLOOKUP($P397,Member_Tab,6,FALSE()),AO$5 &lt; VLOOKUP($P397,Member_Tab,7,FALSE())),1,0))</f>
        <v>0</v>
      </c>
      <c r="AP499" s="184" t="n">
        <f aca="false">IF(ISERROR(VLOOKUP($P397,Member_Tab,5,FALSE())),0,VLOOKUP($P397,Member_Tab,5,FALSE())*IF(AND(AP$5 &gt; VLOOKUP($P397,Member_Tab,6,FALSE()),AP$5 &lt; VLOOKUP($P397,Member_Tab,7,FALSE())),1,0))</f>
        <v>0</v>
      </c>
      <c r="AQ499" s="184" t="n">
        <f aca="false">IF(ISERROR(VLOOKUP($P397,Member_Tab,5,FALSE())),0,VLOOKUP($P397,Member_Tab,5,FALSE())*IF(AND(AQ$5 &gt; VLOOKUP($P397,Member_Tab,6,FALSE()),AQ$5 &lt; VLOOKUP($P397,Member_Tab,7,FALSE())),1,0))</f>
        <v>0</v>
      </c>
      <c r="AR499" s="184" t="n">
        <f aca="false">IF(ISERROR(VLOOKUP($P397,Member_Tab,5,FALSE())),0,VLOOKUP($P397,Member_Tab,5,FALSE())*IF(AND(AR$5 &gt; VLOOKUP($P397,Member_Tab,6,FALSE()),AR$5 &lt; VLOOKUP($P397,Member_Tab,7,FALSE())),1,0))</f>
        <v>0</v>
      </c>
      <c r="AS499" s="184" t="n">
        <f aca="false">IF(ISERROR(VLOOKUP($P397,Member_Tab,5,FALSE())),0,VLOOKUP($P397,Member_Tab,5,FALSE())*IF(AND(AS$5 &gt; VLOOKUP($P397,Member_Tab,6,FALSE()),AS$5 &lt; VLOOKUP($P397,Member_Tab,7,FALSE())),1,0))</f>
        <v>0</v>
      </c>
      <c r="AT499" s="184" t="n">
        <f aca="false">IF(ISERROR(VLOOKUP($P397,Member_Tab,5,FALSE())),0,VLOOKUP($P397,Member_Tab,5,FALSE())*IF(AND(AT$5 &gt; VLOOKUP($P397,Member_Tab,6,FALSE()),AT$5 &lt; VLOOKUP($P397,Member_Tab,7,FALSE())),1,0))</f>
        <v>0</v>
      </c>
      <c r="AU499" s="184" t="n">
        <f aca="false">IF(ISERROR(VLOOKUP($P397,Member_Tab,5,FALSE())),0,VLOOKUP($P397,Member_Tab,5,FALSE())*IF(AND(AU$5 &gt; VLOOKUP($P397,Member_Tab,6,FALSE()),AU$5 &lt; VLOOKUP($P397,Member_Tab,7,FALSE())),1,0))</f>
        <v>0</v>
      </c>
      <c r="AV499" s="184" t="n">
        <f aca="false">IF(ISERROR(VLOOKUP($P397,Member_Tab,5,FALSE())),0,VLOOKUP($P397,Member_Tab,5,FALSE())*IF(AND(AV$5 &gt; VLOOKUP($P397,Member_Tab,6,FALSE()),AV$5 &lt; VLOOKUP($P397,Member_Tab,7,FALSE())),1,0))</f>
        <v>0</v>
      </c>
      <c r="AW499" s="184" t="n">
        <f aca="false">IF(ISERROR(VLOOKUP($P397,Member_Tab,5,FALSE())),0,VLOOKUP($P397,Member_Tab,5,FALSE())*IF(AND(AW$5 &gt; VLOOKUP($P397,Member_Tab,6,FALSE()),AW$5 &lt; VLOOKUP($P397,Member_Tab,7,FALSE())),1,0))</f>
        <v>0</v>
      </c>
      <c r="AX499" s="184" t="n">
        <f aca="false">IF(ISERROR(VLOOKUP($P397,Member_Tab,5,FALSE())),0,VLOOKUP($P397,Member_Tab,5,FALSE())*IF(AND(AX$5 &gt; VLOOKUP($P397,Member_Tab,6,FALSE()),AX$5 &lt; VLOOKUP($P397,Member_Tab,7,FALSE())),1,0))</f>
        <v>0</v>
      </c>
      <c r="AY499" s="184" t="n">
        <f aca="false">IF(ISERROR(VLOOKUP($P397,Member_Tab,5,FALSE())),0,VLOOKUP($P397,Member_Tab,5,FALSE())*IF(AND(AY$5 &gt; VLOOKUP($P397,Member_Tab,6,FALSE()),AY$5 &lt; VLOOKUP($P397,Member_Tab,7,FALSE())),1,0))</f>
        <v>0</v>
      </c>
      <c r="AZ499" s="184" t="n">
        <f aca="false">IF(ISERROR(VLOOKUP($P397,Member_Tab,5,FALSE())),0,VLOOKUP($P397,Member_Tab,5,FALSE())*IF(AND(AZ$5 &gt; VLOOKUP($P397,Member_Tab,6,FALSE()),AZ$5 &lt; VLOOKUP($P397,Member_Tab,7,FALSE())),1,0))</f>
        <v>0</v>
      </c>
      <c r="BA499" s="184" t="n">
        <f aca="false">IF(ISERROR(VLOOKUP($P397,Member_Tab,5,FALSE())),0,VLOOKUP($P397,Member_Tab,5,FALSE())*IF(AND(BA$5 &gt; VLOOKUP($P397,Member_Tab,6,FALSE()),BA$5 &lt; VLOOKUP($P397,Member_Tab,7,FALSE())),1,0))</f>
        <v>0</v>
      </c>
      <c r="BB499" s="184" t="n">
        <f aca="false">IF(ISERROR(VLOOKUP($P397,Member_Tab,5,FALSE())),0,VLOOKUP($P397,Member_Tab,5,FALSE())*IF(AND(BB$5 &gt; VLOOKUP($P397,Member_Tab,6,FALSE()),BB$5 &lt; VLOOKUP($P397,Member_Tab,7,FALSE())),1,0))</f>
        <v>0</v>
      </c>
    </row>
    <row r="500" s="173" customFormat="true" ht="15.75" hidden="true" customHeight="false" outlineLevel="1" collapsed="false">
      <c r="E500" s="40"/>
      <c r="K500" s="40"/>
      <c r="L500" s="40"/>
      <c r="M500" s="40"/>
      <c r="N500" s="40"/>
      <c r="P500" s="183" t="str">
        <f aca="false">P398</f>
        <v>Lastname8, Firstname8</v>
      </c>
      <c r="Q500" s="40"/>
      <c r="R500" s="182"/>
      <c r="S500" s="184" t="n">
        <f aca="false">IF(ISERROR(VLOOKUP($P398,Member_Tab,5,FALSE())),0,VLOOKUP($P398,Member_Tab,5,FALSE())*IF(AND(S$5 &gt; VLOOKUP($P398,Member_Tab,6,FALSE()),S$5 &lt; VLOOKUP($P398,Member_Tab,7,FALSE())),1,0))</f>
        <v>0</v>
      </c>
      <c r="T500" s="184" t="n">
        <f aca="false">IF(ISERROR(VLOOKUP($P398,Member_Tab,5,FALSE())),0,VLOOKUP($P398,Member_Tab,5,FALSE())*IF(AND(T$5 &gt; VLOOKUP($P398,Member_Tab,6,FALSE()),T$5 &lt; VLOOKUP($P398,Member_Tab,7,FALSE())),1,0))</f>
        <v>0</v>
      </c>
      <c r="U500" s="184" t="n">
        <f aca="false">IF(ISERROR(VLOOKUP($P398,Member_Tab,5,FALSE())),0,VLOOKUP($P398,Member_Tab,5,FALSE())*IF(AND(U$5 &gt; VLOOKUP($P398,Member_Tab,6,FALSE()),U$5 &lt; VLOOKUP($P398,Member_Tab,7,FALSE())),1,0))</f>
        <v>0</v>
      </c>
      <c r="V500" s="184" t="n">
        <f aca="false">IF(ISERROR(VLOOKUP($P398,Member_Tab,5,FALSE())),0,VLOOKUP($P398,Member_Tab,5,FALSE())*IF(AND(V$5 &gt; VLOOKUP($P398,Member_Tab,6,FALSE()),V$5 &lt; VLOOKUP($P398,Member_Tab,7,FALSE())),1,0))</f>
        <v>0</v>
      </c>
      <c r="W500" s="184" t="n">
        <f aca="false">IF(ISERROR(VLOOKUP($P398,Member_Tab,5,FALSE())),0,VLOOKUP($P398,Member_Tab,5,FALSE())*IF(AND(W$5 &gt; VLOOKUP($P398,Member_Tab,6,FALSE()),W$5 &lt; VLOOKUP($P398,Member_Tab,7,FALSE())),1,0))</f>
        <v>0</v>
      </c>
      <c r="X500" s="184" t="n">
        <f aca="false">IF(ISERROR(VLOOKUP($P398,Member_Tab,5,FALSE())),0,VLOOKUP($P398,Member_Tab,5,FALSE())*IF(AND(X$5 &gt; VLOOKUP($P398,Member_Tab,6,FALSE()),X$5 &lt; VLOOKUP($P398,Member_Tab,7,FALSE())),1,0))</f>
        <v>0</v>
      </c>
      <c r="Y500" s="184" t="n">
        <f aca="false">IF(ISERROR(VLOOKUP($P398,Member_Tab,5,FALSE())),0,VLOOKUP($P398,Member_Tab,5,FALSE())*IF(AND(Y$5 &gt; VLOOKUP($P398,Member_Tab,6,FALSE()),Y$5 &lt; VLOOKUP($P398,Member_Tab,7,FALSE())),1,0))</f>
        <v>0</v>
      </c>
      <c r="Z500" s="184" t="n">
        <f aca="false">IF(ISERROR(VLOOKUP($P398,Member_Tab,5,FALSE())),0,VLOOKUP($P398,Member_Tab,5,FALSE())*IF(AND(Z$5 &gt; VLOOKUP($P398,Member_Tab,6,FALSE()),Z$5 &lt; VLOOKUP($P398,Member_Tab,7,FALSE())),1,0))</f>
        <v>0</v>
      </c>
      <c r="AA500" s="184" t="n">
        <f aca="false">IF(ISERROR(VLOOKUP($P398,Member_Tab,5,FALSE())),0,VLOOKUP($P398,Member_Tab,5,FALSE())*IF(AND(AA$5 &gt; VLOOKUP($P398,Member_Tab,6,FALSE()),AA$5 &lt; VLOOKUP($P398,Member_Tab,7,FALSE())),1,0))</f>
        <v>0</v>
      </c>
      <c r="AB500" s="184" t="n">
        <f aca="false">IF(ISERROR(VLOOKUP($P398,Member_Tab,5,FALSE())),0,VLOOKUP($P398,Member_Tab,5,FALSE())*IF(AND(AB$5 &gt; VLOOKUP($P398,Member_Tab,6,FALSE()),AB$5 &lt; VLOOKUP($P398,Member_Tab,7,FALSE())),1,0))</f>
        <v>0</v>
      </c>
      <c r="AC500" s="184" t="n">
        <f aca="false">IF(ISERROR(VLOOKUP($P398,Member_Tab,5,FALSE())),0,VLOOKUP($P398,Member_Tab,5,FALSE())*IF(AND(AC$5 &gt; VLOOKUP($P398,Member_Tab,6,FALSE()),AC$5 &lt; VLOOKUP($P398,Member_Tab,7,FALSE())),1,0))</f>
        <v>0</v>
      </c>
      <c r="AD500" s="184" t="n">
        <f aca="false">IF(ISERROR(VLOOKUP($P398,Member_Tab,5,FALSE())),0,VLOOKUP($P398,Member_Tab,5,FALSE())*IF(AND(AD$5 &gt; VLOOKUP($P398,Member_Tab,6,FALSE()),AD$5 &lt; VLOOKUP($P398,Member_Tab,7,FALSE())),1,0))</f>
        <v>0</v>
      </c>
      <c r="AE500" s="184" t="n">
        <f aca="false">IF(ISERROR(VLOOKUP($P398,Member_Tab,5,FALSE())),0,VLOOKUP($P398,Member_Tab,5,FALSE())*IF(AND(AE$5 &gt; VLOOKUP($P398,Member_Tab,6,FALSE()),AE$5 &lt; VLOOKUP($P398,Member_Tab,7,FALSE())),1,0))</f>
        <v>0</v>
      </c>
      <c r="AF500" s="184" t="n">
        <f aca="false">IF(ISERROR(VLOOKUP($P398,Member_Tab,5,FALSE())),0,VLOOKUP($P398,Member_Tab,5,FALSE())*IF(AND(AF$5 &gt; VLOOKUP($P398,Member_Tab,6,FALSE()),AF$5 &lt; VLOOKUP($P398,Member_Tab,7,FALSE())),1,0))</f>
        <v>0</v>
      </c>
      <c r="AG500" s="184" t="n">
        <f aca="false">IF(ISERROR(VLOOKUP($P398,Member_Tab,5,FALSE())),0,VLOOKUP($P398,Member_Tab,5,FALSE())*IF(AND(AG$5 &gt; VLOOKUP($P398,Member_Tab,6,FALSE()),AG$5 &lt; VLOOKUP($P398,Member_Tab,7,FALSE())),1,0))</f>
        <v>0</v>
      </c>
      <c r="AH500" s="184" t="n">
        <f aca="false">IF(ISERROR(VLOOKUP($P398,Member_Tab,5,FALSE())),0,VLOOKUP($P398,Member_Tab,5,FALSE())*IF(AND(AH$5 &gt; VLOOKUP($P398,Member_Tab,6,FALSE()),AH$5 &lt; VLOOKUP($P398,Member_Tab,7,FALSE())),1,0))</f>
        <v>0</v>
      </c>
      <c r="AI500" s="184" t="n">
        <f aca="false">IF(ISERROR(VLOOKUP($P398,Member_Tab,5,FALSE())),0,VLOOKUP($P398,Member_Tab,5,FALSE())*IF(AND(AI$5 &gt; VLOOKUP($P398,Member_Tab,6,FALSE()),AI$5 &lt; VLOOKUP($P398,Member_Tab,7,FALSE())),1,0))</f>
        <v>0</v>
      </c>
      <c r="AJ500" s="184" t="n">
        <f aca="false">IF(ISERROR(VLOOKUP($P398,Member_Tab,5,FALSE())),0,VLOOKUP($P398,Member_Tab,5,FALSE())*IF(AND(AJ$5 &gt; VLOOKUP($P398,Member_Tab,6,FALSE()),AJ$5 &lt; VLOOKUP($P398,Member_Tab,7,FALSE())),1,0))</f>
        <v>0</v>
      </c>
      <c r="AK500" s="184" t="n">
        <f aca="false">IF(ISERROR(VLOOKUP($P398,Member_Tab,5,FALSE())),0,VLOOKUP($P398,Member_Tab,5,FALSE())*IF(AND(AK$5 &gt; VLOOKUP($P398,Member_Tab,6,FALSE()),AK$5 &lt; VLOOKUP($P398,Member_Tab,7,FALSE())),1,0))</f>
        <v>0</v>
      </c>
      <c r="AL500" s="184" t="n">
        <f aca="false">IF(ISERROR(VLOOKUP($P398,Member_Tab,5,FALSE())),0,VLOOKUP($P398,Member_Tab,5,FALSE())*IF(AND(AL$5 &gt; VLOOKUP($P398,Member_Tab,6,FALSE()),AL$5 &lt; VLOOKUP($P398,Member_Tab,7,FALSE())),1,0))</f>
        <v>0</v>
      </c>
      <c r="AM500" s="184" t="n">
        <f aca="false">IF(ISERROR(VLOOKUP($P398,Member_Tab,5,FALSE())),0,VLOOKUP($P398,Member_Tab,5,FALSE())*IF(AND(AM$5 &gt; VLOOKUP($P398,Member_Tab,6,FALSE()),AM$5 &lt; VLOOKUP($P398,Member_Tab,7,FALSE())),1,0))</f>
        <v>0</v>
      </c>
      <c r="AN500" s="184" t="n">
        <f aca="false">IF(ISERROR(VLOOKUP($P398,Member_Tab,5,FALSE())),0,VLOOKUP($P398,Member_Tab,5,FALSE())*IF(AND(AN$5 &gt; VLOOKUP($P398,Member_Tab,6,FALSE()),AN$5 &lt; VLOOKUP($P398,Member_Tab,7,FALSE())),1,0))</f>
        <v>0</v>
      </c>
      <c r="AO500" s="184" t="n">
        <f aca="false">IF(ISERROR(VLOOKUP($P398,Member_Tab,5,FALSE())),0,VLOOKUP($P398,Member_Tab,5,FALSE())*IF(AND(AO$5 &gt; VLOOKUP($P398,Member_Tab,6,FALSE()),AO$5 &lt; VLOOKUP($P398,Member_Tab,7,FALSE())),1,0))</f>
        <v>0</v>
      </c>
      <c r="AP500" s="184" t="n">
        <f aca="false">IF(ISERROR(VLOOKUP($P398,Member_Tab,5,FALSE())),0,VLOOKUP($P398,Member_Tab,5,FALSE())*IF(AND(AP$5 &gt; VLOOKUP($P398,Member_Tab,6,FALSE()),AP$5 &lt; VLOOKUP($P398,Member_Tab,7,FALSE())),1,0))</f>
        <v>0</v>
      </c>
      <c r="AQ500" s="184" t="n">
        <f aca="false">IF(ISERROR(VLOOKUP($P398,Member_Tab,5,FALSE())),0,VLOOKUP($P398,Member_Tab,5,FALSE())*IF(AND(AQ$5 &gt; VLOOKUP($P398,Member_Tab,6,FALSE()),AQ$5 &lt; VLOOKUP($P398,Member_Tab,7,FALSE())),1,0))</f>
        <v>0</v>
      </c>
      <c r="AR500" s="184" t="n">
        <f aca="false">IF(ISERROR(VLOOKUP($P398,Member_Tab,5,FALSE())),0,VLOOKUP($P398,Member_Tab,5,FALSE())*IF(AND(AR$5 &gt; VLOOKUP($P398,Member_Tab,6,FALSE()),AR$5 &lt; VLOOKUP($P398,Member_Tab,7,FALSE())),1,0))</f>
        <v>0</v>
      </c>
      <c r="AS500" s="184" t="n">
        <f aca="false">IF(ISERROR(VLOOKUP($P398,Member_Tab,5,FALSE())),0,VLOOKUP($P398,Member_Tab,5,FALSE())*IF(AND(AS$5 &gt; VLOOKUP($P398,Member_Tab,6,FALSE()),AS$5 &lt; VLOOKUP($P398,Member_Tab,7,FALSE())),1,0))</f>
        <v>0</v>
      </c>
      <c r="AT500" s="184" t="n">
        <f aca="false">IF(ISERROR(VLOOKUP($P398,Member_Tab,5,FALSE())),0,VLOOKUP($P398,Member_Tab,5,FALSE())*IF(AND(AT$5 &gt; VLOOKUP($P398,Member_Tab,6,FALSE()),AT$5 &lt; VLOOKUP($P398,Member_Tab,7,FALSE())),1,0))</f>
        <v>0</v>
      </c>
      <c r="AU500" s="184" t="n">
        <f aca="false">IF(ISERROR(VLOOKUP($P398,Member_Tab,5,FALSE())),0,VLOOKUP($P398,Member_Tab,5,FALSE())*IF(AND(AU$5 &gt; VLOOKUP($P398,Member_Tab,6,FALSE()),AU$5 &lt; VLOOKUP($P398,Member_Tab,7,FALSE())),1,0))</f>
        <v>0</v>
      </c>
      <c r="AV500" s="184" t="n">
        <f aca="false">IF(ISERROR(VLOOKUP($P398,Member_Tab,5,FALSE())),0,VLOOKUP($P398,Member_Tab,5,FALSE())*IF(AND(AV$5 &gt; VLOOKUP($P398,Member_Tab,6,FALSE()),AV$5 &lt; VLOOKUP($P398,Member_Tab,7,FALSE())),1,0))</f>
        <v>0</v>
      </c>
      <c r="AW500" s="184" t="n">
        <f aca="false">IF(ISERROR(VLOOKUP($P398,Member_Tab,5,FALSE())),0,VLOOKUP($P398,Member_Tab,5,FALSE())*IF(AND(AW$5 &gt; VLOOKUP($P398,Member_Tab,6,FALSE()),AW$5 &lt; VLOOKUP($P398,Member_Tab,7,FALSE())),1,0))</f>
        <v>0</v>
      </c>
      <c r="AX500" s="184" t="n">
        <f aca="false">IF(ISERROR(VLOOKUP($P398,Member_Tab,5,FALSE())),0,VLOOKUP($P398,Member_Tab,5,FALSE())*IF(AND(AX$5 &gt; VLOOKUP($P398,Member_Tab,6,FALSE()),AX$5 &lt; VLOOKUP($P398,Member_Tab,7,FALSE())),1,0))</f>
        <v>0</v>
      </c>
      <c r="AY500" s="184" t="n">
        <f aca="false">IF(ISERROR(VLOOKUP($P398,Member_Tab,5,FALSE())),0,VLOOKUP($P398,Member_Tab,5,FALSE())*IF(AND(AY$5 &gt; VLOOKUP($P398,Member_Tab,6,FALSE()),AY$5 &lt; VLOOKUP($P398,Member_Tab,7,FALSE())),1,0))</f>
        <v>0</v>
      </c>
      <c r="AZ500" s="184" t="n">
        <f aca="false">IF(ISERROR(VLOOKUP($P398,Member_Tab,5,FALSE())),0,VLOOKUP($P398,Member_Tab,5,FALSE())*IF(AND(AZ$5 &gt; VLOOKUP($P398,Member_Tab,6,FALSE()),AZ$5 &lt; VLOOKUP($P398,Member_Tab,7,FALSE())),1,0))</f>
        <v>0</v>
      </c>
      <c r="BA500" s="184" t="n">
        <f aca="false">IF(ISERROR(VLOOKUP($P398,Member_Tab,5,FALSE())),0,VLOOKUP($P398,Member_Tab,5,FALSE())*IF(AND(BA$5 &gt; VLOOKUP($P398,Member_Tab,6,FALSE()),BA$5 &lt; VLOOKUP($P398,Member_Tab,7,FALSE())),1,0))</f>
        <v>0</v>
      </c>
      <c r="BB500" s="184" t="n">
        <f aca="false">IF(ISERROR(VLOOKUP($P398,Member_Tab,5,FALSE())),0,VLOOKUP($P398,Member_Tab,5,FALSE())*IF(AND(BB$5 &gt; VLOOKUP($P398,Member_Tab,6,FALSE()),BB$5 &lt; VLOOKUP($P398,Member_Tab,7,FALSE())),1,0))</f>
        <v>0</v>
      </c>
    </row>
    <row r="501" s="173" customFormat="true" ht="15.75" hidden="true" customHeight="false" outlineLevel="1" collapsed="false">
      <c r="E501" s="40"/>
      <c r="K501" s="40"/>
      <c r="L501" s="40"/>
      <c r="M501" s="40"/>
      <c r="N501" s="40"/>
      <c r="P501" s="183" t="str">
        <f aca="false">P399</f>
        <v>Lastname9, Firstname9</v>
      </c>
      <c r="Q501" s="40"/>
      <c r="R501" s="182"/>
      <c r="S501" s="184" t="n">
        <f aca="false">IF(ISERROR(VLOOKUP($P399,Member_Tab,5,FALSE())),0,VLOOKUP($P399,Member_Tab,5,FALSE())*IF(AND(S$5 &gt; VLOOKUP($P399,Member_Tab,6,FALSE()),S$5 &lt; VLOOKUP($P399,Member_Tab,7,FALSE())),1,0))</f>
        <v>0</v>
      </c>
      <c r="T501" s="184" t="n">
        <f aca="false">IF(ISERROR(VLOOKUP($P399,Member_Tab,5,FALSE())),0,VLOOKUP($P399,Member_Tab,5,FALSE())*IF(AND(T$5 &gt; VLOOKUP($P399,Member_Tab,6,FALSE()),T$5 &lt; VLOOKUP($P399,Member_Tab,7,FALSE())),1,0))</f>
        <v>0</v>
      </c>
      <c r="U501" s="184" t="n">
        <f aca="false">IF(ISERROR(VLOOKUP($P399,Member_Tab,5,FALSE())),0,VLOOKUP($P399,Member_Tab,5,FALSE())*IF(AND(U$5 &gt; VLOOKUP($P399,Member_Tab,6,FALSE()),U$5 &lt; VLOOKUP($P399,Member_Tab,7,FALSE())),1,0))</f>
        <v>0</v>
      </c>
      <c r="V501" s="184" t="n">
        <f aca="false">IF(ISERROR(VLOOKUP($P399,Member_Tab,5,FALSE())),0,VLOOKUP($P399,Member_Tab,5,FALSE())*IF(AND(V$5 &gt; VLOOKUP($P399,Member_Tab,6,FALSE()),V$5 &lt; VLOOKUP($P399,Member_Tab,7,FALSE())),1,0))</f>
        <v>0</v>
      </c>
      <c r="W501" s="184" t="n">
        <f aca="false">IF(ISERROR(VLOOKUP($P399,Member_Tab,5,FALSE())),0,VLOOKUP($P399,Member_Tab,5,FALSE())*IF(AND(W$5 &gt; VLOOKUP($P399,Member_Tab,6,FALSE()),W$5 &lt; VLOOKUP($P399,Member_Tab,7,FALSE())),1,0))</f>
        <v>0</v>
      </c>
      <c r="X501" s="184" t="n">
        <f aca="false">IF(ISERROR(VLOOKUP($P399,Member_Tab,5,FALSE())),0,VLOOKUP($P399,Member_Tab,5,FALSE())*IF(AND(X$5 &gt; VLOOKUP($P399,Member_Tab,6,FALSE()),X$5 &lt; VLOOKUP($P399,Member_Tab,7,FALSE())),1,0))</f>
        <v>0</v>
      </c>
      <c r="Y501" s="184" t="n">
        <f aca="false">IF(ISERROR(VLOOKUP($P399,Member_Tab,5,FALSE())),0,VLOOKUP($P399,Member_Tab,5,FALSE())*IF(AND(Y$5 &gt; VLOOKUP($P399,Member_Tab,6,FALSE()),Y$5 &lt; VLOOKUP($P399,Member_Tab,7,FALSE())),1,0))</f>
        <v>0</v>
      </c>
      <c r="Z501" s="184" t="n">
        <f aca="false">IF(ISERROR(VLOOKUP($P399,Member_Tab,5,FALSE())),0,VLOOKUP($P399,Member_Tab,5,FALSE())*IF(AND(Z$5 &gt; VLOOKUP($P399,Member_Tab,6,FALSE()),Z$5 &lt; VLOOKUP($P399,Member_Tab,7,FALSE())),1,0))</f>
        <v>0</v>
      </c>
      <c r="AA501" s="184" t="n">
        <f aca="false">IF(ISERROR(VLOOKUP($P399,Member_Tab,5,FALSE())),0,VLOOKUP($P399,Member_Tab,5,FALSE())*IF(AND(AA$5 &gt; VLOOKUP($P399,Member_Tab,6,FALSE()),AA$5 &lt; VLOOKUP($P399,Member_Tab,7,FALSE())),1,0))</f>
        <v>0</v>
      </c>
      <c r="AB501" s="184" t="n">
        <f aca="false">IF(ISERROR(VLOOKUP($P399,Member_Tab,5,FALSE())),0,VLOOKUP($P399,Member_Tab,5,FALSE())*IF(AND(AB$5 &gt; VLOOKUP($P399,Member_Tab,6,FALSE()),AB$5 &lt; VLOOKUP($P399,Member_Tab,7,FALSE())),1,0))</f>
        <v>0</v>
      </c>
      <c r="AC501" s="184" t="n">
        <f aca="false">IF(ISERROR(VLOOKUP($P399,Member_Tab,5,FALSE())),0,VLOOKUP($P399,Member_Tab,5,FALSE())*IF(AND(AC$5 &gt; VLOOKUP($P399,Member_Tab,6,FALSE()),AC$5 &lt; VLOOKUP($P399,Member_Tab,7,FALSE())),1,0))</f>
        <v>0</v>
      </c>
      <c r="AD501" s="184" t="n">
        <f aca="false">IF(ISERROR(VLOOKUP($P399,Member_Tab,5,FALSE())),0,VLOOKUP($P399,Member_Tab,5,FALSE())*IF(AND(AD$5 &gt; VLOOKUP($P399,Member_Tab,6,FALSE()),AD$5 &lt; VLOOKUP($P399,Member_Tab,7,FALSE())),1,0))</f>
        <v>0</v>
      </c>
      <c r="AE501" s="184" t="n">
        <f aca="false">IF(ISERROR(VLOOKUP($P399,Member_Tab,5,FALSE())),0,VLOOKUP($P399,Member_Tab,5,FALSE())*IF(AND(AE$5 &gt; VLOOKUP($P399,Member_Tab,6,FALSE()),AE$5 &lt; VLOOKUP($P399,Member_Tab,7,FALSE())),1,0))</f>
        <v>0</v>
      </c>
      <c r="AF501" s="184" t="n">
        <f aca="false">IF(ISERROR(VLOOKUP($P399,Member_Tab,5,FALSE())),0,VLOOKUP($P399,Member_Tab,5,FALSE())*IF(AND(AF$5 &gt; VLOOKUP($P399,Member_Tab,6,FALSE()),AF$5 &lt; VLOOKUP($P399,Member_Tab,7,FALSE())),1,0))</f>
        <v>0</v>
      </c>
      <c r="AG501" s="184" t="n">
        <f aca="false">IF(ISERROR(VLOOKUP($P399,Member_Tab,5,FALSE())),0,VLOOKUP($P399,Member_Tab,5,FALSE())*IF(AND(AG$5 &gt; VLOOKUP($P399,Member_Tab,6,FALSE()),AG$5 &lt; VLOOKUP($P399,Member_Tab,7,FALSE())),1,0))</f>
        <v>0</v>
      </c>
      <c r="AH501" s="184" t="n">
        <f aca="false">IF(ISERROR(VLOOKUP($P399,Member_Tab,5,FALSE())),0,VLOOKUP($P399,Member_Tab,5,FALSE())*IF(AND(AH$5 &gt; VLOOKUP($P399,Member_Tab,6,FALSE()),AH$5 &lt; VLOOKUP($P399,Member_Tab,7,FALSE())),1,0))</f>
        <v>0</v>
      </c>
      <c r="AI501" s="184" t="n">
        <f aca="false">IF(ISERROR(VLOOKUP($P399,Member_Tab,5,FALSE())),0,VLOOKUP($P399,Member_Tab,5,FALSE())*IF(AND(AI$5 &gt; VLOOKUP($P399,Member_Tab,6,FALSE()),AI$5 &lt; VLOOKUP($P399,Member_Tab,7,FALSE())),1,0))</f>
        <v>0</v>
      </c>
      <c r="AJ501" s="184" t="n">
        <f aca="false">IF(ISERROR(VLOOKUP($P399,Member_Tab,5,FALSE())),0,VLOOKUP($P399,Member_Tab,5,FALSE())*IF(AND(AJ$5 &gt; VLOOKUP($P399,Member_Tab,6,FALSE()),AJ$5 &lt; VLOOKUP($P399,Member_Tab,7,FALSE())),1,0))</f>
        <v>0</v>
      </c>
      <c r="AK501" s="184" t="n">
        <f aca="false">IF(ISERROR(VLOOKUP($P399,Member_Tab,5,FALSE())),0,VLOOKUP($P399,Member_Tab,5,FALSE())*IF(AND(AK$5 &gt; VLOOKUP($P399,Member_Tab,6,FALSE()),AK$5 &lt; VLOOKUP($P399,Member_Tab,7,FALSE())),1,0))</f>
        <v>0</v>
      </c>
      <c r="AL501" s="184" t="n">
        <f aca="false">IF(ISERROR(VLOOKUP($P399,Member_Tab,5,FALSE())),0,VLOOKUP($P399,Member_Tab,5,FALSE())*IF(AND(AL$5 &gt; VLOOKUP($P399,Member_Tab,6,FALSE()),AL$5 &lt; VLOOKUP($P399,Member_Tab,7,FALSE())),1,0))</f>
        <v>0</v>
      </c>
      <c r="AM501" s="184" t="n">
        <f aca="false">IF(ISERROR(VLOOKUP($P399,Member_Tab,5,FALSE())),0,VLOOKUP($P399,Member_Tab,5,FALSE())*IF(AND(AM$5 &gt; VLOOKUP($P399,Member_Tab,6,FALSE()),AM$5 &lt; VLOOKUP($P399,Member_Tab,7,FALSE())),1,0))</f>
        <v>0</v>
      </c>
      <c r="AN501" s="184" t="n">
        <f aca="false">IF(ISERROR(VLOOKUP($P399,Member_Tab,5,FALSE())),0,VLOOKUP($P399,Member_Tab,5,FALSE())*IF(AND(AN$5 &gt; VLOOKUP($P399,Member_Tab,6,FALSE()),AN$5 &lt; VLOOKUP($P399,Member_Tab,7,FALSE())),1,0))</f>
        <v>0</v>
      </c>
      <c r="AO501" s="184" t="n">
        <f aca="false">IF(ISERROR(VLOOKUP($P399,Member_Tab,5,FALSE())),0,VLOOKUP($P399,Member_Tab,5,FALSE())*IF(AND(AO$5 &gt; VLOOKUP($P399,Member_Tab,6,FALSE()),AO$5 &lt; VLOOKUP($P399,Member_Tab,7,FALSE())),1,0))</f>
        <v>0</v>
      </c>
      <c r="AP501" s="184" t="n">
        <f aca="false">IF(ISERROR(VLOOKUP($P399,Member_Tab,5,FALSE())),0,VLOOKUP($P399,Member_Tab,5,FALSE())*IF(AND(AP$5 &gt; VLOOKUP($P399,Member_Tab,6,FALSE()),AP$5 &lt; VLOOKUP($P399,Member_Tab,7,FALSE())),1,0))</f>
        <v>0</v>
      </c>
      <c r="AQ501" s="184" t="n">
        <f aca="false">IF(ISERROR(VLOOKUP($P399,Member_Tab,5,FALSE())),0,VLOOKUP($P399,Member_Tab,5,FALSE())*IF(AND(AQ$5 &gt; VLOOKUP($P399,Member_Tab,6,FALSE()),AQ$5 &lt; VLOOKUP($P399,Member_Tab,7,FALSE())),1,0))</f>
        <v>0</v>
      </c>
      <c r="AR501" s="184" t="n">
        <f aca="false">IF(ISERROR(VLOOKUP($P399,Member_Tab,5,FALSE())),0,VLOOKUP($P399,Member_Tab,5,FALSE())*IF(AND(AR$5 &gt; VLOOKUP($P399,Member_Tab,6,FALSE()),AR$5 &lt; VLOOKUP($P399,Member_Tab,7,FALSE())),1,0))</f>
        <v>0</v>
      </c>
      <c r="AS501" s="184" t="n">
        <f aca="false">IF(ISERROR(VLOOKUP($P399,Member_Tab,5,FALSE())),0,VLOOKUP($P399,Member_Tab,5,FALSE())*IF(AND(AS$5 &gt; VLOOKUP($P399,Member_Tab,6,FALSE()),AS$5 &lt; VLOOKUP($P399,Member_Tab,7,FALSE())),1,0))</f>
        <v>0</v>
      </c>
      <c r="AT501" s="184" t="n">
        <f aca="false">IF(ISERROR(VLOOKUP($P399,Member_Tab,5,FALSE())),0,VLOOKUP($P399,Member_Tab,5,FALSE())*IF(AND(AT$5 &gt; VLOOKUP($P399,Member_Tab,6,FALSE()),AT$5 &lt; VLOOKUP($P399,Member_Tab,7,FALSE())),1,0))</f>
        <v>0</v>
      </c>
      <c r="AU501" s="184" t="n">
        <f aca="false">IF(ISERROR(VLOOKUP($P399,Member_Tab,5,FALSE())),0,VLOOKUP($P399,Member_Tab,5,FALSE())*IF(AND(AU$5 &gt; VLOOKUP($P399,Member_Tab,6,FALSE()),AU$5 &lt; VLOOKUP($P399,Member_Tab,7,FALSE())),1,0))</f>
        <v>0</v>
      </c>
      <c r="AV501" s="184" t="n">
        <f aca="false">IF(ISERROR(VLOOKUP($P399,Member_Tab,5,FALSE())),0,VLOOKUP($P399,Member_Tab,5,FALSE())*IF(AND(AV$5 &gt; VLOOKUP($P399,Member_Tab,6,FALSE()),AV$5 &lt; VLOOKUP($P399,Member_Tab,7,FALSE())),1,0))</f>
        <v>0</v>
      </c>
      <c r="AW501" s="184" t="n">
        <f aca="false">IF(ISERROR(VLOOKUP($P399,Member_Tab,5,FALSE())),0,VLOOKUP($P399,Member_Tab,5,FALSE())*IF(AND(AW$5 &gt; VLOOKUP($P399,Member_Tab,6,FALSE()),AW$5 &lt; VLOOKUP($P399,Member_Tab,7,FALSE())),1,0))</f>
        <v>0</v>
      </c>
      <c r="AX501" s="184" t="n">
        <f aca="false">IF(ISERROR(VLOOKUP($P399,Member_Tab,5,FALSE())),0,VLOOKUP($P399,Member_Tab,5,FALSE())*IF(AND(AX$5 &gt; VLOOKUP($P399,Member_Tab,6,FALSE()),AX$5 &lt; VLOOKUP($P399,Member_Tab,7,FALSE())),1,0))</f>
        <v>0</v>
      </c>
      <c r="AY501" s="184" t="n">
        <f aca="false">IF(ISERROR(VLOOKUP($P399,Member_Tab,5,FALSE())),0,VLOOKUP($P399,Member_Tab,5,FALSE())*IF(AND(AY$5 &gt; VLOOKUP($P399,Member_Tab,6,FALSE()),AY$5 &lt; VLOOKUP($P399,Member_Tab,7,FALSE())),1,0))</f>
        <v>0</v>
      </c>
      <c r="AZ501" s="184" t="n">
        <f aca="false">IF(ISERROR(VLOOKUP($P399,Member_Tab,5,FALSE())),0,VLOOKUP($P399,Member_Tab,5,FALSE())*IF(AND(AZ$5 &gt; VLOOKUP($P399,Member_Tab,6,FALSE()),AZ$5 &lt; VLOOKUP($P399,Member_Tab,7,FALSE())),1,0))</f>
        <v>0</v>
      </c>
      <c r="BA501" s="184" t="n">
        <f aca="false">IF(ISERROR(VLOOKUP($P399,Member_Tab,5,FALSE())),0,VLOOKUP($P399,Member_Tab,5,FALSE())*IF(AND(BA$5 &gt; VLOOKUP($P399,Member_Tab,6,FALSE()),BA$5 &lt; VLOOKUP($P399,Member_Tab,7,FALSE())),1,0))</f>
        <v>0</v>
      </c>
      <c r="BB501" s="184" t="n">
        <f aca="false">IF(ISERROR(VLOOKUP($P399,Member_Tab,5,FALSE())),0,VLOOKUP($P399,Member_Tab,5,FALSE())*IF(AND(BB$5 &gt; VLOOKUP($P399,Member_Tab,6,FALSE()),BB$5 &lt; VLOOKUP($P399,Member_Tab,7,FALSE())),1,0))</f>
        <v>0</v>
      </c>
    </row>
    <row r="502" s="173" customFormat="true" ht="15.75" hidden="true" customHeight="false" outlineLevel="1" collapsed="false">
      <c r="E502" s="40"/>
      <c r="K502" s="40"/>
      <c r="L502" s="40"/>
      <c r="M502" s="40"/>
      <c r="N502" s="40"/>
      <c r="P502" s="183" t="str">
        <f aca="false">P400</f>
        <v>Lastname10, Firstname10</v>
      </c>
      <c r="Q502" s="40"/>
      <c r="R502" s="182"/>
      <c r="S502" s="184" t="n">
        <f aca="false">IF(ISERROR(VLOOKUP($P400,Member_Tab,5,FALSE())),0,VLOOKUP($P400,Member_Tab,5,FALSE())*IF(AND(S$5 &gt; VLOOKUP($P400,Member_Tab,6,FALSE()),S$5 &lt; VLOOKUP($P400,Member_Tab,7,FALSE())),1,0))</f>
        <v>0</v>
      </c>
      <c r="T502" s="184" t="n">
        <f aca="false">IF(ISERROR(VLOOKUP($P400,Member_Tab,5,FALSE())),0,VLOOKUP($P400,Member_Tab,5,FALSE())*IF(AND(T$5 &gt; VLOOKUP($P400,Member_Tab,6,FALSE()),T$5 &lt; VLOOKUP($P400,Member_Tab,7,FALSE())),1,0))</f>
        <v>0</v>
      </c>
      <c r="U502" s="184" t="n">
        <f aca="false">IF(ISERROR(VLOOKUP($P400,Member_Tab,5,FALSE())),0,VLOOKUP($P400,Member_Tab,5,FALSE())*IF(AND(U$5 &gt; VLOOKUP($P400,Member_Tab,6,FALSE()),U$5 &lt; VLOOKUP($P400,Member_Tab,7,FALSE())),1,0))</f>
        <v>0</v>
      </c>
      <c r="V502" s="184" t="n">
        <f aca="false">IF(ISERROR(VLOOKUP($P400,Member_Tab,5,FALSE())),0,VLOOKUP($P400,Member_Tab,5,FALSE())*IF(AND(V$5 &gt; VLOOKUP($P400,Member_Tab,6,FALSE()),V$5 &lt; VLOOKUP($P400,Member_Tab,7,FALSE())),1,0))</f>
        <v>0</v>
      </c>
      <c r="W502" s="184" t="n">
        <f aca="false">IF(ISERROR(VLOOKUP($P400,Member_Tab,5,FALSE())),0,VLOOKUP($P400,Member_Tab,5,FALSE())*IF(AND(W$5 &gt; VLOOKUP($P400,Member_Tab,6,FALSE()),W$5 &lt; VLOOKUP($P400,Member_Tab,7,FALSE())),1,0))</f>
        <v>0</v>
      </c>
      <c r="X502" s="184" t="n">
        <f aca="false">IF(ISERROR(VLOOKUP($P400,Member_Tab,5,FALSE())),0,VLOOKUP($P400,Member_Tab,5,FALSE())*IF(AND(X$5 &gt; VLOOKUP($P400,Member_Tab,6,FALSE()),X$5 &lt; VLOOKUP($P400,Member_Tab,7,FALSE())),1,0))</f>
        <v>0</v>
      </c>
      <c r="Y502" s="184" t="n">
        <f aca="false">IF(ISERROR(VLOOKUP($P400,Member_Tab,5,FALSE())),0,VLOOKUP($P400,Member_Tab,5,FALSE())*IF(AND(Y$5 &gt; VLOOKUP($P400,Member_Tab,6,FALSE()),Y$5 &lt; VLOOKUP($P400,Member_Tab,7,FALSE())),1,0))</f>
        <v>0</v>
      </c>
      <c r="Z502" s="184" t="n">
        <f aca="false">IF(ISERROR(VLOOKUP($P400,Member_Tab,5,FALSE())),0,VLOOKUP($P400,Member_Tab,5,FALSE())*IF(AND(Z$5 &gt; VLOOKUP($P400,Member_Tab,6,FALSE()),Z$5 &lt; VLOOKUP($P400,Member_Tab,7,FALSE())),1,0))</f>
        <v>0</v>
      </c>
      <c r="AA502" s="184" t="n">
        <f aca="false">IF(ISERROR(VLOOKUP($P400,Member_Tab,5,FALSE())),0,VLOOKUP($P400,Member_Tab,5,FALSE())*IF(AND(AA$5 &gt; VLOOKUP($P400,Member_Tab,6,FALSE()),AA$5 &lt; VLOOKUP($P400,Member_Tab,7,FALSE())),1,0))</f>
        <v>0</v>
      </c>
      <c r="AB502" s="184" t="n">
        <f aca="false">IF(ISERROR(VLOOKUP($P400,Member_Tab,5,FALSE())),0,VLOOKUP($P400,Member_Tab,5,FALSE())*IF(AND(AB$5 &gt; VLOOKUP($P400,Member_Tab,6,FALSE()),AB$5 &lt; VLOOKUP($P400,Member_Tab,7,FALSE())),1,0))</f>
        <v>0</v>
      </c>
      <c r="AC502" s="184" t="n">
        <f aca="false">IF(ISERROR(VLOOKUP($P400,Member_Tab,5,FALSE())),0,VLOOKUP($P400,Member_Tab,5,FALSE())*IF(AND(AC$5 &gt; VLOOKUP($P400,Member_Tab,6,FALSE()),AC$5 &lt; VLOOKUP($P400,Member_Tab,7,FALSE())),1,0))</f>
        <v>0</v>
      </c>
      <c r="AD502" s="184" t="n">
        <f aca="false">IF(ISERROR(VLOOKUP($P400,Member_Tab,5,FALSE())),0,VLOOKUP($P400,Member_Tab,5,FALSE())*IF(AND(AD$5 &gt; VLOOKUP($P400,Member_Tab,6,FALSE()),AD$5 &lt; VLOOKUP($P400,Member_Tab,7,FALSE())),1,0))</f>
        <v>0</v>
      </c>
      <c r="AE502" s="184" t="n">
        <f aca="false">IF(ISERROR(VLOOKUP($P400,Member_Tab,5,FALSE())),0,VLOOKUP($P400,Member_Tab,5,FALSE())*IF(AND(AE$5 &gt; VLOOKUP($P400,Member_Tab,6,FALSE()),AE$5 &lt; VLOOKUP($P400,Member_Tab,7,FALSE())),1,0))</f>
        <v>0</v>
      </c>
      <c r="AF502" s="184" t="n">
        <f aca="false">IF(ISERROR(VLOOKUP($P400,Member_Tab,5,FALSE())),0,VLOOKUP($P400,Member_Tab,5,FALSE())*IF(AND(AF$5 &gt; VLOOKUP($P400,Member_Tab,6,FALSE()),AF$5 &lt; VLOOKUP($P400,Member_Tab,7,FALSE())),1,0))</f>
        <v>0</v>
      </c>
      <c r="AG502" s="184" t="n">
        <f aca="false">IF(ISERROR(VLOOKUP($P400,Member_Tab,5,FALSE())),0,VLOOKUP($P400,Member_Tab,5,FALSE())*IF(AND(AG$5 &gt; VLOOKUP($P400,Member_Tab,6,FALSE()),AG$5 &lt; VLOOKUP($P400,Member_Tab,7,FALSE())),1,0))</f>
        <v>0</v>
      </c>
      <c r="AH502" s="184" t="n">
        <f aca="false">IF(ISERROR(VLOOKUP($P400,Member_Tab,5,FALSE())),0,VLOOKUP($P400,Member_Tab,5,FALSE())*IF(AND(AH$5 &gt; VLOOKUP($P400,Member_Tab,6,FALSE()),AH$5 &lt; VLOOKUP($P400,Member_Tab,7,FALSE())),1,0))</f>
        <v>0</v>
      </c>
      <c r="AI502" s="184" t="n">
        <f aca="false">IF(ISERROR(VLOOKUP($P400,Member_Tab,5,FALSE())),0,VLOOKUP($P400,Member_Tab,5,FALSE())*IF(AND(AI$5 &gt; VLOOKUP($P400,Member_Tab,6,FALSE()),AI$5 &lt; VLOOKUP($P400,Member_Tab,7,FALSE())),1,0))</f>
        <v>0</v>
      </c>
      <c r="AJ502" s="184" t="n">
        <f aca="false">IF(ISERROR(VLOOKUP($P400,Member_Tab,5,FALSE())),0,VLOOKUP($P400,Member_Tab,5,FALSE())*IF(AND(AJ$5 &gt; VLOOKUP($P400,Member_Tab,6,FALSE()),AJ$5 &lt; VLOOKUP($P400,Member_Tab,7,FALSE())),1,0))</f>
        <v>0</v>
      </c>
      <c r="AK502" s="184" t="n">
        <f aca="false">IF(ISERROR(VLOOKUP($P400,Member_Tab,5,FALSE())),0,VLOOKUP($P400,Member_Tab,5,FALSE())*IF(AND(AK$5 &gt; VLOOKUP($P400,Member_Tab,6,FALSE()),AK$5 &lt; VLOOKUP($P400,Member_Tab,7,FALSE())),1,0))</f>
        <v>0</v>
      </c>
      <c r="AL502" s="184" t="n">
        <f aca="false">IF(ISERROR(VLOOKUP($P400,Member_Tab,5,FALSE())),0,VLOOKUP($P400,Member_Tab,5,FALSE())*IF(AND(AL$5 &gt; VLOOKUP($P400,Member_Tab,6,FALSE()),AL$5 &lt; VLOOKUP($P400,Member_Tab,7,FALSE())),1,0))</f>
        <v>0</v>
      </c>
      <c r="AM502" s="184" t="n">
        <f aca="false">IF(ISERROR(VLOOKUP($P400,Member_Tab,5,FALSE())),0,VLOOKUP($P400,Member_Tab,5,FALSE())*IF(AND(AM$5 &gt; VLOOKUP($P400,Member_Tab,6,FALSE()),AM$5 &lt; VLOOKUP($P400,Member_Tab,7,FALSE())),1,0))</f>
        <v>0</v>
      </c>
      <c r="AN502" s="184" t="n">
        <f aca="false">IF(ISERROR(VLOOKUP($P400,Member_Tab,5,FALSE())),0,VLOOKUP($P400,Member_Tab,5,FALSE())*IF(AND(AN$5 &gt; VLOOKUP($P400,Member_Tab,6,FALSE()),AN$5 &lt; VLOOKUP($P400,Member_Tab,7,FALSE())),1,0))</f>
        <v>0</v>
      </c>
      <c r="AO502" s="184" t="n">
        <f aca="false">IF(ISERROR(VLOOKUP($P400,Member_Tab,5,FALSE())),0,VLOOKUP($P400,Member_Tab,5,FALSE())*IF(AND(AO$5 &gt; VLOOKUP($P400,Member_Tab,6,FALSE()),AO$5 &lt; VLOOKUP($P400,Member_Tab,7,FALSE())),1,0))</f>
        <v>0</v>
      </c>
      <c r="AP502" s="184" t="n">
        <f aca="false">IF(ISERROR(VLOOKUP($P400,Member_Tab,5,FALSE())),0,VLOOKUP($P400,Member_Tab,5,FALSE())*IF(AND(AP$5 &gt; VLOOKUP($P400,Member_Tab,6,FALSE()),AP$5 &lt; VLOOKUP($P400,Member_Tab,7,FALSE())),1,0))</f>
        <v>0</v>
      </c>
      <c r="AQ502" s="184" t="n">
        <f aca="false">IF(ISERROR(VLOOKUP($P400,Member_Tab,5,FALSE())),0,VLOOKUP($P400,Member_Tab,5,FALSE())*IF(AND(AQ$5 &gt; VLOOKUP($P400,Member_Tab,6,FALSE()),AQ$5 &lt; VLOOKUP($P400,Member_Tab,7,FALSE())),1,0))</f>
        <v>0</v>
      </c>
      <c r="AR502" s="184" t="n">
        <f aca="false">IF(ISERROR(VLOOKUP($P400,Member_Tab,5,FALSE())),0,VLOOKUP($P400,Member_Tab,5,FALSE())*IF(AND(AR$5 &gt; VLOOKUP($P400,Member_Tab,6,FALSE()),AR$5 &lt; VLOOKUP($P400,Member_Tab,7,FALSE())),1,0))</f>
        <v>0</v>
      </c>
      <c r="AS502" s="184" t="n">
        <f aca="false">IF(ISERROR(VLOOKUP($P400,Member_Tab,5,FALSE())),0,VLOOKUP($P400,Member_Tab,5,FALSE())*IF(AND(AS$5 &gt; VLOOKUP($P400,Member_Tab,6,FALSE()),AS$5 &lt; VLOOKUP($P400,Member_Tab,7,FALSE())),1,0))</f>
        <v>0</v>
      </c>
      <c r="AT502" s="184" t="n">
        <f aca="false">IF(ISERROR(VLOOKUP($P400,Member_Tab,5,FALSE())),0,VLOOKUP($P400,Member_Tab,5,FALSE())*IF(AND(AT$5 &gt; VLOOKUP($P400,Member_Tab,6,FALSE()),AT$5 &lt; VLOOKUP($P400,Member_Tab,7,FALSE())),1,0))</f>
        <v>0</v>
      </c>
      <c r="AU502" s="184" t="n">
        <f aca="false">IF(ISERROR(VLOOKUP($P400,Member_Tab,5,FALSE())),0,VLOOKUP($P400,Member_Tab,5,FALSE())*IF(AND(AU$5 &gt; VLOOKUP($P400,Member_Tab,6,FALSE()),AU$5 &lt; VLOOKUP($P400,Member_Tab,7,FALSE())),1,0))</f>
        <v>0</v>
      </c>
      <c r="AV502" s="184" t="n">
        <f aca="false">IF(ISERROR(VLOOKUP($P400,Member_Tab,5,FALSE())),0,VLOOKUP($P400,Member_Tab,5,FALSE())*IF(AND(AV$5 &gt; VLOOKUP($P400,Member_Tab,6,FALSE()),AV$5 &lt; VLOOKUP($P400,Member_Tab,7,FALSE())),1,0))</f>
        <v>0</v>
      </c>
      <c r="AW502" s="184" t="n">
        <f aca="false">IF(ISERROR(VLOOKUP($P400,Member_Tab,5,FALSE())),0,VLOOKUP($P400,Member_Tab,5,FALSE())*IF(AND(AW$5 &gt; VLOOKUP($P400,Member_Tab,6,FALSE()),AW$5 &lt; VLOOKUP($P400,Member_Tab,7,FALSE())),1,0))</f>
        <v>0</v>
      </c>
      <c r="AX502" s="184" t="n">
        <f aca="false">IF(ISERROR(VLOOKUP($P400,Member_Tab,5,FALSE())),0,VLOOKUP($P400,Member_Tab,5,FALSE())*IF(AND(AX$5 &gt; VLOOKUP($P400,Member_Tab,6,FALSE()),AX$5 &lt; VLOOKUP($P400,Member_Tab,7,FALSE())),1,0))</f>
        <v>0</v>
      </c>
      <c r="AY502" s="184" t="n">
        <f aca="false">IF(ISERROR(VLOOKUP($P400,Member_Tab,5,FALSE())),0,VLOOKUP($P400,Member_Tab,5,FALSE())*IF(AND(AY$5 &gt; VLOOKUP($P400,Member_Tab,6,FALSE()),AY$5 &lt; VLOOKUP($P400,Member_Tab,7,FALSE())),1,0))</f>
        <v>0</v>
      </c>
      <c r="AZ502" s="184" t="n">
        <f aca="false">IF(ISERROR(VLOOKUP($P400,Member_Tab,5,FALSE())),0,VLOOKUP($P400,Member_Tab,5,FALSE())*IF(AND(AZ$5 &gt; VLOOKUP($P400,Member_Tab,6,FALSE()),AZ$5 &lt; VLOOKUP($P400,Member_Tab,7,FALSE())),1,0))</f>
        <v>0</v>
      </c>
      <c r="BA502" s="184" t="n">
        <f aca="false">IF(ISERROR(VLOOKUP($P400,Member_Tab,5,FALSE())),0,VLOOKUP($P400,Member_Tab,5,FALSE())*IF(AND(BA$5 &gt; VLOOKUP($P400,Member_Tab,6,FALSE()),BA$5 &lt; VLOOKUP($P400,Member_Tab,7,FALSE())),1,0))</f>
        <v>0</v>
      </c>
      <c r="BB502" s="184" t="n">
        <f aca="false">IF(ISERROR(VLOOKUP($P400,Member_Tab,5,FALSE())),0,VLOOKUP($P400,Member_Tab,5,FALSE())*IF(AND(BB$5 &gt; VLOOKUP($P400,Member_Tab,6,FALSE()),BB$5 &lt; VLOOKUP($P400,Member_Tab,7,FALSE())),1,0))</f>
        <v>0</v>
      </c>
    </row>
    <row r="503" s="173" customFormat="true" ht="15.75" hidden="true" customHeight="false" outlineLevel="1" collapsed="false">
      <c r="E503" s="40"/>
      <c r="K503" s="40"/>
      <c r="L503" s="40"/>
      <c r="M503" s="40"/>
      <c r="N503" s="40"/>
      <c r="P503" s="183" t="str">
        <f aca="false">P401</f>
        <v>Lastname11, Firstname11</v>
      </c>
      <c r="Q503" s="40"/>
      <c r="R503" s="182"/>
      <c r="S503" s="184" t="n">
        <f aca="false">IF(ISERROR(VLOOKUP($P401,Member_Tab,5,FALSE())),0,VLOOKUP($P401,Member_Tab,5,FALSE())*IF(AND(S$5 &gt; VLOOKUP($P401,Member_Tab,6,FALSE()),S$5 &lt; VLOOKUP($P401,Member_Tab,7,FALSE())),1,0))</f>
        <v>0</v>
      </c>
      <c r="T503" s="184" t="n">
        <f aca="false">IF(ISERROR(VLOOKUP($P401,Member_Tab,5,FALSE())),0,VLOOKUP($P401,Member_Tab,5,FALSE())*IF(AND(T$5 &gt; VLOOKUP($P401,Member_Tab,6,FALSE()),T$5 &lt; VLOOKUP($P401,Member_Tab,7,FALSE())),1,0))</f>
        <v>0</v>
      </c>
      <c r="U503" s="184" t="n">
        <f aca="false">IF(ISERROR(VLOOKUP($P401,Member_Tab,5,FALSE())),0,VLOOKUP($P401,Member_Tab,5,FALSE())*IF(AND(U$5 &gt; VLOOKUP($P401,Member_Tab,6,FALSE()),U$5 &lt; VLOOKUP($P401,Member_Tab,7,FALSE())),1,0))</f>
        <v>0</v>
      </c>
      <c r="V503" s="184" t="n">
        <f aca="false">IF(ISERROR(VLOOKUP($P401,Member_Tab,5,FALSE())),0,VLOOKUP($P401,Member_Tab,5,FALSE())*IF(AND(V$5 &gt; VLOOKUP($P401,Member_Tab,6,FALSE()),V$5 &lt; VLOOKUP($P401,Member_Tab,7,FALSE())),1,0))</f>
        <v>0</v>
      </c>
      <c r="W503" s="184" t="n">
        <f aca="false">IF(ISERROR(VLOOKUP($P401,Member_Tab,5,FALSE())),0,VLOOKUP($P401,Member_Tab,5,FALSE())*IF(AND(W$5 &gt; VLOOKUP($P401,Member_Tab,6,FALSE()),W$5 &lt; VLOOKUP($P401,Member_Tab,7,FALSE())),1,0))</f>
        <v>0</v>
      </c>
      <c r="X503" s="184" t="n">
        <f aca="false">IF(ISERROR(VLOOKUP($P401,Member_Tab,5,FALSE())),0,VLOOKUP($P401,Member_Tab,5,FALSE())*IF(AND(X$5 &gt; VLOOKUP($P401,Member_Tab,6,FALSE()),X$5 &lt; VLOOKUP($P401,Member_Tab,7,FALSE())),1,0))</f>
        <v>0</v>
      </c>
      <c r="Y503" s="184" t="n">
        <f aca="false">IF(ISERROR(VLOOKUP($P401,Member_Tab,5,FALSE())),0,VLOOKUP($P401,Member_Tab,5,FALSE())*IF(AND(Y$5 &gt; VLOOKUP($P401,Member_Tab,6,FALSE()),Y$5 &lt; VLOOKUP($P401,Member_Tab,7,FALSE())),1,0))</f>
        <v>0</v>
      </c>
      <c r="Z503" s="184" t="n">
        <f aca="false">IF(ISERROR(VLOOKUP($P401,Member_Tab,5,FALSE())),0,VLOOKUP($P401,Member_Tab,5,FALSE())*IF(AND(Z$5 &gt; VLOOKUP($P401,Member_Tab,6,FALSE()),Z$5 &lt; VLOOKUP($P401,Member_Tab,7,FALSE())),1,0))</f>
        <v>0</v>
      </c>
      <c r="AA503" s="184" t="n">
        <f aca="false">IF(ISERROR(VLOOKUP($P401,Member_Tab,5,FALSE())),0,VLOOKUP($P401,Member_Tab,5,FALSE())*IF(AND(AA$5 &gt; VLOOKUP($P401,Member_Tab,6,FALSE()),AA$5 &lt; VLOOKUP($P401,Member_Tab,7,FALSE())),1,0))</f>
        <v>0</v>
      </c>
      <c r="AB503" s="184" t="n">
        <f aca="false">IF(ISERROR(VLOOKUP($P401,Member_Tab,5,FALSE())),0,VLOOKUP($P401,Member_Tab,5,FALSE())*IF(AND(AB$5 &gt; VLOOKUP($P401,Member_Tab,6,FALSE()),AB$5 &lt; VLOOKUP($P401,Member_Tab,7,FALSE())),1,0))</f>
        <v>0</v>
      </c>
      <c r="AC503" s="184" t="n">
        <f aca="false">IF(ISERROR(VLOOKUP($P401,Member_Tab,5,FALSE())),0,VLOOKUP($P401,Member_Tab,5,FALSE())*IF(AND(AC$5 &gt; VLOOKUP($P401,Member_Tab,6,FALSE()),AC$5 &lt; VLOOKUP($P401,Member_Tab,7,FALSE())),1,0))</f>
        <v>0</v>
      </c>
      <c r="AD503" s="184" t="n">
        <f aca="false">IF(ISERROR(VLOOKUP($P401,Member_Tab,5,FALSE())),0,VLOOKUP($P401,Member_Tab,5,FALSE())*IF(AND(AD$5 &gt; VLOOKUP($P401,Member_Tab,6,FALSE()),AD$5 &lt; VLOOKUP($P401,Member_Tab,7,FALSE())),1,0))</f>
        <v>0</v>
      </c>
      <c r="AE503" s="184" t="n">
        <f aca="false">IF(ISERROR(VLOOKUP($P401,Member_Tab,5,FALSE())),0,VLOOKUP($P401,Member_Tab,5,FALSE())*IF(AND(AE$5 &gt; VLOOKUP($P401,Member_Tab,6,FALSE()),AE$5 &lt; VLOOKUP($P401,Member_Tab,7,FALSE())),1,0))</f>
        <v>0</v>
      </c>
      <c r="AF503" s="184" t="n">
        <f aca="false">IF(ISERROR(VLOOKUP($P401,Member_Tab,5,FALSE())),0,VLOOKUP($P401,Member_Tab,5,FALSE())*IF(AND(AF$5 &gt; VLOOKUP($P401,Member_Tab,6,FALSE()),AF$5 &lt; VLOOKUP($P401,Member_Tab,7,FALSE())),1,0))</f>
        <v>0</v>
      </c>
      <c r="AG503" s="184" t="n">
        <f aca="false">IF(ISERROR(VLOOKUP($P401,Member_Tab,5,FALSE())),0,VLOOKUP($P401,Member_Tab,5,FALSE())*IF(AND(AG$5 &gt; VLOOKUP($P401,Member_Tab,6,FALSE()),AG$5 &lt; VLOOKUP($P401,Member_Tab,7,FALSE())),1,0))</f>
        <v>0</v>
      </c>
      <c r="AH503" s="184" t="n">
        <f aca="false">IF(ISERROR(VLOOKUP($P401,Member_Tab,5,FALSE())),0,VLOOKUP($P401,Member_Tab,5,FALSE())*IF(AND(AH$5 &gt; VLOOKUP($P401,Member_Tab,6,FALSE()),AH$5 &lt; VLOOKUP($P401,Member_Tab,7,FALSE())),1,0))</f>
        <v>0</v>
      </c>
      <c r="AI503" s="184" t="n">
        <f aca="false">IF(ISERROR(VLOOKUP($P401,Member_Tab,5,FALSE())),0,VLOOKUP($P401,Member_Tab,5,FALSE())*IF(AND(AI$5 &gt; VLOOKUP($P401,Member_Tab,6,FALSE()),AI$5 &lt; VLOOKUP($P401,Member_Tab,7,FALSE())),1,0))</f>
        <v>0</v>
      </c>
      <c r="AJ503" s="184" t="n">
        <f aca="false">IF(ISERROR(VLOOKUP($P401,Member_Tab,5,FALSE())),0,VLOOKUP($P401,Member_Tab,5,FALSE())*IF(AND(AJ$5 &gt; VLOOKUP($P401,Member_Tab,6,FALSE()),AJ$5 &lt; VLOOKUP($P401,Member_Tab,7,FALSE())),1,0))</f>
        <v>0</v>
      </c>
      <c r="AK503" s="184" t="n">
        <f aca="false">IF(ISERROR(VLOOKUP($P401,Member_Tab,5,FALSE())),0,VLOOKUP($P401,Member_Tab,5,FALSE())*IF(AND(AK$5 &gt; VLOOKUP($P401,Member_Tab,6,FALSE()),AK$5 &lt; VLOOKUP($P401,Member_Tab,7,FALSE())),1,0))</f>
        <v>0</v>
      </c>
      <c r="AL503" s="184" t="n">
        <f aca="false">IF(ISERROR(VLOOKUP($P401,Member_Tab,5,FALSE())),0,VLOOKUP($P401,Member_Tab,5,FALSE())*IF(AND(AL$5 &gt; VLOOKUP($P401,Member_Tab,6,FALSE()),AL$5 &lt; VLOOKUP($P401,Member_Tab,7,FALSE())),1,0))</f>
        <v>0</v>
      </c>
      <c r="AM503" s="184" t="n">
        <f aca="false">IF(ISERROR(VLOOKUP($P401,Member_Tab,5,FALSE())),0,VLOOKUP($P401,Member_Tab,5,FALSE())*IF(AND(AM$5 &gt; VLOOKUP($P401,Member_Tab,6,FALSE()),AM$5 &lt; VLOOKUP($P401,Member_Tab,7,FALSE())),1,0))</f>
        <v>0</v>
      </c>
      <c r="AN503" s="184" t="n">
        <f aca="false">IF(ISERROR(VLOOKUP($P401,Member_Tab,5,FALSE())),0,VLOOKUP($P401,Member_Tab,5,FALSE())*IF(AND(AN$5 &gt; VLOOKUP($P401,Member_Tab,6,FALSE()),AN$5 &lt; VLOOKUP($P401,Member_Tab,7,FALSE())),1,0))</f>
        <v>0</v>
      </c>
      <c r="AO503" s="184" t="n">
        <f aca="false">IF(ISERROR(VLOOKUP($P401,Member_Tab,5,FALSE())),0,VLOOKUP($P401,Member_Tab,5,FALSE())*IF(AND(AO$5 &gt; VLOOKUP($P401,Member_Tab,6,FALSE()),AO$5 &lt; VLOOKUP($P401,Member_Tab,7,FALSE())),1,0))</f>
        <v>0</v>
      </c>
      <c r="AP503" s="184" t="n">
        <f aca="false">IF(ISERROR(VLOOKUP($P401,Member_Tab,5,FALSE())),0,VLOOKUP($P401,Member_Tab,5,FALSE())*IF(AND(AP$5 &gt; VLOOKUP($P401,Member_Tab,6,FALSE()),AP$5 &lt; VLOOKUP($P401,Member_Tab,7,FALSE())),1,0))</f>
        <v>0</v>
      </c>
      <c r="AQ503" s="184" t="n">
        <f aca="false">IF(ISERROR(VLOOKUP($P401,Member_Tab,5,FALSE())),0,VLOOKUP($P401,Member_Tab,5,FALSE())*IF(AND(AQ$5 &gt; VLOOKUP($P401,Member_Tab,6,FALSE()),AQ$5 &lt; VLOOKUP($P401,Member_Tab,7,FALSE())),1,0))</f>
        <v>0</v>
      </c>
      <c r="AR503" s="184" t="n">
        <f aca="false">IF(ISERROR(VLOOKUP($P401,Member_Tab,5,FALSE())),0,VLOOKUP($P401,Member_Tab,5,FALSE())*IF(AND(AR$5 &gt; VLOOKUP($P401,Member_Tab,6,FALSE()),AR$5 &lt; VLOOKUP($P401,Member_Tab,7,FALSE())),1,0))</f>
        <v>0</v>
      </c>
      <c r="AS503" s="184" t="n">
        <f aca="false">IF(ISERROR(VLOOKUP($P401,Member_Tab,5,FALSE())),0,VLOOKUP($P401,Member_Tab,5,FALSE())*IF(AND(AS$5 &gt; VLOOKUP($P401,Member_Tab,6,FALSE()),AS$5 &lt; VLOOKUP($P401,Member_Tab,7,FALSE())),1,0))</f>
        <v>0</v>
      </c>
      <c r="AT503" s="184" t="n">
        <f aca="false">IF(ISERROR(VLOOKUP($P401,Member_Tab,5,FALSE())),0,VLOOKUP($P401,Member_Tab,5,FALSE())*IF(AND(AT$5 &gt; VLOOKUP($P401,Member_Tab,6,FALSE()),AT$5 &lt; VLOOKUP($P401,Member_Tab,7,FALSE())),1,0))</f>
        <v>0</v>
      </c>
      <c r="AU503" s="184" t="n">
        <f aca="false">IF(ISERROR(VLOOKUP($P401,Member_Tab,5,FALSE())),0,VLOOKUP($P401,Member_Tab,5,FALSE())*IF(AND(AU$5 &gt; VLOOKUP($P401,Member_Tab,6,FALSE()),AU$5 &lt; VLOOKUP($P401,Member_Tab,7,FALSE())),1,0))</f>
        <v>0</v>
      </c>
      <c r="AV503" s="184" t="n">
        <f aca="false">IF(ISERROR(VLOOKUP($P401,Member_Tab,5,FALSE())),0,VLOOKUP($P401,Member_Tab,5,FALSE())*IF(AND(AV$5 &gt; VLOOKUP($P401,Member_Tab,6,FALSE()),AV$5 &lt; VLOOKUP($P401,Member_Tab,7,FALSE())),1,0))</f>
        <v>0</v>
      </c>
      <c r="AW503" s="184" t="n">
        <f aca="false">IF(ISERROR(VLOOKUP($P401,Member_Tab,5,FALSE())),0,VLOOKUP($P401,Member_Tab,5,FALSE())*IF(AND(AW$5 &gt; VLOOKUP($P401,Member_Tab,6,FALSE()),AW$5 &lt; VLOOKUP($P401,Member_Tab,7,FALSE())),1,0))</f>
        <v>0</v>
      </c>
      <c r="AX503" s="184" t="n">
        <f aca="false">IF(ISERROR(VLOOKUP($P401,Member_Tab,5,FALSE())),0,VLOOKUP($P401,Member_Tab,5,FALSE())*IF(AND(AX$5 &gt; VLOOKUP($P401,Member_Tab,6,FALSE()),AX$5 &lt; VLOOKUP($P401,Member_Tab,7,FALSE())),1,0))</f>
        <v>0</v>
      </c>
      <c r="AY503" s="184" t="n">
        <f aca="false">IF(ISERROR(VLOOKUP($P401,Member_Tab,5,FALSE())),0,VLOOKUP($P401,Member_Tab,5,FALSE())*IF(AND(AY$5 &gt; VLOOKUP($P401,Member_Tab,6,FALSE()),AY$5 &lt; VLOOKUP($P401,Member_Tab,7,FALSE())),1,0))</f>
        <v>0</v>
      </c>
      <c r="AZ503" s="184" t="n">
        <f aca="false">IF(ISERROR(VLOOKUP($P401,Member_Tab,5,FALSE())),0,VLOOKUP($P401,Member_Tab,5,FALSE())*IF(AND(AZ$5 &gt; VLOOKUP($P401,Member_Tab,6,FALSE()),AZ$5 &lt; VLOOKUP($P401,Member_Tab,7,FALSE())),1,0))</f>
        <v>0</v>
      </c>
      <c r="BA503" s="184" t="n">
        <f aca="false">IF(ISERROR(VLOOKUP($P401,Member_Tab,5,FALSE())),0,VLOOKUP($P401,Member_Tab,5,FALSE())*IF(AND(BA$5 &gt; VLOOKUP($P401,Member_Tab,6,FALSE()),BA$5 &lt; VLOOKUP($P401,Member_Tab,7,FALSE())),1,0))</f>
        <v>0</v>
      </c>
      <c r="BB503" s="184" t="n">
        <f aca="false">IF(ISERROR(VLOOKUP($P401,Member_Tab,5,FALSE())),0,VLOOKUP($P401,Member_Tab,5,FALSE())*IF(AND(BB$5 &gt; VLOOKUP($P401,Member_Tab,6,FALSE()),BB$5 &lt; VLOOKUP($P401,Member_Tab,7,FALSE())),1,0))</f>
        <v>0</v>
      </c>
    </row>
    <row r="504" s="173" customFormat="true" ht="15.75" hidden="true" customHeight="false" outlineLevel="1" collapsed="false">
      <c r="E504" s="40"/>
      <c r="K504" s="40"/>
      <c r="L504" s="40"/>
      <c r="M504" s="40"/>
      <c r="N504" s="40"/>
      <c r="P504" s="183" t="str">
        <f aca="false">P402</f>
        <v>Lastname12, Firstname12</v>
      </c>
      <c r="Q504" s="40"/>
      <c r="R504" s="182"/>
      <c r="S504" s="184" t="n">
        <f aca="false">IF(ISERROR(VLOOKUP($P402,Member_Tab,5,FALSE())),0,VLOOKUP($P402,Member_Tab,5,FALSE())*IF(AND(S$5 &gt; VLOOKUP($P402,Member_Tab,6,FALSE()),S$5 &lt; VLOOKUP($P402,Member_Tab,7,FALSE())),1,0))</f>
        <v>0</v>
      </c>
      <c r="T504" s="184" t="n">
        <f aca="false">IF(ISERROR(VLOOKUP($P402,Member_Tab,5,FALSE())),0,VLOOKUP($P402,Member_Tab,5,FALSE())*IF(AND(T$5 &gt; VLOOKUP($P402,Member_Tab,6,FALSE()),T$5 &lt; VLOOKUP($P402,Member_Tab,7,FALSE())),1,0))</f>
        <v>0</v>
      </c>
      <c r="U504" s="184" t="n">
        <f aca="false">IF(ISERROR(VLOOKUP($P402,Member_Tab,5,FALSE())),0,VLOOKUP($P402,Member_Tab,5,FALSE())*IF(AND(U$5 &gt; VLOOKUP($P402,Member_Tab,6,FALSE()),U$5 &lt; VLOOKUP($P402,Member_Tab,7,FALSE())),1,0))</f>
        <v>0</v>
      </c>
      <c r="V504" s="184" t="n">
        <f aca="false">IF(ISERROR(VLOOKUP($P402,Member_Tab,5,FALSE())),0,VLOOKUP($P402,Member_Tab,5,FALSE())*IF(AND(V$5 &gt; VLOOKUP($P402,Member_Tab,6,FALSE()),V$5 &lt; VLOOKUP($P402,Member_Tab,7,FALSE())),1,0))</f>
        <v>0</v>
      </c>
      <c r="W504" s="184" t="n">
        <f aca="false">IF(ISERROR(VLOOKUP($P402,Member_Tab,5,FALSE())),0,VLOOKUP($P402,Member_Tab,5,FALSE())*IF(AND(W$5 &gt; VLOOKUP($P402,Member_Tab,6,FALSE()),W$5 &lt; VLOOKUP($P402,Member_Tab,7,FALSE())),1,0))</f>
        <v>0</v>
      </c>
      <c r="X504" s="184" t="n">
        <f aca="false">IF(ISERROR(VLOOKUP($P402,Member_Tab,5,FALSE())),0,VLOOKUP($P402,Member_Tab,5,FALSE())*IF(AND(X$5 &gt; VLOOKUP($P402,Member_Tab,6,FALSE()),X$5 &lt; VLOOKUP($P402,Member_Tab,7,FALSE())),1,0))</f>
        <v>0</v>
      </c>
      <c r="Y504" s="184" t="n">
        <f aca="false">IF(ISERROR(VLOOKUP($P402,Member_Tab,5,FALSE())),0,VLOOKUP($P402,Member_Tab,5,FALSE())*IF(AND(Y$5 &gt; VLOOKUP($P402,Member_Tab,6,FALSE()),Y$5 &lt; VLOOKUP($P402,Member_Tab,7,FALSE())),1,0))</f>
        <v>0</v>
      </c>
      <c r="Z504" s="184" t="n">
        <f aca="false">IF(ISERROR(VLOOKUP($P402,Member_Tab,5,FALSE())),0,VLOOKUP($P402,Member_Tab,5,FALSE())*IF(AND(Z$5 &gt; VLOOKUP($P402,Member_Tab,6,FALSE()),Z$5 &lt; VLOOKUP($P402,Member_Tab,7,FALSE())),1,0))</f>
        <v>0</v>
      </c>
      <c r="AA504" s="184" t="n">
        <f aca="false">IF(ISERROR(VLOOKUP($P402,Member_Tab,5,FALSE())),0,VLOOKUP($P402,Member_Tab,5,FALSE())*IF(AND(AA$5 &gt; VLOOKUP($P402,Member_Tab,6,FALSE()),AA$5 &lt; VLOOKUP($P402,Member_Tab,7,FALSE())),1,0))</f>
        <v>0</v>
      </c>
      <c r="AB504" s="184" t="n">
        <f aca="false">IF(ISERROR(VLOOKUP($P402,Member_Tab,5,FALSE())),0,VLOOKUP($P402,Member_Tab,5,FALSE())*IF(AND(AB$5 &gt; VLOOKUP($P402,Member_Tab,6,FALSE()),AB$5 &lt; VLOOKUP($P402,Member_Tab,7,FALSE())),1,0))</f>
        <v>0</v>
      </c>
      <c r="AC504" s="184" t="n">
        <f aca="false">IF(ISERROR(VLOOKUP($P402,Member_Tab,5,FALSE())),0,VLOOKUP($P402,Member_Tab,5,FALSE())*IF(AND(AC$5 &gt; VLOOKUP($P402,Member_Tab,6,FALSE()),AC$5 &lt; VLOOKUP($P402,Member_Tab,7,FALSE())),1,0))</f>
        <v>0</v>
      </c>
      <c r="AD504" s="184" t="n">
        <f aca="false">IF(ISERROR(VLOOKUP($P402,Member_Tab,5,FALSE())),0,VLOOKUP($P402,Member_Tab,5,FALSE())*IF(AND(AD$5 &gt; VLOOKUP($P402,Member_Tab,6,FALSE()),AD$5 &lt; VLOOKUP($P402,Member_Tab,7,FALSE())),1,0))</f>
        <v>0</v>
      </c>
      <c r="AE504" s="184" t="n">
        <f aca="false">IF(ISERROR(VLOOKUP($P402,Member_Tab,5,FALSE())),0,VLOOKUP($P402,Member_Tab,5,FALSE())*IF(AND(AE$5 &gt; VLOOKUP($P402,Member_Tab,6,FALSE()),AE$5 &lt; VLOOKUP($P402,Member_Tab,7,FALSE())),1,0))</f>
        <v>0</v>
      </c>
      <c r="AF504" s="184" t="n">
        <f aca="false">IF(ISERROR(VLOOKUP($P402,Member_Tab,5,FALSE())),0,VLOOKUP($P402,Member_Tab,5,FALSE())*IF(AND(AF$5 &gt; VLOOKUP($P402,Member_Tab,6,FALSE()),AF$5 &lt; VLOOKUP($P402,Member_Tab,7,FALSE())),1,0))</f>
        <v>0</v>
      </c>
      <c r="AG504" s="184" t="n">
        <f aca="false">IF(ISERROR(VLOOKUP($P402,Member_Tab,5,FALSE())),0,VLOOKUP($P402,Member_Tab,5,FALSE())*IF(AND(AG$5 &gt; VLOOKUP($P402,Member_Tab,6,FALSE()),AG$5 &lt; VLOOKUP($P402,Member_Tab,7,FALSE())),1,0))</f>
        <v>0</v>
      </c>
      <c r="AH504" s="184" t="n">
        <f aca="false">IF(ISERROR(VLOOKUP($P402,Member_Tab,5,FALSE())),0,VLOOKUP($P402,Member_Tab,5,FALSE())*IF(AND(AH$5 &gt; VLOOKUP($P402,Member_Tab,6,FALSE()),AH$5 &lt; VLOOKUP($P402,Member_Tab,7,FALSE())),1,0))</f>
        <v>0</v>
      </c>
      <c r="AI504" s="184" t="n">
        <f aca="false">IF(ISERROR(VLOOKUP($P402,Member_Tab,5,FALSE())),0,VLOOKUP($P402,Member_Tab,5,FALSE())*IF(AND(AI$5 &gt; VLOOKUP($P402,Member_Tab,6,FALSE()),AI$5 &lt; VLOOKUP($P402,Member_Tab,7,FALSE())),1,0))</f>
        <v>0</v>
      </c>
      <c r="AJ504" s="184" t="n">
        <f aca="false">IF(ISERROR(VLOOKUP($P402,Member_Tab,5,FALSE())),0,VLOOKUP($P402,Member_Tab,5,FALSE())*IF(AND(AJ$5 &gt; VLOOKUP($P402,Member_Tab,6,FALSE()),AJ$5 &lt; VLOOKUP($P402,Member_Tab,7,FALSE())),1,0))</f>
        <v>0</v>
      </c>
      <c r="AK504" s="184" t="n">
        <f aca="false">IF(ISERROR(VLOOKUP($P402,Member_Tab,5,FALSE())),0,VLOOKUP($P402,Member_Tab,5,FALSE())*IF(AND(AK$5 &gt; VLOOKUP($P402,Member_Tab,6,FALSE()),AK$5 &lt; VLOOKUP($P402,Member_Tab,7,FALSE())),1,0))</f>
        <v>0</v>
      </c>
      <c r="AL504" s="184" t="n">
        <f aca="false">IF(ISERROR(VLOOKUP($P402,Member_Tab,5,FALSE())),0,VLOOKUP($P402,Member_Tab,5,FALSE())*IF(AND(AL$5 &gt; VLOOKUP($P402,Member_Tab,6,FALSE()),AL$5 &lt; VLOOKUP($P402,Member_Tab,7,FALSE())),1,0))</f>
        <v>0</v>
      </c>
      <c r="AM504" s="184" t="n">
        <f aca="false">IF(ISERROR(VLOOKUP($P402,Member_Tab,5,FALSE())),0,VLOOKUP($P402,Member_Tab,5,FALSE())*IF(AND(AM$5 &gt; VLOOKUP($P402,Member_Tab,6,FALSE()),AM$5 &lt; VLOOKUP($P402,Member_Tab,7,FALSE())),1,0))</f>
        <v>0</v>
      </c>
      <c r="AN504" s="184" t="n">
        <f aca="false">IF(ISERROR(VLOOKUP($P402,Member_Tab,5,FALSE())),0,VLOOKUP($P402,Member_Tab,5,FALSE())*IF(AND(AN$5 &gt; VLOOKUP($P402,Member_Tab,6,FALSE()),AN$5 &lt; VLOOKUP($P402,Member_Tab,7,FALSE())),1,0))</f>
        <v>0</v>
      </c>
      <c r="AO504" s="184" t="n">
        <f aca="false">IF(ISERROR(VLOOKUP($P402,Member_Tab,5,FALSE())),0,VLOOKUP($P402,Member_Tab,5,FALSE())*IF(AND(AO$5 &gt; VLOOKUP($P402,Member_Tab,6,FALSE()),AO$5 &lt; VLOOKUP($P402,Member_Tab,7,FALSE())),1,0))</f>
        <v>0</v>
      </c>
      <c r="AP504" s="184" t="n">
        <f aca="false">IF(ISERROR(VLOOKUP($P402,Member_Tab,5,FALSE())),0,VLOOKUP($P402,Member_Tab,5,FALSE())*IF(AND(AP$5 &gt; VLOOKUP($P402,Member_Tab,6,FALSE()),AP$5 &lt; VLOOKUP($P402,Member_Tab,7,FALSE())),1,0))</f>
        <v>0</v>
      </c>
      <c r="AQ504" s="184" t="n">
        <f aca="false">IF(ISERROR(VLOOKUP($P402,Member_Tab,5,FALSE())),0,VLOOKUP($P402,Member_Tab,5,FALSE())*IF(AND(AQ$5 &gt; VLOOKUP($P402,Member_Tab,6,FALSE()),AQ$5 &lt; VLOOKUP($P402,Member_Tab,7,FALSE())),1,0))</f>
        <v>0</v>
      </c>
      <c r="AR504" s="184" t="n">
        <f aca="false">IF(ISERROR(VLOOKUP($P402,Member_Tab,5,FALSE())),0,VLOOKUP($P402,Member_Tab,5,FALSE())*IF(AND(AR$5 &gt; VLOOKUP($P402,Member_Tab,6,FALSE()),AR$5 &lt; VLOOKUP($P402,Member_Tab,7,FALSE())),1,0))</f>
        <v>0</v>
      </c>
      <c r="AS504" s="184" t="n">
        <f aca="false">IF(ISERROR(VLOOKUP($P402,Member_Tab,5,FALSE())),0,VLOOKUP($P402,Member_Tab,5,FALSE())*IF(AND(AS$5 &gt; VLOOKUP($P402,Member_Tab,6,FALSE()),AS$5 &lt; VLOOKUP($P402,Member_Tab,7,FALSE())),1,0))</f>
        <v>0</v>
      </c>
      <c r="AT504" s="184" t="n">
        <f aca="false">IF(ISERROR(VLOOKUP($P402,Member_Tab,5,FALSE())),0,VLOOKUP($P402,Member_Tab,5,FALSE())*IF(AND(AT$5 &gt; VLOOKUP($P402,Member_Tab,6,FALSE()),AT$5 &lt; VLOOKUP($P402,Member_Tab,7,FALSE())),1,0))</f>
        <v>0</v>
      </c>
      <c r="AU504" s="184" t="n">
        <f aca="false">IF(ISERROR(VLOOKUP($P402,Member_Tab,5,FALSE())),0,VLOOKUP($P402,Member_Tab,5,FALSE())*IF(AND(AU$5 &gt; VLOOKUP($P402,Member_Tab,6,FALSE()),AU$5 &lt; VLOOKUP($P402,Member_Tab,7,FALSE())),1,0))</f>
        <v>0</v>
      </c>
      <c r="AV504" s="184" t="n">
        <f aca="false">IF(ISERROR(VLOOKUP($P402,Member_Tab,5,FALSE())),0,VLOOKUP($P402,Member_Tab,5,FALSE())*IF(AND(AV$5 &gt; VLOOKUP($P402,Member_Tab,6,FALSE()),AV$5 &lt; VLOOKUP($P402,Member_Tab,7,FALSE())),1,0))</f>
        <v>0</v>
      </c>
      <c r="AW504" s="184" t="n">
        <f aca="false">IF(ISERROR(VLOOKUP($P402,Member_Tab,5,FALSE())),0,VLOOKUP($P402,Member_Tab,5,FALSE())*IF(AND(AW$5 &gt; VLOOKUP($P402,Member_Tab,6,FALSE()),AW$5 &lt; VLOOKUP($P402,Member_Tab,7,FALSE())),1,0))</f>
        <v>0</v>
      </c>
      <c r="AX504" s="184" t="n">
        <f aca="false">IF(ISERROR(VLOOKUP($P402,Member_Tab,5,FALSE())),0,VLOOKUP($P402,Member_Tab,5,FALSE())*IF(AND(AX$5 &gt; VLOOKUP($P402,Member_Tab,6,FALSE()),AX$5 &lt; VLOOKUP($P402,Member_Tab,7,FALSE())),1,0))</f>
        <v>0</v>
      </c>
      <c r="AY504" s="184" t="n">
        <f aca="false">IF(ISERROR(VLOOKUP($P402,Member_Tab,5,FALSE())),0,VLOOKUP($P402,Member_Tab,5,FALSE())*IF(AND(AY$5 &gt; VLOOKUP($P402,Member_Tab,6,FALSE()),AY$5 &lt; VLOOKUP($P402,Member_Tab,7,FALSE())),1,0))</f>
        <v>0</v>
      </c>
      <c r="AZ504" s="184" t="n">
        <f aca="false">IF(ISERROR(VLOOKUP($P402,Member_Tab,5,FALSE())),0,VLOOKUP($P402,Member_Tab,5,FALSE())*IF(AND(AZ$5 &gt; VLOOKUP($P402,Member_Tab,6,FALSE()),AZ$5 &lt; VLOOKUP($P402,Member_Tab,7,FALSE())),1,0))</f>
        <v>0</v>
      </c>
      <c r="BA504" s="184" t="n">
        <f aca="false">IF(ISERROR(VLOOKUP($P402,Member_Tab,5,FALSE())),0,VLOOKUP($P402,Member_Tab,5,FALSE())*IF(AND(BA$5 &gt; VLOOKUP($P402,Member_Tab,6,FALSE()),BA$5 &lt; VLOOKUP($P402,Member_Tab,7,FALSE())),1,0))</f>
        <v>0</v>
      </c>
      <c r="BB504" s="184" t="n">
        <f aca="false">IF(ISERROR(VLOOKUP($P402,Member_Tab,5,FALSE())),0,VLOOKUP($P402,Member_Tab,5,FALSE())*IF(AND(BB$5 &gt; VLOOKUP($P402,Member_Tab,6,FALSE()),BB$5 &lt; VLOOKUP($P402,Member_Tab,7,FALSE())),1,0))</f>
        <v>0</v>
      </c>
    </row>
    <row r="505" s="173" customFormat="true" ht="15.75" hidden="true" customHeight="false" outlineLevel="1" collapsed="false">
      <c r="E505" s="40"/>
      <c r="K505" s="40"/>
      <c r="L505" s="40"/>
      <c r="M505" s="40"/>
      <c r="N505" s="40"/>
      <c r="P505" s="183" t="str">
        <f aca="false">P403</f>
        <v>Lastname13, Firstname13</v>
      </c>
      <c r="Q505" s="40"/>
      <c r="R505" s="182"/>
      <c r="S505" s="184" t="n">
        <f aca="false">IF(ISERROR(VLOOKUP($P403,Member_Tab,5,FALSE())),0,VLOOKUP($P403,Member_Tab,5,FALSE())*IF(AND(S$5 &gt; VLOOKUP($P403,Member_Tab,6,FALSE()),S$5 &lt; VLOOKUP($P403,Member_Tab,7,FALSE())),1,0))</f>
        <v>0</v>
      </c>
      <c r="T505" s="184" t="n">
        <f aca="false">IF(ISERROR(VLOOKUP($P403,Member_Tab,5,FALSE())),0,VLOOKUP($P403,Member_Tab,5,FALSE())*IF(AND(T$5 &gt; VLOOKUP($P403,Member_Tab,6,FALSE()),T$5 &lt; VLOOKUP($P403,Member_Tab,7,FALSE())),1,0))</f>
        <v>0</v>
      </c>
      <c r="U505" s="184" t="n">
        <f aca="false">IF(ISERROR(VLOOKUP($P403,Member_Tab,5,FALSE())),0,VLOOKUP($P403,Member_Tab,5,FALSE())*IF(AND(U$5 &gt; VLOOKUP($P403,Member_Tab,6,FALSE()),U$5 &lt; VLOOKUP($P403,Member_Tab,7,FALSE())),1,0))</f>
        <v>0</v>
      </c>
      <c r="V505" s="184" t="n">
        <f aca="false">IF(ISERROR(VLOOKUP($P403,Member_Tab,5,FALSE())),0,VLOOKUP($P403,Member_Tab,5,FALSE())*IF(AND(V$5 &gt; VLOOKUP($P403,Member_Tab,6,FALSE()),V$5 &lt; VLOOKUP($P403,Member_Tab,7,FALSE())),1,0))</f>
        <v>0</v>
      </c>
      <c r="W505" s="184" t="n">
        <f aca="false">IF(ISERROR(VLOOKUP($P403,Member_Tab,5,FALSE())),0,VLOOKUP($P403,Member_Tab,5,FALSE())*IF(AND(W$5 &gt; VLOOKUP($P403,Member_Tab,6,FALSE()),W$5 &lt; VLOOKUP($P403,Member_Tab,7,FALSE())),1,0))</f>
        <v>0</v>
      </c>
      <c r="X505" s="184" t="n">
        <f aca="false">IF(ISERROR(VLOOKUP($P403,Member_Tab,5,FALSE())),0,VLOOKUP($P403,Member_Tab,5,FALSE())*IF(AND(X$5 &gt; VLOOKUP($P403,Member_Tab,6,FALSE()),X$5 &lt; VLOOKUP($P403,Member_Tab,7,FALSE())),1,0))</f>
        <v>0</v>
      </c>
      <c r="Y505" s="184" t="n">
        <f aca="false">IF(ISERROR(VLOOKUP($P403,Member_Tab,5,FALSE())),0,VLOOKUP($P403,Member_Tab,5,FALSE())*IF(AND(Y$5 &gt; VLOOKUP($P403,Member_Tab,6,FALSE()),Y$5 &lt; VLOOKUP($P403,Member_Tab,7,FALSE())),1,0))</f>
        <v>0</v>
      </c>
      <c r="Z505" s="184" t="n">
        <f aca="false">IF(ISERROR(VLOOKUP($P403,Member_Tab,5,FALSE())),0,VLOOKUP($P403,Member_Tab,5,FALSE())*IF(AND(Z$5 &gt; VLOOKUP($P403,Member_Tab,6,FALSE()),Z$5 &lt; VLOOKUP($P403,Member_Tab,7,FALSE())),1,0))</f>
        <v>0</v>
      </c>
      <c r="AA505" s="184" t="n">
        <f aca="false">IF(ISERROR(VLOOKUP($P403,Member_Tab,5,FALSE())),0,VLOOKUP($P403,Member_Tab,5,FALSE())*IF(AND(AA$5 &gt; VLOOKUP($P403,Member_Tab,6,FALSE()),AA$5 &lt; VLOOKUP($P403,Member_Tab,7,FALSE())),1,0))</f>
        <v>0</v>
      </c>
      <c r="AB505" s="184" t="n">
        <f aca="false">IF(ISERROR(VLOOKUP($P403,Member_Tab,5,FALSE())),0,VLOOKUP($P403,Member_Tab,5,FALSE())*IF(AND(AB$5 &gt; VLOOKUP($P403,Member_Tab,6,FALSE()),AB$5 &lt; VLOOKUP($P403,Member_Tab,7,FALSE())),1,0))</f>
        <v>0</v>
      </c>
      <c r="AC505" s="184" t="n">
        <f aca="false">IF(ISERROR(VLOOKUP($P403,Member_Tab,5,FALSE())),0,VLOOKUP($P403,Member_Tab,5,FALSE())*IF(AND(AC$5 &gt; VLOOKUP($P403,Member_Tab,6,FALSE()),AC$5 &lt; VLOOKUP($P403,Member_Tab,7,FALSE())),1,0))</f>
        <v>0</v>
      </c>
      <c r="AD505" s="184" t="n">
        <f aca="false">IF(ISERROR(VLOOKUP($P403,Member_Tab,5,FALSE())),0,VLOOKUP($P403,Member_Tab,5,FALSE())*IF(AND(AD$5 &gt; VLOOKUP($P403,Member_Tab,6,FALSE()),AD$5 &lt; VLOOKUP($P403,Member_Tab,7,FALSE())),1,0))</f>
        <v>0</v>
      </c>
      <c r="AE505" s="184" t="n">
        <f aca="false">IF(ISERROR(VLOOKUP($P403,Member_Tab,5,FALSE())),0,VLOOKUP($P403,Member_Tab,5,FALSE())*IF(AND(AE$5 &gt; VLOOKUP($P403,Member_Tab,6,FALSE()),AE$5 &lt; VLOOKUP($P403,Member_Tab,7,FALSE())),1,0))</f>
        <v>0</v>
      </c>
      <c r="AF505" s="184" t="n">
        <f aca="false">IF(ISERROR(VLOOKUP($P403,Member_Tab,5,FALSE())),0,VLOOKUP($P403,Member_Tab,5,FALSE())*IF(AND(AF$5 &gt; VLOOKUP($P403,Member_Tab,6,FALSE()),AF$5 &lt; VLOOKUP($P403,Member_Tab,7,FALSE())),1,0))</f>
        <v>0</v>
      </c>
      <c r="AG505" s="184" t="n">
        <f aca="false">IF(ISERROR(VLOOKUP($P403,Member_Tab,5,FALSE())),0,VLOOKUP($P403,Member_Tab,5,FALSE())*IF(AND(AG$5 &gt; VLOOKUP($P403,Member_Tab,6,FALSE()),AG$5 &lt; VLOOKUP($P403,Member_Tab,7,FALSE())),1,0))</f>
        <v>0</v>
      </c>
      <c r="AH505" s="184" t="n">
        <f aca="false">IF(ISERROR(VLOOKUP($P403,Member_Tab,5,FALSE())),0,VLOOKUP($P403,Member_Tab,5,FALSE())*IF(AND(AH$5 &gt; VLOOKUP($P403,Member_Tab,6,FALSE()),AH$5 &lt; VLOOKUP($P403,Member_Tab,7,FALSE())),1,0))</f>
        <v>0</v>
      </c>
      <c r="AI505" s="184" t="n">
        <f aca="false">IF(ISERROR(VLOOKUP($P403,Member_Tab,5,FALSE())),0,VLOOKUP($P403,Member_Tab,5,FALSE())*IF(AND(AI$5 &gt; VLOOKUP($P403,Member_Tab,6,FALSE()),AI$5 &lt; VLOOKUP($P403,Member_Tab,7,FALSE())),1,0))</f>
        <v>0</v>
      </c>
      <c r="AJ505" s="184" t="n">
        <f aca="false">IF(ISERROR(VLOOKUP($P403,Member_Tab,5,FALSE())),0,VLOOKUP($P403,Member_Tab,5,FALSE())*IF(AND(AJ$5 &gt; VLOOKUP($P403,Member_Tab,6,FALSE()),AJ$5 &lt; VLOOKUP($P403,Member_Tab,7,FALSE())),1,0))</f>
        <v>0</v>
      </c>
      <c r="AK505" s="184" t="n">
        <f aca="false">IF(ISERROR(VLOOKUP($P403,Member_Tab,5,FALSE())),0,VLOOKUP($P403,Member_Tab,5,FALSE())*IF(AND(AK$5 &gt; VLOOKUP($P403,Member_Tab,6,FALSE()),AK$5 &lt; VLOOKUP($P403,Member_Tab,7,FALSE())),1,0))</f>
        <v>0</v>
      </c>
      <c r="AL505" s="184" t="n">
        <f aca="false">IF(ISERROR(VLOOKUP($P403,Member_Tab,5,FALSE())),0,VLOOKUP($P403,Member_Tab,5,FALSE())*IF(AND(AL$5 &gt; VLOOKUP($P403,Member_Tab,6,FALSE()),AL$5 &lt; VLOOKUP($P403,Member_Tab,7,FALSE())),1,0))</f>
        <v>0</v>
      </c>
      <c r="AM505" s="184" t="n">
        <f aca="false">IF(ISERROR(VLOOKUP($P403,Member_Tab,5,FALSE())),0,VLOOKUP($P403,Member_Tab,5,FALSE())*IF(AND(AM$5 &gt; VLOOKUP($P403,Member_Tab,6,FALSE()),AM$5 &lt; VLOOKUP($P403,Member_Tab,7,FALSE())),1,0))</f>
        <v>0</v>
      </c>
      <c r="AN505" s="184" t="n">
        <f aca="false">IF(ISERROR(VLOOKUP($P403,Member_Tab,5,FALSE())),0,VLOOKUP($P403,Member_Tab,5,FALSE())*IF(AND(AN$5 &gt; VLOOKUP($P403,Member_Tab,6,FALSE()),AN$5 &lt; VLOOKUP($P403,Member_Tab,7,FALSE())),1,0))</f>
        <v>0</v>
      </c>
      <c r="AO505" s="184" t="n">
        <f aca="false">IF(ISERROR(VLOOKUP($P403,Member_Tab,5,FALSE())),0,VLOOKUP($P403,Member_Tab,5,FALSE())*IF(AND(AO$5 &gt; VLOOKUP($P403,Member_Tab,6,FALSE()),AO$5 &lt; VLOOKUP($P403,Member_Tab,7,FALSE())),1,0))</f>
        <v>0</v>
      </c>
      <c r="AP505" s="184" t="n">
        <f aca="false">IF(ISERROR(VLOOKUP($P403,Member_Tab,5,FALSE())),0,VLOOKUP($P403,Member_Tab,5,FALSE())*IF(AND(AP$5 &gt; VLOOKUP($P403,Member_Tab,6,FALSE()),AP$5 &lt; VLOOKUP($P403,Member_Tab,7,FALSE())),1,0))</f>
        <v>0</v>
      </c>
      <c r="AQ505" s="184" t="n">
        <f aca="false">IF(ISERROR(VLOOKUP($P403,Member_Tab,5,FALSE())),0,VLOOKUP($P403,Member_Tab,5,FALSE())*IF(AND(AQ$5 &gt; VLOOKUP($P403,Member_Tab,6,FALSE()),AQ$5 &lt; VLOOKUP($P403,Member_Tab,7,FALSE())),1,0))</f>
        <v>0</v>
      </c>
      <c r="AR505" s="184" t="n">
        <f aca="false">IF(ISERROR(VLOOKUP($P403,Member_Tab,5,FALSE())),0,VLOOKUP($P403,Member_Tab,5,FALSE())*IF(AND(AR$5 &gt; VLOOKUP($P403,Member_Tab,6,FALSE()),AR$5 &lt; VLOOKUP($P403,Member_Tab,7,FALSE())),1,0))</f>
        <v>0</v>
      </c>
      <c r="AS505" s="184" t="n">
        <f aca="false">IF(ISERROR(VLOOKUP($P403,Member_Tab,5,FALSE())),0,VLOOKUP($P403,Member_Tab,5,FALSE())*IF(AND(AS$5 &gt; VLOOKUP($P403,Member_Tab,6,FALSE()),AS$5 &lt; VLOOKUP($P403,Member_Tab,7,FALSE())),1,0))</f>
        <v>0</v>
      </c>
      <c r="AT505" s="184" t="n">
        <f aca="false">IF(ISERROR(VLOOKUP($P403,Member_Tab,5,FALSE())),0,VLOOKUP($P403,Member_Tab,5,FALSE())*IF(AND(AT$5 &gt; VLOOKUP($P403,Member_Tab,6,FALSE()),AT$5 &lt; VLOOKUP($P403,Member_Tab,7,FALSE())),1,0))</f>
        <v>0</v>
      </c>
      <c r="AU505" s="184" t="n">
        <f aca="false">IF(ISERROR(VLOOKUP($P403,Member_Tab,5,FALSE())),0,VLOOKUP($P403,Member_Tab,5,FALSE())*IF(AND(AU$5 &gt; VLOOKUP($P403,Member_Tab,6,FALSE()),AU$5 &lt; VLOOKUP($P403,Member_Tab,7,FALSE())),1,0))</f>
        <v>0</v>
      </c>
      <c r="AV505" s="184" t="n">
        <f aca="false">IF(ISERROR(VLOOKUP($P403,Member_Tab,5,FALSE())),0,VLOOKUP($P403,Member_Tab,5,FALSE())*IF(AND(AV$5 &gt; VLOOKUP($P403,Member_Tab,6,FALSE()),AV$5 &lt; VLOOKUP($P403,Member_Tab,7,FALSE())),1,0))</f>
        <v>0</v>
      </c>
      <c r="AW505" s="184" t="n">
        <f aca="false">IF(ISERROR(VLOOKUP($P403,Member_Tab,5,FALSE())),0,VLOOKUP($P403,Member_Tab,5,FALSE())*IF(AND(AW$5 &gt; VLOOKUP($P403,Member_Tab,6,FALSE()),AW$5 &lt; VLOOKUP($P403,Member_Tab,7,FALSE())),1,0))</f>
        <v>0</v>
      </c>
      <c r="AX505" s="184" t="n">
        <f aca="false">IF(ISERROR(VLOOKUP($P403,Member_Tab,5,FALSE())),0,VLOOKUP($P403,Member_Tab,5,FALSE())*IF(AND(AX$5 &gt; VLOOKUP($P403,Member_Tab,6,FALSE()),AX$5 &lt; VLOOKUP($P403,Member_Tab,7,FALSE())),1,0))</f>
        <v>0</v>
      </c>
      <c r="AY505" s="184" t="n">
        <f aca="false">IF(ISERROR(VLOOKUP($P403,Member_Tab,5,FALSE())),0,VLOOKUP($P403,Member_Tab,5,FALSE())*IF(AND(AY$5 &gt; VLOOKUP($P403,Member_Tab,6,FALSE()),AY$5 &lt; VLOOKUP($P403,Member_Tab,7,FALSE())),1,0))</f>
        <v>0</v>
      </c>
      <c r="AZ505" s="184" t="n">
        <f aca="false">IF(ISERROR(VLOOKUP($P403,Member_Tab,5,FALSE())),0,VLOOKUP($P403,Member_Tab,5,FALSE())*IF(AND(AZ$5 &gt; VLOOKUP($P403,Member_Tab,6,FALSE()),AZ$5 &lt; VLOOKUP($P403,Member_Tab,7,FALSE())),1,0))</f>
        <v>0</v>
      </c>
      <c r="BA505" s="184" t="n">
        <f aca="false">IF(ISERROR(VLOOKUP($P403,Member_Tab,5,FALSE())),0,VLOOKUP($P403,Member_Tab,5,FALSE())*IF(AND(BA$5 &gt; VLOOKUP($P403,Member_Tab,6,FALSE()),BA$5 &lt; VLOOKUP($P403,Member_Tab,7,FALSE())),1,0))</f>
        <v>0</v>
      </c>
      <c r="BB505" s="184" t="n">
        <f aca="false">IF(ISERROR(VLOOKUP($P403,Member_Tab,5,FALSE())),0,VLOOKUP($P403,Member_Tab,5,FALSE())*IF(AND(BB$5 &gt; VLOOKUP($P403,Member_Tab,6,FALSE()),BB$5 &lt; VLOOKUP($P403,Member_Tab,7,FALSE())),1,0))</f>
        <v>0</v>
      </c>
    </row>
    <row r="506" s="173" customFormat="true" ht="15.75" hidden="true" customHeight="false" outlineLevel="1" collapsed="false">
      <c r="E506" s="40"/>
      <c r="K506" s="40"/>
      <c r="L506" s="40"/>
      <c r="M506" s="40"/>
      <c r="N506" s="40"/>
      <c r="P506" s="183" t="str">
        <f aca="false">P404</f>
        <v>Lastname14, Firstname14</v>
      </c>
      <c r="Q506" s="40"/>
      <c r="R506" s="182"/>
      <c r="S506" s="184" t="n">
        <f aca="false">IF(ISERROR(VLOOKUP($P404,Member_Tab,5,FALSE())),0,VLOOKUP($P404,Member_Tab,5,FALSE())*IF(AND(S$5 &gt; VLOOKUP($P404,Member_Tab,6,FALSE()),S$5 &lt; VLOOKUP($P404,Member_Tab,7,FALSE())),1,0))</f>
        <v>0</v>
      </c>
      <c r="T506" s="184" t="n">
        <f aca="false">IF(ISERROR(VLOOKUP($P404,Member_Tab,5,FALSE())),0,VLOOKUP($P404,Member_Tab,5,FALSE())*IF(AND(T$5 &gt; VLOOKUP($P404,Member_Tab,6,FALSE()),T$5 &lt; VLOOKUP($P404,Member_Tab,7,FALSE())),1,0))</f>
        <v>0</v>
      </c>
      <c r="U506" s="184" t="n">
        <f aca="false">IF(ISERROR(VLOOKUP($P404,Member_Tab,5,FALSE())),0,VLOOKUP($P404,Member_Tab,5,FALSE())*IF(AND(U$5 &gt; VLOOKUP($P404,Member_Tab,6,FALSE()),U$5 &lt; VLOOKUP($P404,Member_Tab,7,FALSE())),1,0))</f>
        <v>0</v>
      </c>
      <c r="V506" s="184" t="n">
        <f aca="false">IF(ISERROR(VLOOKUP($P404,Member_Tab,5,FALSE())),0,VLOOKUP($P404,Member_Tab,5,FALSE())*IF(AND(V$5 &gt; VLOOKUP($P404,Member_Tab,6,FALSE()),V$5 &lt; VLOOKUP($P404,Member_Tab,7,FALSE())),1,0))</f>
        <v>0</v>
      </c>
      <c r="W506" s="184" t="n">
        <f aca="false">IF(ISERROR(VLOOKUP($P404,Member_Tab,5,FALSE())),0,VLOOKUP($P404,Member_Tab,5,FALSE())*IF(AND(W$5 &gt; VLOOKUP($P404,Member_Tab,6,FALSE()),W$5 &lt; VLOOKUP($P404,Member_Tab,7,FALSE())),1,0))</f>
        <v>0</v>
      </c>
      <c r="X506" s="184" t="n">
        <f aca="false">IF(ISERROR(VLOOKUP($P404,Member_Tab,5,FALSE())),0,VLOOKUP($P404,Member_Tab,5,FALSE())*IF(AND(X$5 &gt; VLOOKUP($P404,Member_Tab,6,FALSE()),X$5 &lt; VLOOKUP($P404,Member_Tab,7,FALSE())),1,0))</f>
        <v>0</v>
      </c>
      <c r="Y506" s="184" t="n">
        <f aca="false">IF(ISERROR(VLOOKUP($P404,Member_Tab,5,FALSE())),0,VLOOKUP($P404,Member_Tab,5,FALSE())*IF(AND(Y$5 &gt; VLOOKUP($P404,Member_Tab,6,FALSE()),Y$5 &lt; VLOOKUP($P404,Member_Tab,7,FALSE())),1,0))</f>
        <v>0</v>
      </c>
      <c r="Z506" s="184" t="n">
        <f aca="false">IF(ISERROR(VLOOKUP($P404,Member_Tab,5,FALSE())),0,VLOOKUP($P404,Member_Tab,5,FALSE())*IF(AND(Z$5 &gt; VLOOKUP($P404,Member_Tab,6,FALSE()),Z$5 &lt; VLOOKUP($P404,Member_Tab,7,FALSE())),1,0))</f>
        <v>0</v>
      </c>
      <c r="AA506" s="184" t="n">
        <f aca="false">IF(ISERROR(VLOOKUP($P404,Member_Tab,5,FALSE())),0,VLOOKUP($P404,Member_Tab,5,FALSE())*IF(AND(AA$5 &gt; VLOOKUP($P404,Member_Tab,6,FALSE()),AA$5 &lt; VLOOKUP($P404,Member_Tab,7,FALSE())),1,0))</f>
        <v>0</v>
      </c>
      <c r="AB506" s="184" t="n">
        <f aca="false">IF(ISERROR(VLOOKUP($P404,Member_Tab,5,FALSE())),0,VLOOKUP($P404,Member_Tab,5,FALSE())*IF(AND(AB$5 &gt; VLOOKUP($P404,Member_Tab,6,FALSE()),AB$5 &lt; VLOOKUP($P404,Member_Tab,7,FALSE())),1,0))</f>
        <v>0</v>
      </c>
      <c r="AC506" s="184" t="n">
        <f aca="false">IF(ISERROR(VLOOKUP($P404,Member_Tab,5,FALSE())),0,VLOOKUP($P404,Member_Tab,5,FALSE())*IF(AND(AC$5 &gt; VLOOKUP($P404,Member_Tab,6,FALSE()),AC$5 &lt; VLOOKUP($P404,Member_Tab,7,FALSE())),1,0))</f>
        <v>0</v>
      </c>
      <c r="AD506" s="184" t="n">
        <f aca="false">IF(ISERROR(VLOOKUP($P404,Member_Tab,5,FALSE())),0,VLOOKUP($P404,Member_Tab,5,FALSE())*IF(AND(AD$5 &gt; VLOOKUP($P404,Member_Tab,6,FALSE()),AD$5 &lt; VLOOKUP($P404,Member_Tab,7,FALSE())),1,0))</f>
        <v>0</v>
      </c>
      <c r="AE506" s="184" t="n">
        <f aca="false">IF(ISERROR(VLOOKUP($P404,Member_Tab,5,FALSE())),0,VLOOKUP($P404,Member_Tab,5,FALSE())*IF(AND(AE$5 &gt; VLOOKUP($P404,Member_Tab,6,FALSE()),AE$5 &lt; VLOOKUP($P404,Member_Tab,7,FALSE())),1,0))</f>
        <v>0</v>
      </c>
      <c r="AF506" s="184" t="n">
        <f aca="false">IF(ISERROR(VLOOKUP($P404,Member_Tab,5,FALSE())),0,VLOOKUP($P404,Member_Tab,5,FALSE())*IF(AND(AF$5 &gt; VLOOKUP($P404,Member_Tab,6,FALSE()),AF$5 &lt; VLOOKUP($P404,Member_Tab,7,FALSE())),1,0))</f>
        <v>0</v>
      </c>
      <c r="AG506" s="184" t="n">
        <f aca="false">IF(ISERROR(VLOOKUP($P404,Member_Tab,5,FALSE())),0,VLOOKUP($P404,Member_Tab,5,FALSE())*IF(AND(AG$5 &gt; VLOOKUP($P404,Member_Tab,6,FALSE()),AG$5 &lt; VLOOKUP($P404,Member_Tab,7,FALSE())),1,0))</f>
        <v>0</v>
      </c>
      <c r="AH506" s="184" t="n">
        <f aca="false">IF(ISERROR(VLOOKUP($P404,Member_Tab,5,FALSE())),0,VLOOKUP($P404,Member_Tab,5,FALSE())*IF(AND(AH$5 &gt; VLOOKUP($P404,Member_Tab,6,FALSE()),AH$5 &lt; VLOOKUP($P404,Member_Tab,7,FALSE())),1,0))</f>
        <v>0</v>
      </c>
      <c r="AI506" s="184" t="n">
        <f aca="false">IF(ISERROR(VLOOKUP($P404,Member_Tab,5,FALSE())),0,VLOOKUP($P404,Member_Tab,5,FALSE())*IF(AND(AI$5 &gt; VLOOKUP($P404,Member_Tab,6,FALSE()),AI$5 &lt; VLOOKUP($P404,Member_Tab,7,FALSE())),1,0))</f>
        <v>0</v>
      </c>
      <c r="AJ506" s="184" t="n">
        <f aca="false">IF(ISERROR(VLOOKUP($P404,Member_Tab,5,FALSE())),0,VLOOKUP($P404,Member_Tab,5,FALSE())*IF(AND(AJ$5 &gt; VLOOKUP($P404,Member_Tab,6,FALSE()),AJ$5 &lt; VLOOKUP($P404,Member_Tab,7,FALSE())),1,0))</f>
        <v>0</v>
      </c>
      <c r="AK506" s="184" t="n">
        <f aca="false">IF(ISERROR(VLOOKUP($P404,Member_Tab,5,FALSE())),0,VLOOKUP($P404,Member_Tab,5,FALSE())*IF(AND(AK$5 &gt; VLOOKUP($P404,Member_Tab,6,FALSE()),AK$5 &lt; VLOOKUP($P404,Member_Tab,7,FALSE())),1,0))</f>
        <v>0</v>
      </c>
      <c r="AL506" s="184" t="n">
        <f aca="false">IF(ISERROR(VLOOKUP($P404,Member_Tab,5,FALSE())),0,VLOOKUP($P404,Member_Tab,5,FALSE())*IF(AND(AL$5 &gt; VLOOKUP($P404,Member_Tab,6,FALSE()),AL$5 &lt; VLOOKUP($P404,Member_Tab,7,FALSE())),1,0))</f>
        <v>0</v>
      </c>
      <c r="AM506" s="184" t="n">
        <f aca="false">IF(ISERROR(VLOOKUP($P404,Member_Tab,5,FALSE())),0,VLOOKUP($P404,Member_Tab,5,FALSE())*IF(AND(AM$5 &gt; VLOOKUP($P404,Member_Tab,6,FALSE()),AM$5 &lt; VLOOKUP($P404,Member_Tab,7,FALSE())),1,0))</f>
        <v>0</v>
      </c>
      <c r="AN506" s="184" t="n">
        <f aca="false">IF(ISERROR(VLOOKUP($P404,Member_Tab,5,FALSE())),0,VLOOKUP($P404,Member_Tab,5,FALSE())*IF(AND(AN$5 &gt; VLOOKUP($P404,Member_Tab,6,FALSE()),AN$5 &lt; VLOOKUP($P404,Member_Tab,7,FALSE())),1,0))</f>
        <v>0</v>
      </c>
      <c r="AO506" s="184" t="n">
        <f aca="false">IF(ISERROR(VLOOKUP($P404,Member_Tab,5,FALSE())),0,VLOOKUP($P404,Member_Tab,5,FALSE())*IF(AND(AO$5 &gt; VLOOKUP($P404,Member_Tab,6,FALSE()),AO$5 &lt; VLOOKUP($P404,Member_Tab,7,FALSE())),1,0))</f>
        <v>0</v>
      </c>
      <c r="AP506" s="184" t="n">
        <f aca="false">IF(ISERROR(VLOOKUP($P404,Member_Tab,5,FALSE())),0,VLOOKUP($P404,Member_Tab,5,FALSE())*IF(AND(AP$5 &gt; VLOOKUP($P404,Member_Tab,6,FALSE()),AP$5 &lt; VLOOKUP($P404,Member_Tab,7,FALSE())),1,0))</f>
        <v>0</v>
      </c>
      <c r="AQ506" s="184" t="n">
        <f aca="false">IF(ISERROR(VLOOKUP($P404,Member_Tab,5,FALSE())),0,VLOOKUP($P404,Member_Tab,5,FALSE())*IF(AND(AQ$5 &gt; VLOOKUP($P404,Member_Tab,6,FALSE()),AQ$5 &lt; VLOOKUP($P404,Member_Tab,7,FALSE())),1,0))</f>
        <v>0</v>
      </c>
      <c r="AR506" s="184" t="n">
        <f aca="false">IF(ISERROR(VLOOKUP($P404,Member_Tab,5,FALSE())),0,VLOOKUP($P404,Member_Tab,5,FALSE())*IF(AND(AR$5 &gt; VLOOKUP($P404,Member_Tab,6,FALSE()),AR$5 &lt; VLOOKUP($P404,Member_Tab,7,FALSE())),1,0))</f>
        <v>0</v>
      </c>
      <c r="AS506" s="184" t="n">
        <f aca="false">IF(ISERROR(VLOOKUP($P404,Member_Tab,5,FALSE())),0,VLOOKUP($P404,Member_Tab,5,FALSE())*IF(AND(AS$5 &gt; VLOOKUP($P404,Member_Tab,6,FALSE()),AS$5 &lt; VLOOKUP($P404,Member_Tab,7,FALSE())),1,0))</f>
        <v>0</v>
      </c>
      <c r="AT506" s="184" t="n">
        <f aca="false">IF(ISERROR(VLOOKUP($P404,Member_Tab,5,FALSE())),0,VLOOKUP($P404,Member_Tab,5,FALSE())*IF(AND(AT$5 &gt; VLOOKUP($P404,Member_Tab,6,FALSE()),AT$5 &lt; VLOOKUP($P404,Member_Tab,7,FALSE())),1,0))</f>
        <v>0</v>
      </c>
      <c r="AU506" s="184" t="n">
        <f aca="false">IF(ISERROR(VLOOKUP($P404,Member_Tab,5,FALSE())),0,VLOOKUP($P404,Member_Tab,5,FALSE())*IF(AND(AU$5 &gt; VLOOKUP($P404,Member_Tab,6,FALSE()),AU$5 &lt; VLOOKUP($P404,Member_Tab,7,FALSE())),1,0))</f>
        <v>0</v>
      </c>
      <c r="AV506" s="184" t="n">
        <f aca="false">IF(ISERROR(VLOOKUP($P404,Member_Tab,5,FALSE())),0,VLOOKUP($P404,Member_Tab,5,FALSE())*IF(AND(AV$5 &gt; VLOOKUP($P404,Member_Tab,6,FALSE()),AV$5 &lt; VLOOKUP($P404,Member_Tab,7,FALSE())),1,0))</f>
        <v>0</v>
      </c>
      <c r="AW506" s="184" t="n">
        <f aca="false">IF(ISERROR(VLOOKUP($P404,Member_Tab,5,FALSE())),0,VLOOKUP($P404,Member_Tab,5,FALSE())*IF(AND(AW$5 &gt; VLOOKUP($P404,Member_Tab,6,FALSE()),AW$5 &lt; VLOOKUP($P404,Member_Tab,7,FALSE())),1,0))</f>
        <v>0</v>
      </c>
      <c r="AX506" s="184" t="n">
        <f aca="false">IF(ISERROR(VLOOKUP($P404,Member_Tab,5,FALSE())),0,VLOOKUP($P404,Member_Tab,5,FALSE())*IF(AND(AX$5 &gt; VLOOKUP($P404,Member_Tab,6,FALSE()),AX$5 &lt; VLOOKUP($P404,Member_Tab,7,FALSE())),1,0))</f>
        <v>0</v>
      </c>
      <c r="AY506" s="184" t="n">
        <f aca="false">IF(ISERROR(VLOOKUP($P404,Member_Tab,5,FALSE())),0,VLOOKUP($P404,Member_Tab,5,FALSE())*IF(AND(AY$5 &gt; VLOOKUP($P404,Member_Tab,6,FALSE()),AY$5 &lt; VLOOKUP($P404,Member_Tab,7,FALSE())),1,0))</f>
        <v>0</v>
      </c>
      <c r="AZ506" s="184" t="n">
        <f aca="false">IF(ISERROR(VLOOKUP($P404,Member_Tab,5,FALSE())),0,VLOOKUP($P404,Member_Tab,5,FALSE())*IF(AND(AZ$5 &gt; VLOOKUP($P404,Member_Tab,6,FALSE()),AZ$5 &lt; VLOOKUP($P404,Member_Tab,7,FALSE())),1,0))</f>
        <v>0</v>
      </c>
      <c r="BA506" s="184" t="n">
        <f aca="false">IF(ISERROR(VLOOKUP($P404,Member_Tab,5,FALSE())),0,VLOOKUP($P404,Member_Tab,5,FALSE())*IF(AND(BA$5 &gt; VLOOKUP($P404,Member_Tab,6,FALSE()),BA$5 &lt; VLOOKUP($P404,Member_Tab,7,FALSE())),1,0))</f>
        <v>0</v>
      </c>
      <c r="BB506" s="184" t="n">
        <f aca="false">IF(ISERROR(VLOOKUP($P404,Member_Tab,5,FALSE())),0,VLOOKUP($P404,Member_Tab,5,FALSE())*IF(AND(BB$5 &gt; VLOOKUP($P404,Member_Tab,6,FALSE()),BB$5 &lt; VLOOKUP($P404,Member_Tab,7,FALSE())),1,0))</f>
        <v>0</v>
      </c>
    </row>
    <row r="507" s="173" customFormat="true" ht="15.75" hidden="true" customHeight="false" outlineLevel="1" collapsed="false">
      <c r="E507" s="40"/>
      <c r="K507" s="40"/>
      <c r="L507" s="40"/>
      <c r="M507" s="40"/>
      <c r="N507" s="40"/>
      <c r="P507" s="183" t="str">
        <f aca="false">P405</f>
        <v>Lastname15, Firstname15</v>
      </c>
      <c r="Q507" s="40"/>
      <c r="R507" s="182"/>
      <c r="S507" s="184" t="n">
        <f aca="false">IF(ISERROR(VLOOKUP($P405,Member_Tab,5,FALSE())),0,VLOOKUP($P405,Member_Tab,5,FALSE())*IF(AND(S$5 &gt; VLOOKUP($P405,Member_Tab,6,FALSE()),S$5 &lt; VLOOKUP($P405,Member_Tab,7,FALSE())),1,0))</f>
        <v>0</v>
      </c>
      <c r="T507" s="184" t="n">
        <f aca="false">IF(ISERROR(VLOOKUP($P405,Member_Tab,5,FALSE())),0,VLOOKUP($P405,Member_Tab,5,FALSE())*IF(AND(T$5 &gt; VLOOKUP($P405,Member_Tab,6,FALSE()),T$5 &lt; VLOOKUP($P405,Member_Tab,7,FALSE())),1,0))</f>
        <v>0</v>
      </c>
      <c r="U507" s="184" t="n">
        <f aca="false">IF(ISERROR(VLOOKUP($P405,Member_Tab,5,FALSE())),0,VLOOKUP($P405,Member_Tab,5,FALSE())*IF(AND(U$5 &gt; VLOOKUP($P405,Member_Tab,6,FALSE()),U$5 &lt; VLOOKUP($P405,Member_Tab,7,FALSE())),1,0))</f>
        <v>0</v>
      </c>
      <c r="V507" s="184" t="n">
        <f aca="false">IF(ISERROR(VLOOKUP($P405,Member_Tab,5,FALSE())),0,VLOOKUP($P405,Member_Tab,5,FALSE())*IF(AND(V$5 &gt; VLOOKUP($P405,Member_Tab,6,FALSE()),V$5 &lt; VLOOKUP($P405,Member_Tab,7,FALSE())),1,0))</f>
        <v>0</v>
      </c>
      <c r="W507" s="184" t="n">
        <f aca="false">IF(ISERROR(VLOOKUP($P405,Member_Tab,5,FALSE())),0,VLOOKUP($P405,Member_Tab,5,FALSE())*IF(AND(W$5 &gt; VLOOKUP($P405,Member_Tab,6,FALSE()),W$5 &lt; VLOOKUP($P405,Member_Tab,7,FALSE())),1,0))</f>
        <v>0</v>
      </c>
      <c r="X507" s="184" t="n">
        <f aca="false">IF(ISERROR(VLOOKUP($P405,Member_Tab,5,FALSE())),0,VLOOKUP($P405,Member_Tab,5,FALSE())*IF(AND(X$5 &gt; VLOOKUP($P405,Member_Tab,6,FALSE()),X$5 &lt; VLOOKUP($P405,Member_Tab,7,FALSE())),1,0))</f>
        <v>0</v>
      </c>
      <c r="Y507" s="184" t="n">
        <f aca="false">IF(ISERROR(VLOOKUP($P405,Member_Tab,5,FALSE())),0,VLOOKUP($P405,Member_Tab,5,FALSE())*IF(AND(Y$5 &gt; VLOOKUP($P405,Member_Tab,6,FALSE()),Y$5 &lt; VLOOKUP($P405,Member_Tab,7,FALSE())),1,0))</f>
        <v>0</v>
      </c>
      <c r="Z507" s="184" t="n">
        <f aca="false">IF(ISERROR(VLOOKUP($P405,Member_Tab,5,FALSE())),0,VLOOKUP($P405,Member_Tab,5,FALSE())*IF(AND(Z$5 &gt; VLOOKUP($P405,Member_Tab,6,FALSE()),Z$5 &lt; VLOOKUP($P405,Member_Tab,7,FALSE())),1,0))</f>
        <v>0</v>
      </c>
      <c r="AA507" s="184" t="n">
        <f aca="false">IF(ISERROR(VLOOKUP($P405,Member_Tab,5,FALSE())),0,VLOOKUP($P405,Member_Tab,5,FALSE())*IF(AND(AA$5 &gt; VLOOKUP($P405,Member_Tab,6,FALSE()),AA$5 &lt; VLOOKUP($P405,Member_Tab,7,FALSE())),1,0))</f>
        <v>0</v>
      </c>
      <c r="AB507" s="184" t="n">
        <f aca="false">IF(ISERROR(VLOOKUP($P405,Member_Tab,5,FALSE())),0,VLOOKUP($P405,Member_Tab,5,FALSE())*IF(AND(AB$5 &gt; VLOOKUP($P405,Member_Tab,6,FALSE()),AB$5 &lt; VLOOKUP($P405,Member_Tab,7,FALSE())),1,0))</f>
        <v>0</v>
      </c>
      <c r="AC507" s="184" t="n">
        <f aca="false">IF(ISERROR(VLOOKUP($P405,Member_Tab,5,FALSE())),0,VLOOKUP($P405,Member_Tab,5,FALSE())*IF(AND(AC$5 &gt; VLOOKUP($P405,Member_Tab,6,FALSE()),AC$5 &lt; VLOOKUP($P405,Member_Tab,7,FALSE())),1,0))</f>
        <v>0</v>
      </c>
      <c r="AD507" s="184" t="n">
        <f aca="false">IF(ISERROR(VLOOKUP($P405,Member_Tab,5,FALSE())),0,VLOOKUP($P405,Member_Tab,5,FALSE())*IF(AND(AD$5 &gt; VLOOKUP($P405,Member_Tab,6,FALSE()),AD$5 &lt; VLOOKUP($P405,Member_Tab,7,FALSE())),1,0))</f>
        <v>0</v>
      </c>
      <c r="AE507" s="184" t="n">
        <f aca="false">IF(ISERROR(VLOOKUP($P405,Member_Tab,5,FALSE())),0,VLOOKUP($P405,Member_Tab,5,FALSE())*IF(AND(AE$5 &gt; VLOOKUP($P405,Member_Tab,6,FALSE()),AE$5 &lt; VLOOKUP($P405,Member_Tab,7,FALSE())),1,0))</f>
        <v>0</v>
      </c>
      <c r="AF507" s="184" t="n">
        <f aca="false">IF(ISERROR(VLOOKUP($P405,Member_Tab,5,FALSE())),0,VLOOKUP($P405,Member_Tab,5,FALSE())*IF(AND(AF$5 &gt; VLOOKUP($P405,Member_Tab,6,FALSE()),AF$5 &lt; VLOOKUP($P405,Member_Tab,7,FALSE())),1,0))</f>
        <v>0</v>
      </c>
      <c r="AG507" s="184" t="n">
        <f aca="false">IF(ISERROR(VLOOKUP($P405,Member_Tab,5,FALSE())),0,VLOOKUP($P405,Member_Tab,5,FALSE())*IF(AND(AG$5 &gt; VLOOKUP($P405,Member_Tab,6,FALSE()),AG$5 &lt; VLOOKUP($P405,Member_Tab,7,FALSE())),1,0))</f>
        <v>0</v>
      </c>
      <c r="AH507" s="184" t="n">
        <f aca="false">IF(ISERROR(VLOOKUP($P405,Member_Tab,5,FALSE())),0,VLOOKUP($P405,Member_Tab,5,FALSE())*IF(AND(AH$5 &gt; VLOOKUP($P405,Member_Tab,6,FALSE()),AH$5 &lt; VLOOKUP($P405,Member_Tab,7,FALSE())),1,0))</f>
        <v>0</v>
      </c>
      <c r="AI507" s="184" t="n">
        <f aca="false">IF(ISERROR(VLOOKUP($P405,Member_Tab,5,FALSE())),0,VLOOKUP($P405,Member_Tab,5,FALSE())*IF(AND(AI$5 &gt; VLOOKUP($P405,Member_Tab,6,FALSE()),AI$5 &lt; VLOOKUP($P405,Member_Tab,7,FALSE())),1,0))</f>
        <v>0</v>
      </c>
      <c r="AJ507" s="184" t="n">
        <f aca="false">IF(ISERROR(VLOOKUP($P405,Member_Tab,5,FALSE())),0,VLOOKUP($P405,Member_Tab,5,FALSE())*IF(AND(AJ$5 &gt; VLOOKUP($P405,Member_Tab,6,FALSE()),AJ$5 &lt; VLOOKUP($P405,Member_Tab,7,FALSE())),1,0))</f>
        <v>0</v>
      </c>
      <c r="AK507" s="184" t="n">
        <f aca="false">IF(ISERROR(VLOOKUP($P405,Member_Tab,5,FALSE())),0,VLOOKUP($P405,Member_Tab,5,FALSE())*IF(AND(AK$5 &gt; VLOOKUP($P405,Member_Tab,6,FALSE()),AK$5 &lt; VLOOKUP($P405,Member_Tab,7,FALSE())),1,0))</f>
        <v>0</v>
      </c>
      <c r="AL507" s="184" t="n">
        <f aca="false">IF(ISERROR(VLOOKUP($P405,Member_Tab,5,FALSE())),0,VLOOKUP($P405,Member_Tab,5,FALSE())*IF(AND(AL$5 &gt; VLOOKUP($P405,Member_Tab,6,FALSE()),AL$5 &lt; VLOOKUP($P405,Member_Tab,7,FALSE())),1,0))</f>
        <v>0</v>
      </c>
      <c r="AM507" s="184" t="n">
        <f aca="false">IF(ISERROR(VLOOKUP($P405,Member_Tab,5,FALSE())),0,VLOOKUP($P405,Member_Tab,5,FALSE())*IF(AND(AM$5 &gt; VLOOKUP($P405,Member_Tab,6,FALSE()),AM$5 &lt; VLOOKUP($P405,Member_Tab,7,FALSE())),1,0))</f>
        <v>0</v>
      </c>
      <c r="AN507" s="184" t="n">
        <f aca="false">IF(ISERROR(VLOOKUP($P405,Member_Tab,5,FALSE())),0,VLOOKUP($P405,Member_Tab,5,FALSE())*IF(AND(AN$5 &gt; VLOOKUP($P405,Member_Tab,6,FALSE()),AN$5 &lt; VLOOKUP($P405,Member_Tab,7,FALSE())),1,0))</f>
        <v>0</v>
      </c>
      <c r="AO507" s="184" t="n">
        <f aca="false">IF(ISERROR(VLOOKUP($P405,Member_Tab,5,FALSE())),0,VLOOKUP($P405,Member_Tab,5,FALSE())*IF(AND(AO$5 &gt; VLOOKUP($P405,Member_Tab,6,FALSE()),AO$5 &lt; VLOOKUP($P405,Member_Tab,7,FALSE())),1,0))</f>
        <v>0</v>
      </c>
      <c r="AP507" s="184" t="n">
        <f aca="false">IF(ISERROR(VLOOKUP($P405,Member_Tab,5,FALSE())),0,VLOOKUP($P405,Member_Tab,5,FALSE())*IF(AND(AP$5 &gt; VLOOKUP($P405,Member_Tab,6,FALSE()),AP$5 &lt; VLOOKUP($P405,Member_Tab,7,FALSE())),1,0))</f>
        <v>0</v>
      </c>
      <c r="AQ507" s="184" t="n">
        <f aca="false">IF(ISERROR(VLOOKUP($P405,Member_Tab,5,FALSE())),0,VLOOKUP($P405,Member_Tab,5,FALSE())*IF(AND(AQ$5 &gt; VLOOKUP($P405,Member_Tab,6,FALSE()),AQ$5 &lt; VLOOKUP($P405,Member_Tab,7,FALSE())),1,0))</f>
        <v>0</v>
      </c>
      <c r="AR507" s="184" t="n">
        <f aca="false">IF(ISERROR(VLOOKUP($P405,Member_Tab,5,FALSE())),0,VLOOKUP($P405,Member_Tab,5,FALSE())*IF(AND(AR$5 &gt; VLOOKUP($P405,Member_Tab,6,FALSE()),AR$5 &lt; VLOOKUP($P405,Member_Tab,7,FALSE())),1,0))</f>
        <v>0</v>
      </c>
      <c r="AS507" s="184" t="n">
        <f aca="false">IF(ISERROR(VLOOKUP($P405,Member_Tab,5,FALSE())),0,VLOOKUP($P405,Member_Tab,5,FALSE())*IF(AND(AS$5 &gt; VLOOKUP($P405,Member_Tab,6,FALSE()),AS$5 &lt; VLOOKUP($P405,Member_Tab,7,FALSE())),1,0))</f>
        <v>0</v>
      </c>
      <c r="AT507" s="184" t="n">
        <f aca="false">IF(ISERROR(VLOOKUP($P405,Member_Tab,5,FALSE())),0,VLOOKUP($P405,Member_Tab,5,FALSE())*IF(AND(AT$5 &gt; VLOOKUP($P405,Member_Tab,6,FALSE()),AT$5 &lt; VLOOKUP($P405,Member_Tab,7,FALSE())),1,0))</f>
        <v>0</v>
      </c>
      <c r="AU507" s="184" t="n">
        <f aca="false">IF(ISERROR(VLOOKUP($P405,Member_Tab,5,FALSE())),0,VLOOKUP($P405,Member_Tab,5,FALSE())*IF(AND(AU$5 &gt; VLOOKUP($P405,Member_Tab,6,FALSE()),AU$5 &lt; VLOOKUP($P405,Member_Tab,7,FALSE())),1,0))</f>
        <v>0</v>
      </c>
      <c r="AV507" s="184" t="n">
        <f aca="false">IF(ISERROR(VLOOKUP($P405,Member_Tab,5,FALSE())),0,VLOOKUP($P405,Member_Tab,5,FALSE())*IF(AND(AV$5 &gt; VLOOKUP($P405,Member_Tab,6,FALSE()),AV$5 &lt; VLOOKUP($P405,Member_Tab,7,FALSE())),1,0))</f>
        <v>0</v>
      </c>
      <c r="AW507" s="184" t="n">
        <f aca="false">IF(ISERROR(VLOOKUP($P405,Member_Tab,5,FALSE())),0,VLOOKUP($P405,Member_Tab,5,FALSE())*IF(AND(AW$5 &gt; VLOOKUP($P405,Member_Tab,6,FALSE()),AW$5 &lt; VLOOKUP($P405,Member_Tab,7,FALSE())),1,0))</f>
        <v>0</v>
      </c>
      <c r="AX507" s="184" t="n">
        <f aca="false">IF(ISERROR(VLOOKUP($P405,Member_Tab,5,FALSE())),0,VLOOKUP($P405,Member_Tab,5,FALSE())*IF(AND(AX$5 &gt; VLOOKUP($P405,Member_Tab,6,FALSE()),AX$5 &lt; VLOOKUP($P405,Member_Tab,7,FALSE())),1,0))</f>
        <v>0</v>
      </c>
      <c r="AY507" s="184" t="n">
        <f aca="false">IF(ISERROR(VLOOKUP($P405,Member_Tab,5,FALSE())),0,VLOOKUP($P405,Member_Tab,5,FALSE())*IF(AND(AY$5 &gt; VLOOKUP($P405,Member_Tab,6,FALSE()),AY$5 &lt; VLOOKUP($P405,Member_Tab,7,FALSE())),1,0))</f>
        <v>0</v>
      </c>
      <c r="AZ507" s="184" t="n">
        <f aca="false">IF(ISERROR(VLOOKUP($P405,Member_Tab,5,FALSE())),0,VLOOKUP($P405,Member_Tab,5,FALSE())*IF(AND(AZ$5 &gt; VLOOKUP($P405,Member_Tab,6,FALSE()),AZ$5 &lt; VLOOKUP($P405,Member_Tab,7,FALSE())),1,0))</f>
        <v>0</v>
      </c>
      <c r="BA507" s="184" t="n">
        <f aca="false">IF(ISERROR(VLOOKUP($P405,Member_Tab,5,FALSE())),0,VLOOKUP($P405,Member_Tab,5,FALSE())*IF(AND(BA$5 &gt; VLOOKUP($P405,Member_Tab,6,FALSE()),BA$5 &lt; VLOOKUP($P405,Member_Tab,7,FALSE())),1,0))</f>
        <v>0</v>
      </c>
      <c r="BB507" s="184" t="n">
        <f aca="false">IF(ISERROR(VLOOKUP($P405,Member_Tab,5,FALSE())),0,VLOOKUP($P405,Member_Tab,5,FALSE())*IF(AND(BB$5 &gt; VLOOKUP($P405,Member_Tab,6,FALSE()),BB$5 &lt; VLOOKUP($P405,Member_Tab,7,FALSE())),1,0))</f>
        <v>0</v>
      </c>
    </row>
    <row r="508" s="173" customFormat="true" ht="15.75" hidden="true" customHeight="false" outlineLevel="1" collapsed="false">
      <c r="E508" s="40"/>
      <c r="K508" s="40"/>
      <c r="L508" s="40"/>
      <c r="M508" s="40"/>
      <c r="N508" s="40"/>
      <c r="P508" s="183" t="str">
        <f aca="false">P406</f>
        <v>Lastname16, Firstname16</v>
      </c>
      <c r="Q508" s="40"/>
      <c r="R508" s="182"/>
      <c r="S508" s="184" t="n">
        <f aca="false">IF(ISERROR(VLOOKUP($P406,Member_Tab,5,FALSE())),0,VLOOKUP($P406,Member_Tab,5,FALSE())*IF(AND(S$5 &gt; VLOOKUP($P406,Member_Tab,6,FALSE()),S$5 &lt; VLOOKUP($P406,Member_Tab,7,FALSE())),1,0))</f>
        <v>0</v>
      </c>
      <c r="T508" s="184" t="n">
        <f aca="false">IF(ISERROR(VLOOKUP($P406,Member_Tab,5,FALSE())),0,VLOOKUP($P406,Member_Tab,5,FALSE())*IF(AND(T$5 &gt; VLOOKUP($P406,Member_Tab,6,FALSE()),T$5 &lt; VLOOKUP($P406,Member_Tab,7,FALSE())),1,0))</f>
        <v>0</v>
      </c>
      <c r="U508" s="184" t="n">
        <f aca="false">IF(ISERROR(VLOOKUP($P406,Member_Tab,5,FALSE())),0,VLOOKUP($P406,Member_Tab,5,FALSE())*IF(AND(U$5 &gt; VLOOKUP($P406,Member_Tab,6,FALSE()),U$5 &lt; VLOOKUP($P406,Member_Tab,7,FALSE())),1,0))</f>
        <v>0</v>
      </c>
      <c r="V508" s="184" t="n">
        <f aca="false">IF(ISERROR(VLOOKUP($P406,Member_Tab,5,FALSE())),0,VLOOKUP($P406,Member_Tab,5,FALSE())*IF(AND(V$5 &gt; VLOOKUP($P406,Member_Tab,6,FALSE()),V$5 &lt; VLOOKUP($P406,Member_Tab,7,FALSE())),1,0))</f>
        <v>0</v>
      </c>
      <c r="W508" s="184" t="n">
        <f aca="false">IF(ISERROR(VLOOKUP($P406,Member_Tab,5,FALSE())),0,VLOOKUP($P406,Member_Tab,5,FALSE())*IF(AND(W$5 &gt; VLOOKUP($P406,Member_Tab,6,FALSE()),W$5 &lt; VLOOKUP($P406,Member_Tab,7,FALSE())),1,0))</f>
        <v>0</v>
      </c>
      <c r="X508" s="184" t="n">
        <f aca="false">IF(ISERROR(VLOOKUP($P406,Member_Tab,5,FALSE())),0,VLOOKUP($P406,Member_Tab,5,FALSE())*IF(AND(X$5 &gt; VLOOKUP($P406,Member_Tab,6,FALSE()),X$5 &lt; VLOOKUP($P406,Member_Tab,7,FALSE())),1,0))</f>
        <v>0</v>
      </c>
      <c r="Y508" s="184" t="n">
        <f aca="false">IF(ISERROR(VLOOKUP($P406,Member_Tab,5,FALSE())),0,VLOOKUP($P406,Member_Tab,5,FALSE())*IF(AND(Y$5 &gt; VLOOKUP($P406,Member_Tab,6,FALSE()),Y$5 &lt; VLOOKUP($P406,Member_Tab,7,FALSE())),1,0))</f>
        <v>0</v>
      </c>
      <c r="Z508" s="184" t="n">
        <f aca="false">IF(ISERROR(VLOOKUP($P406,Member_Tab,5,FALSE())),0,VLOOKUP($P406,Member_Tab,5,FALSE())*IF(AND(Z$5 &gt; VLOOKUP($P406,Member_Tab,6,FALSE()),Z$5 &lt; VLOOKUP($P406,Member_Tab,7,FALSE())),1,0))</f>
        <v>0</v>
      </c>
      <c r="AA508" s="184" t="n">
        <f aca="false">IF(ISERROR(VLOOKUP($P406,Member_Tab,5,FALSE())),0,VLOOKUP($P406,Member_Tab,5,FALSE())*IF(AND(AA$5 &gt; VLOOKUP($P406,Member_Tab,6,FALSE()),AA$5 &lt; VLOOKUP($P406,Member_Tab,7,FALSE())),1,0))</f>
        <v>0</v>
      </c>
      <c r="AB508" s="184" t="n">
        <f aca="false">IF(ISERROR(VLOOKUP($P406,Member_Tab,5,FALSE())),0,VLOOKUP($P406,Member_Tab,5,FALSE())*IF(AND(AB$5 &gt; VLOOKUP($P406,Member_Tab,6,FALSE()),AB$5 &lt; VLOOKUP($P406,Member_Tab,7,FALSE())),1,0))</f>
        <v>0</v>
      </c>
      <c r="AC508" s="184" t="n">
        <f aca="false">IF(ISERROR(VLOOKUP($P406,Member_Tab,5,FALSE())),0,VLOOKUP($P406,Member_Tab,5,FALSE())*IF(AND(AC$5 &gt; VLOOKUP($P406,Member_Tab,6,FALSE()),AC$5 &lt; VLOOKUP($P406,Member_Tab,7,FALSE())),1,0))</f>
        <v>0</v>
      </c>
      <c r="AD508" s="184" t="n">
        <f aca="false">IF(ISERROR(VLOOKUP($P406,Member_Tab,5,FALSE())),0,VLOOKUP($P406,Member_Tab,5,FALSE())*IF(AND(AD$5 &gt; VLOOKUP($P406,Member_Tab,6,FALSE()),AD$5 &lt; VLOOKUP($P406,Member_Tab,7,FALSE())),1,0))</f>
        <v>0</v>
      </c>
      <c r="AE508" s="184" t="n">
        <f aca="false">IF(ISERROR(VLOOKUP($P406,Member_Tab,5,FALSE())),0,VLOOKUP($P406,Member_Tab,5,FALSE())*IF(AND(AE$5 &gt; VLOOKUP($P406,Member_Tab,6,FALSE()),AE$5 &lt; VLOOKUP($P406,Member_Tab,7,FALSE())),1,0))</f>
        <v>0</v>
      </c>
      <c r="AF508" s="184" t="n">
        <f aca="false">IF(ISERROR(VLOOKUP($P406,Member_Tab,5,FALSE())),0,VLOOKUP($P406,Member_Tab,5,FALSE())*IF(AND(AF$5 &gt; VLOOKUP($P406,Member_Tab,6,FALSE()),AF$5 &lt; VLOOKUP($P406,Member_Tab,7,FALSE())),1,0))</f>
        <v>0</v>
      </c>
      <c r="AG508" s="184" t="n">
        <f aca="false">IF(ISERROR(VLOOKUP($P406,Member_Tab,5,FALSE())),0,VLOOKUP($P406,Member_Tab,5,FALSE())*IF(AND(AG$5 &gt; VLOOKUP($P406,Member_Tab,6,FALSE()),AG$5 &lt; VLOOKUP($P406,Member_Tab,7,FALSE())),1,0))</f>
        <v>0</v>
      </c>
      <c r="AH508" s="184" t="n">
        <f aca="false">IF(ISERROR(VLOOKUP($P406,Member_Tab,5,FALSE())),0,VLOOKUP($P406,Member_Tab,5,FALSE())*IF(AND(AH$5 &gt; VLOOKUP($P406,Member_Tab,6,FALSE()),AH$5 &lt; VLOOKUP($P406,Member_Tab,7,FALSE())),1,0))</f>
        <v>0</v>
      </c>
      <c r="AI508" s="184" t="n">
        <f aca="false">IF(ISERROR(VLOOKUP($P406,Member_Tab,5,FALSE())),0,VLOOKUP($P406,Member_Tab,5,FALSE())*IF(AND(AI$5 &gt; VLOOKUP($P406,Member_Tab,6,FALSE()),AI$5 &lt; VLOOKUP($P406,Member_Tab,7,FALSE())),1,0))</f>
        <v>0</v>
      </c>
      <c r="AJ508" s="184" t="n">
        <f aca="false">IF(ISERROR(VLOOKUP($P406,Member_Tab,5,FALSE())),0,VLOOKUP($P406,Member_Tab,5,FALSE())*IF(AND(AJ$5 &gt; VLOOKUP($P406,Member_Tab,6,FALSE()),AJ$5 &lt; VLOOKUP($P406,Member_Tab,7,FALSE())),1,0))</f>
        <v>0</v>
      </c>
      <c r="AK508" s="184" t="n">
        <f aca="false">IF(ISERROR(VLOOKUP($P406,Member_Tab,5,FALSE())),0,VLOOKUP($P406,Member_Tab,5,FALSE())*IF(AND(AK$5 &gt; VLOOKUP($P406,Member_Tab,6,FALSE()),AK$5 &lt; VLOOKUP($P406,Member_Tab,7,FALSE())),1,0))</f>
        <v>0</v>
      </c>
      <c r="AL508" s="184" t="n">
        <f aca="false">IF(ISERROR(VLOOKUP($P406,Member_Tab,5,FALSE())),0,VLOOKUP($P406,Member_Tab,5,FALSE())*IF(AND(AL$5 &gt; VLOOKUP($P406,Member_Tab,6,FALSE()),AL$5 &lt; VLOOKUP($P406,Member_Tab,7,FALSE())),1,0))</f>
        <v>0</v>
      </c>
      <c r="AM508" s="184" t="n">
        <f aca="false">IF(ISERROR(VLOOKUP($P406,Member_Tab,5,FALSE())),0,VLOOKUP($P406,Member_Tab,5,FALSE())*IF(AND(AM$5 &gt; VLOOKUP($P406,Member_Tab,6,FALSE()),AM$5 &lt; VLOOKUP($P406,Member_Tab,7,FALSE())),1,0))</f>
        <v>0</v>
      </c>
      <c r="AN508" s="184" t="n">
        <f aca="false">IF(ISERROR(VLOOKUP($P406,Member_Tab,5,FALSE())),0,VLOOKUP($P406,Member_Tab,5,FALSE())*IF(AND(AN$5 &gt; VLOOKUP($P406,Member_Tab,6,FALSE()),AN$5 &lt; VLOOKUP($P406,Member_Tab,7,FALSE())),1,0))</f>
        <v>0</v>
      </c>
      <c r="AO508" s="184" t="n">
        <f aca="false">IF(ISERROR(VLOOKUP($P406,Member_Tab,5,FALSE())),0,VLOOKUP($P406,Member_Tab,5,FALSE())*IF(AND(AO$5 &gt; VLOOKUP($P406,Member_Tab,6,FALSE()),AO$5 &lt; VLOOKUP($P406,Member_Tab,7,FALSE())),1,0))</f>
        <v>0</v>
      </c>
      <c r="AP508" s="184" t="n">
        <f aca="false">IF(ISERROR(VLOOKUP($P406,Member_Tab,5,FALSE())),0,VLOOKUP($P406,Member_Tab,5,FALSE())*IF(AND(AP$5 &gt; VLOOKUP($P406,Member_Tab,6,FALSE()),AP$5 &lt; VLOOKUP($P406,Member_Tab,7,FALSE())),1,0))</f>
        <v>0</v>
      </c>
      <c r="AQ508" s="184" t="n">
        <f aca="false">IF(ISERROR(VLOOKUP($P406,Member_Tab,5,FALSE())),0,VLOOKUP($P406,Member_Tab,5,FALSE())*IF(AND(AQ$5 &gt; VLOOKUP($P406,Member_Tab,6,FALSE()),AQ$5 &lt; VLOOKUP($P406,Member_Tab,7,FALSE())),1,0))</f>
        <v>0</v>
      </c>
      <c r="AR508" s="184" t="n">
        <f aca="false">IF(ISERROR(VLOOKUP($P406,Member_Tab,5,FALSE())),0,VLOOKUP($P406,Member_Tab,5,FALSE())*IF(AND(AR$5 &gt; VLOOKUP($P406,Member_Tab,6,FALSE()),AR$5 &lt; VLOOKUP($P406,Member_Tab,7,FALSE())),1,0))</f>
        <v>0</v>
      </c>
      <c r="AS508" s="184" t="n">
        <f aca="false">IF(ISERROR(VLOOKUP($P406,Member_Tab,5,FALSE())),0,VLOOKUP($P406,Member_Tab,5,FALSE())*IF(AND(AS$5 &gt; VLOOKUP($P406,Member_Tab,6,FALSE()),AS$5 &lt; VLOOKUP($P406,Member_Tab,7,FALSE())),1,0))</f>
        <v>0</v>
      </c>
      <c r="AT508" s="184" t="n">
        <f aca="false">IF(ISERROR(VLOOKUP($P406,Member_Tab,5,FALSE())),0,VLOOKUP($P406,Member_Tab,5,FALSE())*IF(AND(AT$5 &gt; VLOOKUP($P406,Member_Tab,6,FALSE()),AT$5 &lt; VLOOKUP($P406,Member_Tab,7,FALSE())),1,0))</f>
        <v>0</v>
      </c>
      <c r="AU508" s="184" t="n">
        <f aca="false">IF(ISERROR(VLOOKUP($P406,Member_Tab,5,FALSE())),0,VLOOKUP($P406,Member_Tab,5,FALSE())*IF(AND(AU$5 &gt; VLOOKUP($P406,Member_Tab,6,FALSE()),AU$5 &lt; VLOOKUP($P406,Member_Tab,7,FALSE())),1,0))</f>
        <v>0</v>
      </c>
      <c r="AV508" s="184" t="n">
        <f aca="false">IF(ISERROR(VLOOKUP($P406,Member_Tab,5,FALSE())),0,VLOOKUP($P406,Member_Tab,5,FALSE())*IF(AND(AV$5 &gt; VLOOKUP($P406,Member_Tab,6,FALSE()),AV$5 &lt; VLOOKUP($P406,Member_Tab,7,FALSE())),1,0))</f>
        <v>0</v>
      </c>
      <c r="AW508" s="184" t="n">
        <f aca="false">IF(ISERROR(VLOOKUP($P406,Member_Tab,5,FALSE())),0,VLOOKUP($P406,Member_Tab,5,FALSE())*IF(AND(AW$5 &gt; VLOOKUP($P406,Member_Tab,6,FALSE()),AW$5 &lt; VLOOKUP($P406,Member_Tab,7,FALSE())),1,0))</f>
        <v>0</v>
      </c>
      <c r="AX508" s="184" t="n">
        <f aca="false">IF(ISERROR(VLOOKUP($P406,Member_Tab,5,FALSE())),0,VLOOKUP($P406,Member_Tab,5,FALSE())*IF(AND(AX$5 &gt; VLOOKUP($P406,Member_Tab,6,FALSE()),AX$5 &lt; VLOOKUP($P406,Member_Tab,7,FALSE())),1,0))</f>
        <v>0</v>
      </c>
      <c r="AY508" s="184" t="n">
        <f aca="false">IF(ISERROR(VLOOKUP($P406,Member_Tab,5,FALSE())),0,VLOOKUP($P406,Member_Tab,5,FALSE())*IF(AND(AY$5 &gt; VLOOKUP($P406,Member_Tab,6,FALSE()),AY$5 &lt; VLOOKUP($P406,Member_Tab,7,FALSE())),1,0))</f>
        <v>0</v>
      </c>
      <c r="AZ508" s="184" t="n">
        <f aca="false">IF(ISERROR(VLOOKUP($P406,Member_Tab,5,FALSE())),0,VLOOKUP($P406,Member_Tab,5,FALSE())*IF(AND(AZ$5 &gt; VLOOKUP($P406,Member_Tab,6,FALSE()),AZ$5 &lt; VLOOKUP($P406,Member_Tab,7,FALSE())),1,0))</f>
        <v>0</v>
      </c>
      <c r="BA508" s="184" t="n">
        <f aca="false">IF(ISERROR(VLOOKUP($P406,Member_Tab,5,FALSE())),0,VLOOKUP($P406,Member_Tab,5,FALSE())*IF(AND(BA$5 &gt; VLOOKUP($P406,Member_Tab,6,FALSE()),BA$5 &lt; VLOOKUP($P406,Member_Tab,7,FALSE())),1,0))</f>
        <v>0</v>
      </c>
      <c r="BB508" s="184" t="n">
        <f aca="false">IF(ISERROR(VLOOKUP($P406,Member_Tab,5,FALSE())),0,VLOOKUP($P406,Member_Tab,5,FALSE())*IF(AND(BB$5 &gt; VLOOKUP($P406,Member_Tab,6,FALSE()),BB$5 &lt; VLOOKUP($P406,Member_Tab,7,FALSE())),1,0))</f>
        <v>0</v>
      </c>
    </row>
    <row r="509" s="173" customFormat="true" ht="15.75" hidden="true" customHeight="false" outlineLevel="1" collapsed="false">
      <c r="E509" s="40"/>
      <c r="K509" s="40"/>
      <c r="L509" s="40"/>
      <c r="M509" s="40"/>
      <c r="N509" s="40"/>
      <c r="P509" s="183" t="str">
        <f aca="false">P407</f>
        <v>Johansson, Benim</v>
      </c>
      <c r="Q509" s="40"/>
      <c r="R509" s="182"/>
      <c r="S509" s="184" t="n">
        <f aca="false">IF(ISERROR(VLOOKUP($P407,Member_Tab,5,FALSE())),0,VLOOKUP($P407,Member_Tab,5,FALSE())*IF(AND(S$5 &gt; VLOOKUP($P407,Member_Tab,6,FALSE()),S$5 &lt; VLOOKUP($P407,Member_Tab,7,FALSE())),1,0))</f>
        <v>1</v>
      </c>
      <c r="T509" s="184" t="n">
        <f aca="false">IF(ISERROR(VLOOKUP($P407,Member_Tab,5,FALSE())),0,VLOOKUP($P407,Member_Tab,5,FALSE())*IF(AND(T$5 &gt; VLOOKUP($P407,Member_Tab,6,FALSE()),T$5 &lt; VLOOKUP($P407,Member_Tab,7,FALSE())),1,0))</f>
        <v>1</v>
      </c>
      <c r="U509" s="184" t="n">
        <f aca="false">IF(ISERROR(VLOOKUP($P407,Member_Tab,5,FALSE())),0,VLOOKUP($P407,Member_Tab,5,FALSE())*IF(AND(U$5 &gt; VLOOKUP($P407,Member_Tab,6,FALSE()),U$5 &lt; VLOOKUP($P407,Member_Tab,7,FALSE())),1,0))</f>
        <v>1</v>
      </c>
      <c r="V509" s="184" t="n">
        <f aca="false">IF(ISERROR(VLOOKUP($P407,Member_Tab,5,FALSE())),0,VLOOKUP($P407,Member_Tab,5,FALSE())*IF(AND(V$5 &gt; VLOOKUP($P407,Member_Tab,6,FALSE()),V$5 &lt; VLOOKUP($P407,Member_Tab,7,FALSE())),1,0))</f>
        <v>1</v>
      </c>
      <c r="W509" s="184" t="n">
        <f aca="false">IF(ISERROR(VLOOKUP($P407,Member_Tab,5,FALSE())),0,VLOOKUP($P407,Member_Tab,5,FALSE())*IF(AND(W$5 &gt; VLOOKUP($P407,Member_Tab,6,FALSE()),W$5 &lt; VLOOKUP($P407,Member_Tab,7,FALSE())),1,0))</f>
        <v>1</v>
      </c>
      <c r="X509" s="184" t="n">
        <f aca="false">IF(ISERROR(VLOOKUP($P407,Member_Tab,5,FALSE())),0,VLOOKUP($P407,Member_Tab,5,FALSE())*IF(AND(X$5 &gt; VLOOKUP($P407,Member_Tab,6,FALSE()),X$5 &lt; VLOOKUP($P407,Member_Tab,7,FALSE())),1,0))</f>
        <v>1</v>
      </c>
      <c r="Y509" s="184" t="n">
        <f aca="false">IF(ISERROR(VLOOKUP($P407,Member_Tab,5,FALSE())),0,VLOOKUP($P407,Member_Tab,5,FALSE())*IF(AND(Y$5 &gt; VLOOKUP($P407,Member_Tab,6,FALSE()),Y$5 &lt; VLOOKUP($P407,Member_Tab,7,FALSE())),1,0))</f>
        <v>1</v>
      </c>
      <c r="Z509" s="184" t="n">
        <f aca="false">IF(ISERROR(VLOOKUP($P407,Member_Tab,5,FALSE())),0,VLOOKUP($P407,Member_Tab,5,FALSE())*IF(AND(Z$5 &gt; VLOOKUP($P407,Member_Tab,6,FALSE()),Z$5 &lt; VLOOKUP($P407,Member_Tab,7,FALSE())),1,0))</f>
        <v>1</v>
      </c>
      <c r="AA509" s="184" t="n">
        <f aca="false">IF(ISERROR(VLOOKUP($P407,Member_Tab,5,FALSE())),0,VLOOKUP($P407,Member_Tab,5,FALSE())*IF(AND(AA$5 &gt; VLOOKUP($P407,Member_Tab,6,FALSE()),AA$5 &lt; VLOOKUP($P407,Member_Tab,7,FALSE())),1,0))</f>
        <v>1</v>
      </c>
      <c r="AB509" s="184" t="n">
        <f aca="false">IF(ISERROR(VLOOKUP($P407,Member_Tab,5,FALSE())),0,VLOOKUP($P407,Member_Tab,5,FALSE())*IF(AND(AB$5 &gt; VLOOKUP($P407,Member_Tab,6,FALSE()),AB$5 &lt; VLOOKUP($P407,Member_Tab,7,FALSE())),1,0))</f>
        <v>1</v>
      </c>
      <c r="AC509" s="184" t="n">
        <f aca="false">IF(ISERROR(VLOOKUP($P407,Member_Tab,5,FALSE())),0,VLOOKUP($P407,Member_Tab,5,FALSE())*IF(AND(AC$5 &gt; VLOOKUP($P407,Member_Tab,6,FALSE()),AC$5 &lt; VLOOKUP($P407,Member_Tab,7,FALSE())),1,0))</f>
        <v>1</v>
      </c>
      <c r="AD509" s="184" t="n">
        <f aca="false">IF(ISERROR(VLOOKUP($P407,Member_Tab,5,FALSE())),0,VLOOKUP($P407,Member_Tab,5,FALSE())*IF(AND(AD$5 &gt; VLOOKUP($P407,Member_Tab,6,FALSE()),AD$5 &lt; VLOOKUP($P407,Member_Tab,7,FALSE())),1,0))</f>
        <v>1</v>
      </c>
      <c r="AE509" s="184" t="n">
        <f aca="false">IF(ISERROR(VLOOKUP($P407,Member_Tab,5,FALSE())),0,VLOOKUP($P407,Member_Tab,5,FALSE())*IF(AND(AE$5 &gt; VLOOKUP($P407,Member_Tab,6,FALSE()),AE$5 &lt; VLOOKUP($P407,Member_Tab,7,FALSE())),1,0))</f>
        <v>1</v>
      </c>
      <c r="AF509" s="184" t="n">
        <f aca="false">IF(ISERROR(VLOOKUP($P407,Member_Tab,5,FALSE())),0,VLOOKUP($P407,Member_Tab,5,FALSE())*IF(AND(AF$5 &gt; VLOOKUP($P407,Member_Tab,6,FALSE()),AF$5 &lt; VLOOKUP($P407,Member_Tab,7,FALSE())),1,0))</f>
        <v>1</v>
      </c>
      <c r="AG509" s="184" t="n">
        <f aca="false">IF(ISERROR(VLOOKUP($P407,Member_Tab,5,FALSE())),0,VLOOKUP($P407,Member_Tab,5,FALSE())*IF(AND(AG$5 &gt; VLOOKUP($P407,Member_Tab,6,FALSE()),AG$5 &lt; VLOOKUP($P407,Member_Tab,7,FALSE())),1,0))</f>
        <v>1</v>
      </c>
      <c r="AH509" s="184" t="n">
        <f aca="false">IF(ISERROR(VLOOKUP($P407,Member_Tab,5,FALSE())),0,VLOOKUP($P407,Member_Tab,5,FALSE())*IF(AND(AH$5 &gt; VLOOKUP($P407,Member_Tab,6,FALSE()),AH$5 &lt; VLOOKUP($P407,Member_Tab,7,FALSE())),1,0))</f>
        <v>1</v>
      </c>
      <c r="AI509" s="184" t="n">
        <f aca="false">IF(ISERROR(VLOOKUP($P407,Member_Tab,5,FALSE())),0,VLOOKUP($P407,Member_Tab,5,FALSE())*IF(AND(AI$5 &gt; VLOOKUP($P407,Member_Tab,6,FALSE()),AI$5 &lt; VLOOKUP($P407,Member_Tab,7,FALSE())),1,0))</f>
        <v>1</v>
      </c>
      <c r="AJ509" s="184" t="n">
        <f aca="false">IF(ISERROR(VLOOKUP($P407,Member_Tab,5,FALSE())),0,VLOOKUP($P407,Member_Tab,5,FALSE())*IF(AND(AJ$5 &gt; VLOOKUP($P407,Member_Tab,6,FALSE()),AJ$5 &lt; VLOOKUP($P407,Member_Tab,7,FALSE())),1,0))</f>
        <v>1</v>
      </c>
      <c r="AK509" s="184" t="n">
        <f aca="false">IF(ISERROR(VLOOKUP($P407,Member_Tab,5,FALSE())),0,VLOOKUP($P407,Member_Tab,5,FALSE())*IF(AND(AK$5 &gt; VLOOKUP($P407,Member_Tab,6,FALSE()),AK$5 &lt; VLOOKUP($P407,Member_Tab,7,FALSE())),1,0))</f>
        <v>1</v>
      </c>
      <c r="AL509" s="184" t="n">
        <f aca="false">IF(ISERROR(VLOOKUP($P407,Member_Tab,5,FALSE())),0,VLOOKUP($P407,Member_Tab,5,FALSE())*IF(AND(AL$5 &gt; VLOOKUP($P407,Member_Tab,6,FALSE()),AL$5 &lt; VLOOKUP($P407,Member_Tab,7,FALSE())),1,0))</f>
        <v>1</v>
      </c>
      <c r="AM509" s="184" t="n">
        <f aca="false">IF(ISERROR(VLOOKUP($P407,Member_Tab,5,FALSE())),0,VLOOKUP($P407,Member_Tab,5,FALSE())*IF(AND(AM$5 &gt; VLOOKUP($P407,Member_Tab,6,FALSE()),AM$5 &lt; VLOOKUP($P407,Member_Tab,7,FALSE())),1,0))</f>
        <v>1</v>
      </c>
      <c r="AN509" s="184" t="n">
        <f aca="false">IF(ISERROR(VLOOKUP($P407,Member_Tab,5,FALSE())),0,VLOOKUP($P407,Member_Tab,5,FALSE())*IF(AND(AN$5 &gt; VLOOKUP($P407,Member_Tab,6,FALSE()),AN$5 &lt; VLOOKUP($P407,Member_Tab,7,FALSE())),1,0))</f>
        <v>1</v>
      </c>
      <c r="AO509" s="184" t="n">
        <f aca="false">IF(ISERROR(VLOOKUP($P407,Member_Tab,5,FALSE())),0,VLOOKUP($P407,Member_Tab,5,FALSE())*IF(AND(AO$5 &gt; VLOOKUP($P407,Member_Tab,6,FALSE()),AO$5 &lt; VLOOKUP($P407,Member_Tab,7,FALSE())),1,0))</f>
        <v>1</v>
      </c>
      <c r="AP509" s="184" t="n">
        <f aca="false">IF(ISERROR(VLOOKUP($P407,Member_Tab,5,FALSE())),0,VLOOKUP($P407,Member_Tab,5,FALSE())*IF(AND(AP$5 &gt; VLOOKUP($P407,Member_Tab,6,FALSE()),AP$5 &lt; VLOOKUP($P407,Member_Tab,7,FALSE())),1,0))</f>
        <v>1</v>
      </c>
      <c r="AQ509" s="184" t="n">
        <f aca="false">IF(ISERROR(VLOOKUP($P407,Member_Tab,5,FALSE())),0,VLOOKUP($P407,Member_Tab,5,FALSE())*IF(AND(AQ$5 &gt; VLOOKUP($P407,Member_Tab,6,FALSE()),AQ$5 &lt; VLOOKUP($P407,Member_Tab,7,FALSE())),1,0))</f>
        <v>1</v>
      </c>
      <c r="AR509" s="184" t="n">
        <f aca="false">IF(ISERROR(VLOOKUP($P407,Member_Tab,5,FALSE())),0,VLOOKUP($P407,Member_Tab,5,FALSE())*IF(AND(AR$5 &gt; VLOOKUP($P407,Member_Tab,6,FALSE()),AR$5 &lt; VLOOKUP($P407,Member_Tab,7,FALSE())),1,0))</f>
        <v>1</v>
      </c>
      <c r="AS509" s="184" t="n">
        <f aca="false">IF(ISERROR(VLOOKUP($P407,Member_Tab,5,FALSE())),0,VLOOKUP($P407,Member_Tab,5,FALSE())*IF(AND(AS$5 &gt; VLOOKUP($P407,Member_Tab,6,FALSE()),AS$5 &lt; VLOOKUP($P407,Member_Tab,7,FALSE())),1,0))</f>
        <v>1</v>
      </c>
      <c r="AT509" s="184" t="n">
        <f aca="false">IF(ISERROR(VLOOKUP($P407,Member_Tab,5,FALSE())),0,VLOOKUP($P407,Member_Tab,5,FALSE())*IF(AND(AT$5 &gt; VLOOKUP($P407,Member_Tab,6,FALSE()),AT$5 &lt; VLOOKUP($P407,Member_Tab,7,FALSE())),1,0))</f>
        <v>1</v>
      </c>
      <c r="AU509" s="184" t="n">
        <f aca="false">IF(ISERROR(VLOOKUP($P407,Member_Tab,5,FALSE())),0,VLOOKUP($P407,Member_Tab,5,FALSE())*IF(AND(AU$5 &gt; VLOOKUP($P407,Member_Tab,6,FALSE()),AU$5 &lt; VLOOKUP($P407,Member_Tab,7,FALSE())),1,0))</f>
        <v>1</v>
      </c>
      <c r="AV509" s="184" t="n">
        <f aca="false">IF(ISERROR(VLOOKUP($P407,Member_Tab,5,FALSE())),0,VLOOKUP($P407,Member_Tab,5,FALSE())*IF(AND(AV$5 &gt; VLOOKUP($P407,Member_Tab,6,FALSE()),AV$5 &lt; VLOOKUP($P407,Member_Tab,7,FALSE())),1,0))</f>
        <v>1</v>
      </c>
      <c r="AW509" s="184" t="n">
        <f aca="false">IF(ISERROR(VLOOKUP($P407,Member_Tab,5,FALSE())),0,VLOOKUP($P407,Member_Tab,5,FALSE())*IF(AND(AW$5 &gt; VLOOKUP($P407,Member_Tab,6,FALSE()),AW$5 &lt; VLOOKUP($P407,Member_Tab,7,FALSE())),1,0))</f>
        <v>1</v>
      </c>
      <c r="AX509" s="184" t="n">
        <f aca="false">IF(ISERROR(VLOOKUP($P407,Member_Tab,5,FALSE())),0,VLOOKUP($P407,Member_Tab,5,FALSE())*IF(AND(AX$5 &gt; VLOOKUP($P407,Member_Tab,6,FALSE()),AX$5 &lt; VLOOKUP($P407,Member_Tab,7,FALSE())),1,0))</f>
        <v>1</v>
      </c>
      <c r="AY509" s="184" t="n">
        <f aca="false">IF(ISERROR(VLOOKUP($P407,Member_Tab,5,FALSE())),0,VLOOKUP($P407,Member_Tab,5,FALSE())*IF(AND(AY$5 &gt; VLOOKUP($P407,Member_Tab,6,FALSE()),AY$5 &lt; VLOOKUP($P407,Member_Tab,7,FALSE())),1,0))</f>
        <v>1</v>
      </c>
      <c r="AZ509" s="184" t="n">
        <f aca="false">IF(ISERROR(VLOOKUP($P407,Member_Tab,5,FALSE())),0,VLOOKUP($P407,Member_Tab,5,FALSE())*IF(AND(AZ$5 &gt; VLOOKUP($P407,Member_Tab,6,FALSE()),AZ$5 &lt; VLOOKUP($P407,Member_Tab,7,FALSE())),1,0))</f>
        <v>1</v>
      </c>
      <c r="BA509" s="184" t="n">
        <f aca="false">IF(ISERROR(VLOOKUP($P407,Member_Tab,5,FALSE())),0,VLOOKUP($P407,Member_Tab,5,FALSE())*IF(AND(BA$5 &gt; VLOOKUP($P407,Member_Tab,6,FALSE()),BA$5 &lt; VLOOKUP($P407,Member_Tab,7,FALSE())),1,0))</f>
        <v>1</v>
      </c>
      <c r="BB509" s="184" t="n">
        <f aca="false">IF(ISERROR(VLOOKUP($P407,Member_Tab,5,FALSE())),0,VLOOKUP($P407,Member_Tab,5,FALSE())*IF(AND(BB$5 &gt; VLOOKUP($P407,Member_Tab,6,FALSE()),BB$5 &lt; VLOOKUP($P407,Member_Tab,7,FALSE())),1,0))</f>
        <v>1</v>
      </c>
    </row>
    <row r="510" s="173" customFormat="true" ht="15.75" hidden="true" customHeight="false" outlineLevel="1" collapsed="false">
      <c r="E510" s="40"/>
      <c r="K510" s="40"/>
      <c r="L510" s="40"/>
      <c r="M510" s="40"/>
      <c r="N510" s="40"/>
      <c r="P510" s="183" t="n">
        <f aca="false">P408</f>
        <v>0</v>
      </c>
      <c r="Q510" s="40"/>
      <c r="R510" s="182"/>
      <c r="S510" s="184" t="n">
        <f aca="false">IF(ISERROR(VLOOKUP($P408,Member_Tab,5,FALSE())),0,VLOOKUP($P408,Member_Tab,5,FALSE())*IF(AND(S$5 &gt; VLOOKUP($P408,Member_Tab,6,FALSE()),S$5 &lt; VLOOKUP($P408,Member_Tab,7,FALSE())),1,0))</f>
        <v>0</v>
      </c>
      <c r="T510" s="184" t="n">
        <f aca="false">IF(ISERROR(VLOOKUP($P408,Member_Tab,5,FALSE())),0,VLOOKUP($P408,Member_Tab,5,FALSE())*IF(AND(T$5 &gt; VLOOKUP($P408,Member_Tab,6,FALSE()),T$5 &lt; VLOOKUP($P408,Member_Tab,7,FALSE())),1,0))</f>
        <v>0</v>
      </c>
      <c r="U510" s="184" t="n">
        <f aca="false">IF(ISERROR(VLOOKUP($P408,Member_Tab,5,FALSE())),0,VLOOKUP($P408,Member_Tab,5,FALSE())*IF(AND(U$5 &gt; VLOOKUP($P408,Member_Tab,6,FALSE()),U$5 &lt; VLOOKUP($P408,Member_Tab,7,FALSE())),1,0))</f>
        <v>0</v>
      </c>
      <c r="V510" s="184" t="n">
        <f aca="false">IF(ISERROR(VLOOKUP($P408,Member_Tab,5,FALSE())),0,VLOOKUP($P408,Member_Tab,5,FALSE())*IF(AND(V$5 &gt; VLOOKUP($P408,Member_Tab,6,FALSE()),V$5 &lt; VLOOKUP($P408,Member_Tab,7,FALSE())),1,0))</f>
        <v>0</v>
      </c>
      <c r="W510" s="184" t="n">
        <f aca="false">IF(ISERROR(VLOOKUP($P408,Member_Tab,5,FALSE())),0,VLOOKUP($P408,Member_Tab,5,FALSE())*IF(AND(W$5 &gt; VLOOKUP($P408,Member_Tab,6,FALSE()),W$5 &lt; VLOOKUP($P408,Member_Tab,7,FALSE())),1,0))</f>
        <v>0</v>
      </c>
      <c r="X510" s="184" t="n">
        <f aca="false">IF(ISERROR(VLOOKUP($P408,Member_Tab,5,FALSE())),0,VLOOKUP($P408,Member_Tab,5,FALSE())*IF(AND(X$5 &gt; VLOOKUP($P408,Member_Tab,6,FALSE()),X$5 &lt; VLOOKUP($P408,Member_Tab,7,FALSE())),1,0))</f>
        <v>0</v>
      </c>
      <c r="Y510" s="184" t="n">
        <f aca="false">IF(ISERROR(VLOOKUP($P408,Member_Tab,5,FALSE())),0,VLOOKUP($P408,Member_Tab,5,FALSE())*IF(AND(Y$5 &gt; VLOOKUP($P408,Member_Tab,6,FALSE()),Y$5 &lt; VLOOKUP($P408,Member_Tab,7,FALSE())),1,0))</f>
        <v>0</v>
      </c>
      <c r="Z510" s="184" t="n">
        <f aca="false">IF(ISERROR(VLOOKUP($P408,Member_Tab,5,FALSE())),0,VLOOKUP($P408,Member_Tab,5,FALSE())*IF(AND(Z$5 &gt; VLOOKUP($P408,Member_Tab,6,FALSE()),Z$5 &lt; VLOOKUP($P408,Member_Tab,7,FALSE())),1,0))</f>
        <v>0</v>
      </c>
      <c r="AA510" s="184" t="n">
        <f aca="false">IF(ISERROR(VLOOKUP($P408,Member_Tab,5,FALSE())),0,VLOOKUP($P408,Member_Tab,5,FALSE())*IF(AND(AA$5 &gt; VLOOKUP($P408,Member_Tab,6,FALSE()),AA$5 &lt; VLOOKUP($P408,Member_Tab,7,FALSE())),1,0))</f>
        <v>0</v>
      </c>
      <c r="AB510" s="184" t="n">
        <f aca="false">IF(ISERROR(VLOOKUP($P408,Member_Tab,5,FALSE())),0,VLOOKUP($P408,Member_Tab,5,FALSE())*IF(AND(AB$5 &gt; VLOOKUP($P408,Member_Tab,6,FALSE()),AB$5 &lt; VLOOKUP($P408,Member_Tab,7,FALSE())),1,0))</f>
        <v>0</v>
      </c>
      <c r="AC510" s="184" t="n">
        <f aca="false">IF(ISERROR(VLOOKUP($P408,Member_Tab,5,FALSE())),0,VLOOKUP($P408,Member_Tab,5,FALSE())*IF(AND(AC$5 &gt; VLOOKUP($P408,Member_Tab,6,FALSE()),AC$5 &lt; VLOOKUP($P408,Member_Tab,7,FALSE())),1,0))</f>
        <v>0</v>
      </c>
      <c r="AD510" s="184" t="n">
        <f aca="false">IF(ISERROR(VLOOKUP($P408,Member_Tab,5,FALSE())),0,VLOOKUP($P408,Member_Tab,5,FALSE())*IF(AND(AD$5 &gt; VLOOKUP($P408,Member_Tab,6,FALSE()),AD$5 &lt; VLOOKUP($P408,Member_Tab,7,FALSE())),1,0))</f>
        <v>0</v>
      </c>
      <c r="AE510" s="184" t="n">
        <f aca="false">IF(ISERROR(VLOOKUP($P408,Member_Tab,5,FALSE())),0,VLOOKUP($P408,Member_Tab,5,FALSE())*IF(AND(AE$5 &gt; VLOOKUP($P408,Member_Tab,6,FALSE()),AE$5 &lt; VLOOKUP($P408,Member_Tab,7,FALSE())),1,0))</f>
        <v>0</v>
      </c>
      <c r="AF510" s="184" t="n">
        <f aca="false">IF(ISERROR(VLOOKUP($P408,Member_Tab,5,FALSE())),0,VLOOKUP($P408,Member_Tab,5,FALSE())*IF(AND(AF$5 &gt; VLOOKUP($P408,Member_Tab,6,FALSE()),AF$5 &lt; VLOOKUP($P408,Member_Tab,7,FALSE())),1,0))</f>
        <v>0</v>
      </c>
      <c r="AG510" s="184" t="n">
        <f aca="false">IF(ISERROR(VLOOKUP($P408,Member_Tab,5,FALSE())),0,VLOOKUP($P408,Member_Tab,5,FALSE())*IF(AND(AG$5 &gt; VLOOKUP($P408,Member_Tab,6,FALSE()),AG$5 &lt; VLOOKUP($P408,Member_Tab,7,FALSE())),1,0))</f>
        <v>0</v>
      </c>
      <c r="AH510" s="184" t="n">
        <f aca="false">IF(ISERROR(VLOOKUP($P408,Member_Tab,5,FALSE())),0,VLOOKUP($P408,Member_Tab,5,FALSE())*IF(AND(AH$5 &gt; VLOOKUP($P408,Member_Tab,6,FALSE()),AH$5 &lt; VLOOKUP($P408,Member_Tab,7,FALSE())),1,0))</f>
        <v>0</v>
      </c>
      <c r="AI510" s="184" t="n">
        <f aca="false">IF(ISERROR(VLOOKUP($P408,Member_Tab,5,FALSE())),0,VLOOKUP($P408,Member_Tab,5,FALSE())*IF(AND(AI$5 &gt; VLOOKUP($P408,Member_Tab,6,FALSE()),AI$5 &lt; VLOOKUP($P408,Member_Tab,7,FALSE())),1,0))</f>
        <v>0</v>
      </c>
      <c r="AJ510" s="184" t="n">
        <f aca="false">IF(ISERROR(VLOOKUP($P408,Member_Tab,5,FALSE())),0,VLOOKUP($P408,Member_Tab,5,FALSE())*IF(AND(AJ$5 &gt; VLOOKUP($P408,Member_Tab,6,FALSE()),AJ$5 &lt; VLOOKUP($P408,Member_Tab,7,FALSE())),1,0))</f>
        <v>0</v>
      </c>
      <c r="AK510" s="184" t="n">
        <f aca="false">IF(ISERROR(VLOOKUP($P408,Member_Tab,5,FALSE())),0,VLOOKUP($P408,Member_Tab,5,FALSE())*IF(AND(AK$5 &gt; VLOOKUP($P408,Member_Tab,6,FALSE()),AK$5 &lt; VLOOKUP($P408,Member_Tab,7,FALSE())),1,0))</f>
        <v>0</v>
      </c>
      <c r="AL510" s="184" t="n">
        <f aca="false">IF(ISERROR(VLOOKUP($P408,Member_Tab,5,FALSE())),0,VLOOKUP($P408,Member_Tab,5,FALSE())*IF(AND(AL$5 &gt; VLOOKUP($P408,Member_Tab,6,FALSE()),AL$5 &lt; VLOOKUP($P408,Member_Tab,7,FALSE())),1,0))</f>
        <v>0</v>
      </c>
      <c r="AM510" s="184" t="n">
        <f aca="false">IF(ISERROR(VLOOKUP($P408,Member_Tab,5,FALSE())),0,VLOOKUP($P408,Member_Tab,5,FALSE())*IF(AND(AM$5 &gt; VLOOKUP($P408,Member_Tab,6,FALSE()),AM$5 &lt; VLOOKUP($P408,Member_Tab,7,FALSE())),1,0))</f>
        <v>0</v>
      </c>
      <c r="AN510" s="184" t="n">
        <f aca="false">IF(ISERROR(VLOOKUP($P408,Member_Tab,5,FALSE())),0,VLOOKUP($P408,Member_Tab,5,FALSE())*IF(AND(AN$5 &gt; VLOOKUP($P408,Member_Tab,6,FALSE()),AN$5 &lt; VLOOKUP($P408,Member_Tab,7,FALSE())),1,0))</f>
        <v>0</v>
      </c>
      <c r="AO510" s="184" t="n">
        <f aca="false">IF(ISERROR(VLOOKUP($P408,Member_Tab,5,FALSE())),0,VLOOKUP($P408,Member_Tab,5,FALSE())*IF(AND(AO$5 &gt; VLOOKUP($P408,Member_Tab,6,FALSE()),AO$5 &lt; VLOOKUP($P408,Member_Tab,7,FALSE())),1,0))</f>
        <v>0</v>
      </c>
      <c r="AP510" s="184" t="n">
        <f aca="false">IF(ISERROR(VLOOKUP($P408,Member_Tab,5,FALSE())),0,VLOOKUP($P408,Member_Tab,5,FALSE())*IF(AND(AP$5 &gt; VLOOKUP($P408,Member_Tab,6,FALSE()),AP$5 &lt; VLOOKUP($P408,Member_Tab,7,FALSE())),1,0))</f>
        <v>0</v>
      </c>
      <c r="AQ510" s="184" t="n">
        <f aca="false">IF(ISERROR(VLOOKUP($P408,Member_Tab,5,FALSE())),0,VLOOKUP($P408,Member_Tab,5,FALSE())*IF(AND(AQ$5 &gt; VLOOKUP($P408,Member_Tab,6,FALSE()),AQ$5 &lt; VLOOKUP($P408,Member_Tab,7,FALSE())),1,0))</f>
        <v>0</v>
      </c>
      <c r="AR510" s="184" t="n">
        <f aca="false">IF(ISERROR(VLOOKUP($P408,Member_Tab,5,FALSE())),0,VLOOKUP($P408,Member_Tab,5,FALSE())*IF(AND(AR$5 &gt; VLOOKUP($P408,Member_Tab,6,FALSE()),AR$5 &lt; VLOOKUP($P408,Member_Tab,7,FALSE())),1,0))</f>
        <v>0</v>
      </c>
      <c r="AS510" s="184" t="n">
        <f aca="false">IF(ISERROR(VLOOKUP($P408,Member_Tab,5,FALSE())),0,VLOOKUP($P408,Member_Tab,5,FALSE())*IF(AND(AS$5 &gt; VLOOKUP($P408,Member_Tab,6,FALSE()),AS$5 &lt; VLOOKUP($P408,Member_Tab,7,FALSE())),1,0))</f>
        <v>0</v>
      </c>
      <c r="AT510" s="184" t="n">
        <f aca="false">IF(ISERROR(VLOOKUP($P408,Member_Tab,5,FALSE())),0,VLOOKUP($P408,Member_Tab,5,FALSE())*IF(AND(AT$5 &gt; VLOOKUP($P408,Member_Tab,6,FALSE()),AT$5 &lt; VLOOKUP($P408,Member_Tab,7,FALSE())),1,0))</f>
        <v>0</v>
      </c>
      <c r="AU510" s="184" t="n">
        <f aca="false">IF(ISERROR(VLOOKUP($P408,Member_Tab,5,FALSE())),0,VLOOKUP($P408,Member_Tab,5,FALSE())*IF(AND(AU$5 &gt; VLOOKUP($P408,Member_Tab,6,FALSE()),AU$5 &lt; VLOOKUP($P408,Member_Tab,7,FALSE())),1,0))</f>
        <v>0</v>
      </c>
      <c r="AV510" s="184" t="n">
        <f aca="false">IF(ISERROR(VLOOKUP($P408,Member_Tab,5,FALSE())),0,VLOOKUP($P408,Member_Tab,5,FALSE())*IF(AND(AV$5 &gt; VLOOKUP($P408,Member_Tab,6,FALSE()),AV$5 &lt; VLOOKUP($P408,Member_Tab,7,FALSE())),1,0))</f>
        <v>0</v>
      </c>
      <c r="AW510" s="184" t="n">
        <f aca="false">IF(ISERROR(VLOOKUP($P408,Member_Tab,5,FALSE())),0,VLOOKUP($P408,Member_Tab,5,FALSE())*IF(AND(AW$5 &gt; VLOOKUP($P408,Member_Tab,6,FALSE()),AW$5 &lt; VLOOKUP($P408,Member_Tab,7,FALSE())),1,0))</f>
        <v>0</v>
      </c>
      <c r="AX510" s="184" t="n">
        <f aca="false">IF(ISERROR(VLOOKUP($P408,Member_Tab,5,FALSE())),0,VLOOKUP($P408,Member_Tab,5,FALSE())*IF(AND(AX$5 &gt; VLOOKUP($P408,Member_Tab,6,FALSE()),AX$5 &lt; VLOOKUP($P408,Member_Tab,7,FALSE())),1,0))</f>
        <v>0</v>
      </c>
      <c r="AY510" s="184" t="n">
        <f aca="false">IF(ISERROR(VLOOKUP($P408,Member_Tab,5,FALSE())),0,VLOOKUP($P408,Member_Tab,5,FALSE())*IF(AND(AY$5 &gt; VLOOKUP($P408,Member_Tab,6,FALSE()),AY$5 &lt; VLOOKUP($P408,Member_Tab,7,FALSE())),1,0))</f>
        <v>0</v>
      </c>
      <c r="AZ510" s="184" t="n">
        <f aca="false">IF(ISERROR(VLOOKUP($P408,Member_Tab,5,FALSE())),0,VLOOKUP($P408,Member_Tab,5,FALSE())*IF(AND(AZ$5 &gt; VLOOKUP($P408,Member_Tab,6,FALSE()),AZ$5 &lt; VLOOKUP($P408,Member_Tab,7,FALSE())),1,0))</f>
        <v>0</v>
      </c>
      <c r="BA510" s="184" t="n">
        <f aca="false">IF(ISERROR(VLOOKUP($P408,Member_Tab,5,FALSE())),0,VLOOKUP($P408,Member_Tab,5,FALSE())*IF(AND(BA$5 &gt; VLOOKUP($P408,Member_Tab,6,FALSE()),BA$5 &lt; VLOOKUP($P408,Member_Tab,7,FALSE())),1,0))</f>
        <v>0</v>
      </c>
      <c r="BB510" s="184" t="n">
        <f aca="false">IF(ISERROR(VLOOKUP($P408,Member_Tab,5,FALSE())),0,VLOOKUP($P408,Member_Tab,5,FALSE())*IF(AND(BB$5 &gt; VLOOKUP($P408,Member_Tab,6,FALSE()),BB$5 &lt; VLOOKUP($P408,Member_Tab,7,FALSE())),1,0))</f>
        <v>0</v>
      </c>
    </row>
    <row r="511" s="173" customFormat="true" ht="15.75" hidden="true" customHeight="false" outlineLevel="1" collapsed="false">
      <c r="E511" s="40"/>
      <c r="K511" s="40"/>
      <c r="L511" s="40"/>
      <c r="M511" s="40"/>
      <c r="N511" s="40"/>
      <c r="P511" s="183" t="n">
        <f aca="false">P409</f>
        <v>0</v>
      </c>
      <c r="Q511" s="40"/>
      <c r="R511" s="182"/>
      <c r="S511" s="184" t="n">
        <f aca="false">IF(ISERROR(VLOOKUP($P409,Member_Tab,5,FALSE())),0,VLOOKUP($P409,Member_Tab,5,FALSE())*IF(AND(S$5 &gt; VLOOKUP($P409,Member_Tab,6,FALSE()),S$5 &lt; VLOOKUP($P409,Member_Tab,7,FALSE())),1,0))</f>
        <v>0</v>
      </c>
      <c r="T511" s="184" t="n">
        <f aca="false">IF(ISERROR(VLOOKUP($P409,Member_Tab,5,FALSE())),0,VLOOKUP($P409,Member_Tab,5,FALSE())*IF(AND(T$5 &gt; VLOOKUP($P409,Member_Tab,6,FALSE()),T$5 &lt; VLOOKUP($P409,Member_Tab,7,FALSE())),1,0))</f>
        <v>0</v>
      </c>
      <c r="U511" s="184" t="n">
        <f aca="false">IF(ISERROR(VLOOKUP($P409,Member_Tab,5,FALSE())),0,VLOOKUP($P409,Member_Tab,5,FALSE())*IF(AND(U$5 &gt; VLOOKUP($P409,Member_Tab,6,FALSE()),U$5 &lt; VLOOKUP($P409,Member_Tab,7,FALSE())),1,0))</f>
        <v>0</v>
      </c>
      <c r="V511" s="184" t="n">
        <f aca="false">IF(ISERROR(VLOOKUP($P409,Member_Tab,5,FALSE())),0,VLOOKUP($P409,Member_Tab,5,FALSE())*IF(AND(V$5 &gt; VLOOKUP($P409,Member_Tab,6,FALSE()),V$5 &lt; VLOOKUP($P409,Member_Tab,7,FALSE())),1,0))</f>
        <v>0</v>
      </c>
      <c r="W511" s="184" t="n">
        <f aca="false">IF(ISERROR(VLOOKUP($P409,Member_Tab,5,FALSE())),0,VLOOKUP($P409,Member_Tab,5,FALSE())*IF(AND(W$5 &gt; VLOOKUP($P409,Member_Tab,6,FALSE()),W$5 &lt; VLOOKUP($P409,Member_Tab,7,FALSE())),1,0))</f>
        <v>0</v>
      </c>
      <c r="X511" s="184" t="n">
        <f aca="false">IF(ISERROR(VLOOKUP($P409,Member_Tab,5,FALSE())),0,VLOOKUP($P409,Member_Tab,5,FALSE())*IF(AND(X$5 &gt; VLOOKUP($P409,Member_Tab,6,FALSE()),X$5 &lt; VLOOKUP($P409,Member_Tab,7,FALSE())),1,0))</f>
        <v>0</v>
      </c>
      <c r="Y511" s="184" t="n">
        <f aca="false">IF(ISERROR(VLOOKUP($P409,Member_Tab,5,FALSE())),0,VLOOKUP($P409,Member_Tab,5,FALSE())*IF(AND(Y$5 &gt; VLOOKUP($P409,Member_Tab,6,FALSE()),Y$5 &lt; VLOOKUP($P409,Member_Tab,7,FALSE())),1,0))</f>
        <v>0</v>
      </c>
      <c r="Z511" s="184" t="n">
        <f aca="false">IF(ISERROR(VLOOKUP($P409,Member_Tab,5,FALSE())),0,VLOOKUP($P409,Member_Tab,5,FALSE())*IF(AND(Z$5 &gt; VLOOKUP($P409,Member_Tab,6,FALSE()),Z$5 &lt; VLOOKUP($P409,Member_Tab,7,FALSE())),1,0))</f>
        <v>0</v>
      </c>
      <c r="AA511" s="184" t="n">
        <f aca="false">IF(ISERROR(VLOOKUP($P409,Member_Tab,5,FALSE())),0,VLOOKUP($P409,Member_Tab,5,FALSE())*IF(AND(AA$5 &gt; VLOOKUP($P409,Member_Tab,6,FALSE()),AA$5 &lt; VLOOKUP($P409,Member_Tab,7,FALSE())),1,0))</f>
        <v>0</v>
      </c>
      <c r="AB511" s="184" t="n">
        <f aca="false">IF(ISERROR(VLOOKUP($P409,Member_Tab,5,FALSE())),0,VLOOKUP($P409,Member_Tab,5,FALSE())*IF(AND(AB$5 &gt; VLOOKUP($P409,Member_Tab,6,FALSE()),AB$5 &lt; VLOOKUP($P409,Member_Tab,7,FALSE())),1,0))</f>
        <v>0</v>
      </c>
      <c r="AC511" s="184" t="n">
        <f aca="false">IF(ISERROR(VLOOKUP($P409,Member_Tab,5,FALSE())),0,VLOOKUP($P409,Member_Tab,5,FALSE())*IF(AND(AC$5 &gt; VLOOKUP($P409,Member_Tab,6,FALSE()),AC$5 &lt; VLOOKUP($P409,Member_Tab,7,FALSE())),1,0))</f>
        <v>0</v>
      </c>
      <c r="AD511" s="184" t="n">
        <f aca="false">IF(ISERROR(VLOOKUP($P409,Member_Tab,5,FALSE())),0,VLOOKUP($P409,Member_Tab,5,FALSE())*IF(AND(AD$5 &gt; VLOOKUP($P409,Member_Tab,6,FALSE()),AD$5 &lt; VLOOKUP($P409,Member_Tab,7,FALSE())),1,0))</f>
        <v>0</v>
      </c>
      <c r="AE511" s="184" t="n">
        <f aca="false">IF(ISERROR(VLOOKUP($P409,Member_Tab,5,FALSE())),0,VLOOKUP($P409,Member_Tab,5,FALSE())*IF(AND(AE$5 &gt; VLOOKUP($P409,Member_Tab,6,FALSE()),AE$5 &lt; VLOOKUP($P409,Member_Tab,7,FALSE())),1,0))</f>
        <v>0</v>
      </c>
      <c r="AF511" s="184" t="n">
        <f aca="false">IF(ISERROR(VLOOKUP($P409,Member_Tab,5,FALSE())),0,VLOOKUP($P409,Member_Tab,5,FALSE())*IF(AND(AF$5 &gt; VLOOKUP($P409,Member_Tab,6,FALSE()),AF$5 &lt; VLOOKUP($P409,Member_Tab,7,FALSE())),1,0))</f>
        <v>0</v>
      </c>
      <c r="AG511" s="184" t="n">
        <f aca="false">IF(ISERROR(VLOOKUP($P409,Member_Tab,5,FALSE())),0,VLOOKUP($P409,Member_Tab,5,FALSE())*IF(AND(AG$5 &gt; VLOOKUP($P409,Member_Tab,6,FALSE()),AG$5 &lt; VLOOKUP($P409,Member_Tab,7,FALSE())),1,0))</f>
        <v>0</v>
      </c>
      <c r="AH511" s="184" t="n">
        <f aca="false">IF(ISERROR(VLOOKUP($P409,Member_Tab,5,FALSE())),0,VLOOKUP($P409,Member_Tab,5,FALSE())*IF(AND(AH$5 &gt; VLOOKUP($P409,Member_Tab,6,FALSE()),AH$5 &lt; VLOOKUP($P409,Member_Tab,7,FALSE())),1,0))</f>
        <v>0</v>
      </c>
      <c r="AI511" s="184" t="n">
        <f aca="false">IF(ISERROR(VLOOKUP($P409,Member_Tab,5,FALSE())),0,VLOOKUP($P409,Member_Tab,5,FALSE())*IF(AND(AI$5 &gt; VLOOKUP($P409,Member_Tab,6,FALSE()),AI$5 &lt; VLOOKUP($P409,Member_Tab,7,FALSE())),1,0))</f>
        <v>0</v>
      </c>
      <c r="AJ511" s="184" t="n">
        <f aca="false">IF(ISERROR(VLOOKUP($P409,Member_Tab,5,FALSE())),0,VLOOKUP($P409,Member_Tab,5,FALSE())*IF(AND(AJ$5 &gt; VLOOKUP($P409,Member_Tab,6,FALSE()),AJ$5 &lt; VLOOKUP($P409,Member_Tab,7,FALSE())),1,0))</f>
        <v>0</v>
      </c>
      <c r="AK511" s="184" t="n">
        <f aca="false">IF(ISERROR(VLOOKUP($P409,Member_Tab,5,FALSE())),0,VLOOKUP($P409,Member_Tab,5,FALSE())*IF(AND(AK$5 &gt; VLOOKUP($P409,Member_Tab,6,FALSE()),AK$5 &lt; VLOOKUP($P409,Member_Tab,7,FALSE())),1,0))</f>
        <v>0</v>
      </c>
      <c r="AL511" s="184" t="n">
        <f aca="false">IF(ISERROR(VLOOKUP($P409,Member_Tab,5,FALSE())),0,VLOOKUP($P409,Member_Tab,5,FALSE())*IF(AND(AL$5 &gt; VLOOKUP($P409,Member_Tab,6,FALSE()),AL$5 &lt; VLOOKUP($P409,Member_Tab,7,FALSE())),1,0))</f>
        <v>0</v>
      </c>
      <c r="AM511" s="184" t="n">
        <f aca="false">IF(ISERROR(VLOOKUP($P409,Member_Tab,5,FALSE())),0,VLOOKUP($P409,Member_Tab,5,FALSE())*IF(AND(AM$5 &gt; VLOOKUP($P409,Member_Tab,6,FALSE()),AM$5 &lt; VLOOKUP($P409,Member_Tab,7,FALSE())),1,0))</f>
        <v>0</v>
      </c>
      <c r="AN511" s="184" t="n">
        <f aca="false">IF(ISERROR(VLOOKUP($P409,Member_Tab,5,FALSE())),0,VLOOKUP($P409,Member_Tab,5,FALSE())*IF(AND(AN$5 &gt; VLOOKUP($P409,Member_Tab,6,FALSE()),AN$5 &lt; VLOOKUP($P409,Member_Tab,7,FALSE())),1,0))</f>
        <v>0</v>
      </c>
      <c r="AO511" s="184" t="n">
        <f aca="false">IF(ISERROR(VLOOKUP($P409,Member_Tab,5,FALSE())),0,VLOOKUP($P409,Member_Tab,5,FALSE())*IF(AND(AO$5 &gt; VLOOKUP($P409,Member_Tab,6,FALSE()),AO$5 &lt; VLOOKUP($P409,Member_Tab,7,FALSE())),1,0))</f>
        <v>0</v>
      </c>
      <c r="AP511" s="184" t="n">
        <f aca="false">IF(ISERROR(VLOOKUP($P409,Member_Tab,5,FALSE())),0,VLOOKUP($P409,Member_Tab,5,FALSE())*IF(AND(AP$5 &gt; VLOOKUP($P409,Member_Tab,6,FALSE()),AP$5 &lt; VLOOKUP($P409,Member_Tab,7,FALSE())),1,0))</f>
        <v>0</v>
      </c>
      <c r="AQ511" s="184" t="n">
        <f aca="false">IF(ISERROR(VLOOKUP($P409,Member_Tab,5,FALSE())),0,VLOOKUP($P409,Member_Tab,5,FALSE())*IF(AND(AQ$5 &gt; VLOOKUP($P409,Member_Tab,6,FALSE()),AQ$5 &lt; VLOOKUP($P409,Member_Tab,7,FALSE())),1,0))</f>
        <v>0</v>
      </c>
      <c r="AR511" s="184" t="n">
        <f aca="false">IF(ISERROR(VLOOKUP($P409,Member_Tab,5,FALSE())),0,VLOOKUP($P409,Member_Tab,5,FALSE())*IF(AND(AR$5 &gt; VLOOKUP($P409,Member_Tab,6,FALSE()),AR$5 &lt; VLOOKUP($P409,Member_Tab,7,FALSE())),1,0))</f>
        <v>0</v>
      </c>
      <c r="AS511" s="184" t="n">
        <f aca="false">IF(ISERROR(VLOOKUP($P409,Member_Tab,5,FALSE())),0,VLOOKUP($P409,Member_Tab,5,FALSE())*IF(AND(AS$5 &gt; VLOOKUP($P409,Member_Tab,6,FALSE()),AS$5 &lt; VLOOKUP($P409,Member_Tab,7,FALSE())),1,0))</f>
        <v>0</v>
      </c>
      <c r="AT511" s="184" t="n">
        <f aca="false">IF(ISERROR(VLOOKUP($P409,Member_Tab,5,FALSE())),0,VLOOKUP($P409,Member_Tab,5,FALSE())*IF(AND(AT$5 &gt; VLOOKUP($P409,Member_Tab,6,FALSE()),AT$5 &lt; VLOOKUP($P409,Member_Tab,7,FALSE())),1,0))</f>
        <v>0</v>
      </c>
      <c r="AU511" s="184" t="n">
        <f aca="false">IF(ISERROR(VLOOKUP($P409,Member_Tab,5,FALSE())),0,VLOOKUP($P409,Member_Tab,5,FALSE())*IF(AND(AU$5 &gt; VLOOKUP($P409,Member_Tab,6,FALSE()),AU$5 &lt; VLOOKUP($P409,Member_Tab,7,FALSE())),1,0))</f>
        <v>0</v>
      </c>
      <c r="AV511" s="184" t="n">
        <f aca="false">IF(ISERROR(VLOOKUP($P409,Member_Tab,5,FALSE())),0,VLOOKUP($P409,Member_Tab,5,FALSE())*IF(AND(AV$5 &gt; VLOOKUP($P409,Member_Tab,6,FALSE()),AV$5 &lt; VLOOKUP($P409,Member_Tab,7,FALSE())),1,0))</f>
        <v>0</v>
      </c>
      <c r="AW511" s="184" t="n">
        <f aca="false">IF(ISERROR(VLOOKUP($P409,Member_Tab,5,FALSE())),0,VLOOKUP($P409,Member_Tab,5,FALSE())*IF(AND(AW$5 &gt; VLOOKUP($P409,Member_Tab,6,FALSE()),AW$5 &lt; VLOOKUP($P409,Member_Tab,7,FALSE())),1,0))</f>
        <v>0</v>
      </c>
      <c r="AX511" s="184" t="n">
        <f aca="false">IF(ISERROR(VLOOKUP($P409,Member_Tab,5,FALSE())),0,VLOOKUP($P409,Member_Tab,5,FALSE())*IF(AND(AX$5 &gt; VLOOKUP($P409,Member_Tab,6,FALSE()),AX$5 &lt; VLOOKUP($P409,Member_Tab,7,FALSE())),1,0))</f>
        <v>0</v>
      </c>
      <c r="AY511" s="184" t="n">
        <f aca="false">IF(ISERROR(VLOOKUP($P409,Member_Tab,5,FALSE())),0,VLOOKUP($P409,Member_Tab,5,FALSE())*IF(AND(AY$5 &gt; VLOOKUP($P409,Member_Tab,6,FALSE()),AY$5 &lt; VLOOKUP($P409,Member_Tab,7,FALSE())),1,0))</f>
        <v>0</v>
      </c>
      <c r="AZ511" s="184" t="n">
        <f aca="false">IF(ISERROR(VLOOKUP($P409,Member_Tab,5,FALSE())),0,VLOOKUP($P409,Member_Tab,5,FALSE())*IF(AND(AZ$5 &gt; VLOOKUP($P409,Member_Tab,6,FALSE()),AZ$5 &lt; VLOOKUP($P409,Member_Tab,7,FALSE())),1,0))</f>
        <v>0</v>
      </c>
      <c r="BA511" s="184" t="n">
        <f aca="false">IF(ISERROR(VLOOKUP($P409,Member_Tab,5,FALSE())),0,VLOOKUP($P409,Member_Tab,5,FALSE())*IF(AND(BA$5 &gt; VLOOKUP($P409,Member_Tab,6,FALSE()),BA$5 &lt; VLOOKUP($P409,Member_Tab,7,FALSE())),1,0))</f>
        <v>0</v>
      </c>
      <c r="BB511" s="184" t="n">
        <f aca="false">IF(ISERROR(VLOOKUP($P409,Member_Tab,5,FALSE())),0,VLOOKUP($P409,Member_Tab,5,FALSE())*IF(AND(BB$5 &gt; VLOOKUP($P409,Member_Tab,6,FALSE()),BB$5 &lt; VLOOKUP($P409,Member_Tab,7,FALSE())),1,0))</f>
        <v>0</v>
      </c>
    </row>
    <row r="512" s="173" customFormat="true" ht="15.75" hidden="true" customHeight="false" outlineLevel="1" collapsed="false">
      <c r="E512" s="40"/>
      <c r="K512" s="40"/>
      <c r="L512" s="40"/>
      <c r="M512" s="40"/>
      <c r="N512" s="40"/>
      <c r="P512" s="183" t="n">
        <f aca="false">P410</f>
        <v>0</v>
      </c>
      <c r="Q512" s="40"/>
      <c r="R512" s="182"/>
      <c r="S512" s="184" t="n">
        <f aca="false">IF(ISERROR(VLOOKUP($P410,Member_Tab,5,FALSE())),0,VLOOKUP($P410,Member_Tab,5,FALSE())*IF(AND(S$5 &gt; VLOOKUP($P410,Member_Tab,6,FALSE()),S$5 &lt; VLOOKUP($P410,Member_Tab,7,FALSE())),1,0))</f>
        <v>0</v>
      </c>
      <c r="T512" s="184" t="n">
        <f aca="false">IF(ISERROR(VLOOKUP($P410,Member_Tab,5,FALSE())),0,VLOOKUP($P410,Member_Tab,5,FALSE())*IF(AND(T$5 &gt; VLOOKUP($P410,Member_Tab,6,FALSE()),T$5 &lt; VLOOKUP($P410,Member_Tab,7,FALSE())),1,0))</f>
        <v>0</v>
      </c>
      <c r="U512" s="184" t="n">
        <f aca="false">IF(ISERROR(VLOOKUP($P410,Member_Tab,5,FALSE())),0,VLOOKUP($P410,Member_Tab,5,FALSE())*IF(AND(U$5 &gt; VLOOKUP($P410,Member_Tab,6,FALSE()),U$5 &lt; VLOOKUP($P410,Member_Tab,7,FALSE())),1,0))</f>
        <v>0</v>
      </c>
      <c r="V512" s="184" t="n">
        <f aca="false">IF(ISERROR(VLOOKUP($P410,Member_Tab,5,FALSE())),0,VLOOKUP($P410,Member_Tab,5,FALSE())*IF(AND(V$5 &gt; VLOOKUP($P410,Member_Tab,6,FALSE()),V$5 &lt; VLOOKUP($P410,Member_Tab,7,FALSE())),1,0))</f>
        <v>0</v>
      </c>
      <c r="W512" s="184" t="n">
        <f aca="false">IF(ISERROR(VLOOKUP($P410,Member_Tab,5,FALSE())),0,VLOOKUP($P410,Member_Tab,5,FALSE())*IF(AND(W$5 &gt; VLOOKUP($P410,Member_Tab,6,FALSE()),W$5 &lt; VLOOKUP($P410,Member_Tab,7,FALSE())),1,0))</f>
        <v>0</v>
      </c>
      <c r="X512" s="184" t="n">
        <f aca="false">IF(ISERROR(VLOOKUP($P410,Member_Tab,5,FALSE())),0,VLOOKUP($P410,Member_Tab,5,FALSE())*IF(AND(X$5 &gt; VLOOKUP($P410,Member_Tab,6,FALSE()),X$5 &lt; VLOOKUP($P410,Member_Tab,7,FALSE())),1,0))</f>
        <v>0</v>
      </c>
      <c r="Y512" s="184" t="n">
        <f aca="false">IF(ISERROR(VLOOKUP($P410,Member_Tab,5,FALSE())),0,VLOOKUP($P410,Member_Tab,5,FALSE())*IF(AND(Y$5 &gt; VLOOKUP($P410,Member_Tab,6,FALSE()),Y$5 &lt; VLOOKUP($P410,Member_Tab,7,FALSE())),1,0))</f>
        <v>0</v>
      </c>
      <c r="Z512" s="184" t="n">
        <f aca="false">IF(ISERROR(VLOOKUP($P410,Member_Tab,5,FALSE())),0,VLOOKUP($P410,Member_Tab,5,FALSE())*IF(AND(Z$5 &gt; VLOOKUP($P410,Member_Tab,6,FALSE()),Z$5 &lt; VLOOKUP($P410,Member_Tab,7,FALSE())),1,0))</f>
        <v>0</v>
      </c>
      <c r="AA512" s="184" t="n">
        <f aca="false">IF(ISERROR(VLOOKUP($P410,Member_Tab,5,FALSE())),0,VLOOKUP($P410,Member_Tab,5,FALSE())*IF(AND(AA$5 &gt; VLOOKUP($P410,Member_Tab,6,FALSE()),AA$5 &lt; VLOOKUP($P410,Member_Tab,7,FALSE())),1,0))</f>
        <v>0</v>
      </c>
      <c r="AB512" s="184" t="n">
        <f aca="false">IF(ISERROR(VLOOKUP($P410,Member_Tab,5,FALSE())),0,VLOOKUP($P410,Member_Tab,5,FALSE())*IF(AND(AB$5 &gt; VLOOKUP($P410,Member_Tab,6,FALSE()),AB$5 &lt; VLOOKUP($P410,Member_Tab,7,FALSE())),1,0))</f>
        <v>0</v>
      </c>
      <c r="AC512" s="184" t="n">
        <f aca="false">IF(ISERROR(VLOOKUP($P410,Member_Tab,5,FALSE())),0,VLOOKUP($P410,Member_Tab,5,FALSE())*IF(AND(AC$5 &gt; VLOOKUP($P410,Member_Tab,6,FALSE()),AC$5 &lt; VLOOKUP($P410,Member_Tab,7,FALSE())),1,0))</f>
        <v>0</v>
      </c>
      <c r="AD512" s="184" t="n">
        <f aca="false">IF(ISERROR(VLOOKUP($P410,Member_Tab,5,FALSE())),0,VLOOKUP($P410,Member_Tab,5,FALSE())*IF(AND(AD$5 &gt; VLOOKUP($P410,Member_Tab,6,FALSE()),AD$5 &lt; VLOOKUP($P410,Member_Tab,7,FALSE())),1,0))</f>
        <v>0</v>
      </c>
      <c r="AE512" s="184" t="n">
        <f aca="false">IF(ISERROR(VLOOKUP($P410,Member_Tab,5,FALSE())),0,VLOOKUP($P410,Member_Tab,5,FALSE())*IF(AND(AE$5 &gt; VLOOKUP($P410,Member_Tab,6,FALSE()),AE$5 &lt; VLOOKUP($P410,Member_Tab,7,FALSE())),1,0))</f>
        <v>0</v>
      </c>
      <c r="AF512" s="184" t="n">
        <f aca="false">IF(ISERROR(VLOOKUP($P410,Member_Tab,5,FALSE())),0,VLOOKUP($P410,Member_Tab,5,FALSE())*IF(AND(AF$5 &gt; VLOOKUP($P410,Member_Tab,6,FALSE()),AF$5 &lt; VLOOKUP($P410,Member_Tab,7,FALSE())),1,0))</f>
        <v>0</v>
      </c>
      <c r="AG512" s="184" t="n">
        <f aca="false">IF(ISERROR(VLOOKUP($P410,Member_Tab,5,FALSE())),0,VLOOKUP($P410,Member_Tab,5,FALSE())*IF(AND(AG$5 &gt; VLOOKUP($P410,Member_Tab,6,FALSE()),AG$5 &lt; VLOOKUP($P410,Member_Tab,7,FALSE())),1,0))</f>
        <v>0</v>
      </c>
      <c r="AH512" s="184" t="n">
        <f aca="false">IF(ISERROR(VLOOKUP($P410,Member_Tab,5,FALSE())),0,VLOOKUP($P410,Member_Tab,5,FALSE())*IF(AND(AH$5 &gt; VLOOKUP($P410,Member_Tab,6,FALSE()),AH$5 &lt; VLOOKUP($P410,Member_Tab,7,FALSE())),1,0))</f>
        <v>0</v>
      </c>
      <c r="AI512" s="184" t="n">
        <f aca="false">IF(ISERROR(VLOOKUP($P410,Member_Tab,5,FALSE())),0,VLOOKUP($P410,Member_Tab,5,FALSE())*IF(AND(AI$5 &gt; VLOOKUP($P410,Member_Tab,6,FALSE()),AI$5 &lt; VLOOKUP($P410,Member_Tab,7,FALSE())),1,0))</f>
        <v>0</v>
      </c>
      <c r="AJ512" s="184" t="n">
        <f aca="false">IF(ISERROR(VLOOKUP($P410,Member_Tab,5,FALSE())),0,VLOOKUP($P410,Member_Tab,5,FALSE())*IF(AND(AJ$5 &gt; VLOOKUP($P410,Member_Tab,6,FALSE()),AJ$5 &lt; VLOOKUP($P410,Member_Tab,7,FALSE())),1,0))</f>
        <v>0</v>
      </c>
      <c r="AK512" s="184" t="n">
        <f aca="false">IF(ISERROR(VLOOKUP($P410,Member_Tab,5,FALSE())),0,VLOOKUP($P410,Member_Tab,5,FALSE())*IF(AND(AK$5 &gt; VLOOKUP($P410,Member_Tab,6,FALSE()),AK$5 &lt; VLOOKUP($P410,Member_Tab,7,FALSE())),1,0))</f>
        <v>0</v>
      </c>
      <c r="AL512" s="184" t="n">
        <f aca="false">IF(ISERROR(VLOOKUP($P410,Member_Tab,5,FALSE())),0,VLOOKUP($P410,Member_Tab,5,FALSE())*IF(AND(AL$5 &gt; VLOOKUP($P410,Member_Tab,6,FALSE()),AL$5 &lt; VLOOKUP($P410,Member_Tab,7,FALSE())),1,0))</f>
        <v>0</v>
      </c>
      <c r="AM512" s="184" t="n">
        <f aca="false">IF(ISERROR(VLOOKUP($P410,Member_Tab,5,FALSE())),0,VLOOKUP($P410,Member_Tab,5,FALSE())*IF(AND(AM$5 &gt; VLOOKUP($P410,Member_Tab,6,FALSE()),AM$5 &lt; VLOOKUP($P410,Member_Tab,7,FALSE())),1,0))</f>
        <v>0</v>
      </c>
      <c r="AN512" s="184" t="n">
        <f aca="false">IF(ISERROR(VLOOKUP($P410,Member_Tab,5,FALSE())),0,VLOOKUP($P410,Member_Tab,5,FALSE())*IF(AND(AN$5 &gt; VLOOKUP($P410,Member_Tab,6,FALSE()),AN$5 &lt; VLOOKUP($P410,Member_Tab,7,FALSE())),1,0))</f>
        <v>0</v>
      </c>
      <c r="AO512" s="184" t="n">
        <f aca="false">IF(ISERROR(VLOOKUP($P410,Member_Tab,5,FALSE())),0,VLOOKUP($P410,Member_Tab,5,FALSE())*IF(AND(AO$5 &gt; VLOOKUP($P410,Member_Tab,6,FALSE()),AO$5 &lt; VLOOKUP($P410,Member_Tab,7,FALSE())),1,0))</f>
        <v>0</v>
      </c>
      <c r="AP512" s="184" t="n">
        <f aca="false">IF(ISERROR(VLOOKUP($P410,Member_Tab,5,FALSE())),0,VLOOKUP($P410,Member_Tab,5,FALSE())*IF(AND(AP$5 &gt; VLOOKUP($P410,Member_Tab,6,FALSE()),AP$5 &lt; VLOOKUP($P410,Member_Tab,7,FALSE())),1,0))</f>
        <v>0</v>
      </c>
      <c r="AQ512" s="184" t="n">
        <f aca="false">IF(ISERROR(VLOOKUP($P410,Member_Tab,5,FALSE())),0,VLOOKUP($P410,Member_Tab,5,FALSE())*IF(AND(AQ$5 &gt; VLOOKUP($P410,Member_Tab,6,FALSE()),AQ$5 &lt; VLOOKUP($P410,Member_Tab,7,FALSE())),1,0))</f>
        <v>0</v>
      </c>
      <c r="AR512" s="184" t="n">
        <f aca="false">IF(ISERROR(VLOOKUP($P410,Member_Tab,5,FALSE())),0,VLOOKUP($P410,Member_Tab,5,FALSE())*IF(AND(AR$5 &gt; VLOOKUP($P410,Member_Tab,6,FALSE()),AR$5 &lt; VLOOKUP($P410,Member_Tab,7,FALSE())),1,0))</f>
        <v>0</v>
      </c>
      <c r="AS512" s="184" t="n">
        <f aca="false">IF(ISERROR(VLOOKUP($P410,Member_Tab,5,FALSE())),0,VLOOKUP($P410,Member_Tab,5,FALSE())*IF(AND(AS$5 &gt; VLOOKUP($P410,Member_Tab,6,FALSE()),AS$5 &lt; VLOOKUP($P410,Member_Tab,7,FALSE())),1,0))</f>
        <v>0</v>
      </c>
      <c r="AT512" s="184" t="n">
        <f aca="false">IF(ISERROR(VLOOKUP($P410,Member_Tab,5,FALSE())),0,VLOOKUP($P410,Member_Tab,5,FALSE())*IF(AND(AT$5 &gt; VLOOKUP($P410,Member_Tab,6,FALSE()),AT$5 &lt; VLOOKUP($P410,Member_Tab,7,FALSE())),1,0))</f>
        <v>0</v>
      </c>
      <c r="AU512" s="184" t="n">
        <f aca="false">IF(ISERROR(VLOOKUP($P410,Member_Tab,5,FALSE())),0,VLOOKUP($P410,Member_Tab,5,FALSE())*IF(AND(AU$5 &gt; VLOOKUP($P410,Member_Tab,6,FALSE()),AU$5 &lt; VLOOKUP($P410,Member_Tab,7,FALSE())),1,0))</f>
        <v>0</v>
      </c>
      <c r="AV512" s="184" t="n">
        <f aca="false">IF(ISERROR(VLOOKUP($P410,Member_Tab,5,FALSE())),0,VLOOKUP($P410,Member_Tab,5,FALSE())*IF(AND(AV$5 &gt; VLOOKUP($P410,Member_Tab,6,FALSE()),AV$5 &lt; VLOOKUP($P410,Member_Tab,7,FALSE())),1,0))</f>
        <v>0</v>
      </c>
      <c r="AW512" s="184" t="n">
        <f aca="false">IF(ISERROR(VLOOKUP($P410,Member_Tab,5,FALSE())),0,VLOOKUP($P410,Member_Tab,5,FALSE())*IF(AND(AW$5 &gt; VLOOKUP($P410,Member_Tab,6,FALSE()),AW$5 &lt; VLOOKUP($P410,Member_Tab,7,FALSE())),1,0))</f>
        <v>0</v>
      </c>
      <c r="AX512" s="184" t="n">
        <f aca="false">IF(ISERROR(VLOOKUP($P410,Member_Tab,5,FALSE())),0,VLOOKUP($P410,Member_Tab,5,FALSE())*IF(AND(AX$5 &gt; VLOOKUP($P410,Member_Tab,6,FALSE()),AX$5 &lt; VLOOKUP($P410,Member_Tab,7,FALSE())),1,0))</f>
        <v>0</v>
      </c>
      <c r="AY512" s="184" t="n">
        <f aca="false">IF(ISERROR(VLOOKUP($P410,Member_Tab,5,FALSE())),0,VLOOKUP($P410,Member_Tab,5,FALSE())*IF(AND(AY$5 &gt; VLOOKUP($P410,Member_Tab,6,FALSE()),AY$5 &lt; VLOOKUP($P410,Member_Tab,7,FALSE())),1,0))</f>
        <v>0</v>
      </c>
      <c r="AZ512" s="184" t="n">
        <f aca="false">IF(ISERROR(VLOOKUP($P410,Member_Tab,5,FALSE())),0,VLOOKUP($P410,Member_Tab,5,FALSE())*IF(AND(AZ$5 &gt; VLOOKUP($P410,Member_Tab,6,FALSE()),AZ$5 &lt; VLOOKUP($P410,Member_Tab,7,FALSE())),1,0))</f>
        <v>0</v>
      </c>
      <c r="BA512" s="184" t="n">
        <f aca="false">IF(ISERROR(VLOOKUP($P410,Member_Tab,5,FALSE())),0,VLOOKUP($P410,Member_Tab,5,FALSE())*IF(AND(BA$5 &gt; VLOOKUP($P410,Member_Tab,6,FALSE()),BA$5 &lt; VLOOKUP($P410,Member_Tab,7,FALSE())),1,0))</f>
        <v>0</v>
      </c>
      <c r="BB512" s="184" t="n">
        <f aca="false">IF(ISERROR(VLOOKUP($P410,Member_Tab,5,FALSE())),0,VLOOKUP($P410,Member_Tab,5,FALSE())*IF(AND(BB$5 &gt; VLOOKUP($P410,Member_Tab,6,FALSE()),BB$5 &lt; VLOOKUP($P410,Member_Tab,7,FALSE())),1,0))</f>
        <v>0</v>
      </c>
    </row>
    <row r="513" s="173" customFormat="true" ht="15.75" hidden="true" customHeight="false" outlineLevel="1" collapsed="false">
      <c r="E513" s="40"/>
      <c r="K513" s="40"/>
      <c r="L513" s="40"/>
      <c r="M513" s="40"/>
      <c r="N513" s="40"/>
      <c r="P513" s="183" t="n">
        <f aca="false">P411</f>
        <v>0</v>
      </c>
      <c r="Q513" s="40"/>
      <c r="R513" s="182"/>
      <c r="S513" s="184" t="n">
        <f aca="false">IF(ISERROR(VLOOKUP($P411,Member_Tab,5,FALSE())),0,VLOOKUP($P411,Member_Tab,5,FALSE())*IF(AND(S$5 &gt; VLOOKUP($P411,Member_Tab,6,FALSE()),S$5 &lt; VLOOKUP($P411,Member_Tab,7,FALSE())),1,0))</f>
        <v>0</v>
      </c>
      <c r="T513" s="184" t="n">
        <f aca="false">IF(ISERROR(VLOOKUP($P411,Member_Tab,5,FALSE())),0,VLOOKUP($P411,Member_Tab,5,FALSE())*IF(AND(T$5 &gt; VLOOKUP($P411,Member_Tab,6,FALSE()),T$5 &lt; VLOOKUP($P411,Member_Tab,7,FALSE())),1,0))</f>
        <v>0</v>
      </c>
      <c r="U513" s="184" t="n">
        <f aca="false">IF(ISERROR(VLOOKUP($P411,Member_Tab,5,FALSE())),0,VLOOKUP($P411,Member_Tab,5,FALSE())*IF(AND(U$5 &gt; VLOOKUP($P411,Member_Tab,6,FALSE()),U$5 &lt; VLOOKUP($P411,Member_Tab,7,FALSE())),1,0))</f>
        <v>0</v>
      </c>
      <c r="V513" s="184" t="n">
        <f aca="false">IF(ISERROR(VLOOKUP($P411,Member_Tab,5,FALSE())),0,VLOOKUP($P411,Member_Tab,5,FALSE())*IF(AND(V$5 &gt; VLOOKUP($P411,Member_Tab,6,FALSE()),V$5 &lt; VLOOKUP($P411,Member_Tab,7,FALSE())),1,0))</f>
        <v>0</v>
      </c>
      <c r="W513" s="184" t="n">
        <f aca="false">IF(ISERROR(VLOOKUP($P411,Member_Tab,5,FALSE())),0,VLOOKUP($P411,Member_Tab,5,FALSE())*IF(AND(W$5 &gt; VLOOKUP($P411,Member_Tab,6,FALSE()),W$5 &lt; VLOOKUP($P411,Member_Tab,7,FALSE())),1,0))</f>
        <v>0</v>
      </c>
      <c r="X513" s="184" t="n">
        <f aca="false">IF(ISERROR(VLOOKUP($P411,Member_Tab,5,FALSE())),0,VLOOKUP($P411,Member_Tab,5,FALSE())*IF(AND(X$5 &gt; VLOOKUP($P411,Member_Tab,6,FALSE()),X$5 &lt; VLOOKUP($P411,Member_Tab,7,FALSE())),1,0))</f>
        <v>0</v>
      </c>
      <c r="Y513" s="184" t="n">
        <f aca="false">IF(ISERROR(VLOOKUP($P411,Member_Tab,5,FALSE())),0,VLOOKUP($P411,Member_Tab,5,FALSE())*IF(AND(Y$5 &gt; VLOOKUP($P411,Member_Tab,6,FALSE()),Y$5 &lt; VLOOKUP($P411,Member_Tab,7,FALSE())),1,0))</f>
        <v>0</v>
      </c>
      <c r="Z513" s="184" t="n">
        <f aca="false">IF(ISERROR(VLOOKUP($P411,Member_Tab,5,FALSE())),0,VLOOKUP($P411,Member_Tab,5,FALSE())*IF(AND(Z$5 &gt; VLOOKUP($P411,Member_Tab,6,FALSE()),Z$5 &lt; VLOOKUP($P411,Member_Tab,7,FALSE())),1,0))</f>
        <v>0</v>
      </c>
      <c r="AA513" s="184" t="n">
        <f aca="false">IF(ISERROR(VLOOKUP($P411,Member_Tab,5,FALSE())),0,VLOOKUP($P411,Member_Tab,5,FALSE())*IF(AND(AA$5 &gt; VLOOKUP($P411,Member_Tab,6,FALSE()),AA$5 &lt; VLOOKUP($P411,Member_Tab,7,FALSE())),1,0))</f>
        <v>0</v>
      </c>
      <c r="AB513" s="184" t="n">
        <f aca="false">IF(ISERROR(VLOOKUP($P411,Member_Tab,5,FALSE())),0,VLOOKUP($P411,Member_Tab,5,FALSE())*IF(AND(AB$5 &gt; VLOOKUP($P411,Member_Tab,6,FALSE()),AB$5 &lt; VLOOKUP($P411,Member_Tab,7,FALSE())),1,0))</f>
        <v>0</v>
      </c>
      <c r="AC513" s="184" t="n">
        <f aca="false">IF(ISERROR(VLOOKUP($P411,Member_Tab,5,FALSE())),0,VLOOKUP($P411,Member_Tab,5,FALSE())*IF(AND(AC$5 &gt; VLOOKUP($P411,Member_Tab,6,FALSE()),AC$5 &lt; VLOOKUP($P411,Member_Tab,7,FALSE())),1,0))</f>
        <v>0</v>
      </c>
      <c r="AD513" s="184" t="n">
        <f aca="false">IF(ISERROR(VLOOKUP($P411,Member_Tab,5,FALSE())),0,VLOOKUP($P411,Member_Tab,5,FALSE())*IF(AND(AD$5 &gt; VLOOKUP($P411,Member_Tab,6,FALSE()),AD$5 &lt; VLOOKUP($P411,Member_Tab,7,FALSE())),1,0))</f>
        <v>0</v>
      </c>
      <c r="AE513" s="184" t="n">
        <f aca="false">IF(ISERROR(VLOOKUP($P411,Member_Tab,5,FALSE())),0,VLOOKUP($P411,Member_Tab,5,FALSE())*IF(AND(AE$5 &gt; VLOOKUP($P411,Member_Tab,6,FALSE()),AE$5 &lt; VLOOKUP($P411,Member_Tab,7,FALSE())),1,0))</f>
        <v>0</v>
      </c>
      <c r="AF513" s="184" t="n">
        <f aca="false">IF(ISERROR(VLOOKUP($P411,Member_Tab,5,FALSE())),0,VLOOKUP($P411,Member_Tab,5,FALSE())*IF(AND(AF$5 &gt; VLOOKUP($P411,Member_Tab,6,FALSE()),AF$5 &lt; VLOOKUP($P411,Member_Tab,7,FALSE())),1,0))</f>
        <v>0</v>
      </c>
      <c r="AG513" s="184" t="n">
        <f aca="false">IF(ISERROR(VLOOKUP($P411,Member_Tab,5,FALSE())),0,VLOOKUP($P411,Member_Tab,5,FALSE())*IF(AND(AG$5 &gt; VLOOKUP($P411,Member_Tab,6,FALSE()),AG$5 &lt; VLOOKUP($P411,Member_Tab,7,FALSE())),1,0))</f>
        <v>0</v>
      </c>
      <c r="AH513" s="184" t="n">
        <f aca="false">IF(ISERROR(VLOOKUP($P411,Member_Tab,5,FALSE())),0,VLOOKUP($P411,Member_Tab,5,FALSE())*IF(AND(AH$5 &gt; VLOOKUP($P411,Member_Tab,6,FALSE()),AH$5 &lt; VLOOKUP($P411,Member_Tab,7,FALSE())),1,0))</f>
        <v>0</v>
      </c>
      <c r="AI513" s="184" t="n">
        <f aca="false">IF(ISERROR(VLOOKUP($P411,Member_Tab,5,FALSE())),0,VLOOKUP($P411,Member_Tab,5,FALSE())*IF(AND(AI$5 &gt; VLOOKUP($P411,Member_Tab,6,FALSE()),AI$5 &lt; VLOOKUP($P411,Member_Tab,7,FALSE())),1,0))</f>
        <v>0</v>
      </c>
      <c r="AJ513" s="184" t="n">
        <f aca="false">IF(ISERROR(VLOOKUP($P411,Member_Tab,5,FALSE())),0,VLOOKUP($P411,Member_Tab,5,FALSE())*IF(AND(AJ$5 &gt; VLOOKUP($P411,Member_Tab,6,FALSE()),AJ$5 &lt; VLOOKUP($P411,Member_Tab,7,FALSE())),1,0))</f>
        <v>0</v>
      </c>
      <c r="AK513" s="184" t="n">
        <f aca="false">IF(ISERROR(VLOOKUP($P411,Member_Tab,5,FALSE())),0,VLOOKUP($P411,Member_Tab,5,FALSE())*IF(AND(AK$5 &gt; VLOOKUP($P411,Member_Tab,6,FALSE()),AK$5 &lt; VLOOKUP($P411,Member_Tab,7,FALSE())),1,0))</f>
        <v>0</v>
      </c>
      <c r="AL513" s="184" t="n">
        <f aca="false">IF(ISERROR(VLOOKUP($P411,Member_Tab,5,FALSE())),0,VLOOKUP($P411,Member_Tab,5,FALSE())*IF(AND(AL$5 &gt; VLOOKUP($P411,Member_Tab,6,FALSE()),AL$5 &lt; VLOOKUP($P411,Member_Tab,7,FALSE())),1,0))</f>
        <v>0</v>
      </c>
      <c r="AM513" s="184" t="n">
        <f aca="false">IF(ISERROR(VLOOKUP($P411,Member_Tab,5,FALSE())),0,VLOOKUP($P411,Member_Tab,5,FALSE())*IF(AND(AM$5 &gt; VLOOKUP($P411,Member_Tab,6,FALSE()),AM$5 &lt; VLOOKUP($P411,Member_Tab,7,FALSE())),1,0))</f>
        <v>0</v>
      </c>
      <c r="AN513" s="184" t="n">
        <f aca="false">IF(ISERROR(VLOOKUP($P411,Member_Tab,5,FALSE())),0,VLOOKUP($P411,Member_Tab,5,FALSE())*IF(AND(AN$5 &gt; VLOOKUP($P411,Member_Tab,6,FALSE()),AN$5 &lt; VLOOKUP($P411,Member_Tab,7,FALSE())),1,0))</f>
        <v>0</v>
      </c>
      <c r="AO513" s="184" t="n">
        <f aca="false">IF(ISERROR(VLOOKUP($P411,Member_Tab,5,FALSE())),0,VLOOKUP($P411,Member_Tab,5,FALSE())*IF(AND(AO$5 &gt; VLOOKUP($P411,Member_Tab,6,FALSE()),AO$5 &lt; VLOOKUP($P411,Member_Tab,7,FALSE())),1,0))</f>
        <v>0</v>
      </c>
      <c r="AP513" s="184" t="n">
        <f aca="false">IF(ISERROR(VLOOKUP($P411,Member_Tab,5,FALSE())),0,VLOOKUP($P411,Member_Tab,5,FALSE())*IF(AND(AP$5 &gt; VLOOKUP($P411,Member_Tab,6,FALSE()),AP$5 &lt; VLOOKUP($P411,Member_Tab,7,FALSE())),1,0))</f>
        <v>0</v>
      </c>
      <c r="AQ513" s="184" t="n">
        <f aca="false">IF(ISERROR(VLOOKUP($P411,Member_Tab,5,FALSE())),0,VLOOKUP($P411,Member_Tab,5,FALSE())*IF(AND(AQ$5 &gt; VLOOKUP($P411,Member_Tab,6,FALSE()),AQ$5 &lt; VLOOKUP($P411,Member_Tab,7,FALSE())),1,0))</f>
        <v>0</v>
      </c>
      <c r="AR513" s="184" t="n">
        <f aca="false">IF(ISERROR(VLOOKUP($P411,Member_Tab,5,FALSE())),0,VLOOKUP($P411,Member_Tab,5,FALSE())*IF(AND(AR$5 &gt; VLOOKUP($P411,Member_Tab,6,FALSE()),AR$5 &lt; VLOOKUP($P411,Member_Tab,7,FALSE())),1,0))</f>
        <v>0</v>
      </c>
      <c r="AS513" s="184" t="n">
        <f aca="false">IF(ISERROR(VLOOKUP($P411,Member_Tab,5,FALSE())),0,VLOOKUP($P411,Member_Tab,5,FALSE())*IF(AND(AS$5 &gt; VLOOKUP($P411,Member_Tab,6,FALSE()),AS$5 &lt; VLOOKUP($P411,Member_Tab,7,FALSE())),1,0))</f>
        <v>0</v>
      </c>
      <c r="AT513" s="184" t="n">
        <f aca="false">IF(ISERROR(VLOOKUP($P411,Member_Tab,5,FALSE())),0,VLOOKUP($P411,Member_Tab,5,FALSE())*IF(AND(AT$5 &gt; VLOOKUP($P411,Member_Tab,6,FALSE()),AT$5 &lt; VLOOKUP($P411,Member_Tab,7,FALSE())),1,0))</f>
        <v>0</v>
      </c>
      <c r="AU513" s="184" t="n">
        <f aca="false">IF(ISERROR(VLOOKUP($P411,Member_Tab,5,FALSE())),0,VLOOKUP($P411,Member_Tab,5,FALSE())*IF(AND(AU$5 &gt; VLOOKUP($P411,Member_Tab,6,FALSE()),AU$5 &lt; VLOOKUP($P411,Member_Tab,7,FALSE())),1,0))</f>
        <v>0</v>
      </c>
      <c r="AV513" s="184" t="n">
        <f aca="false">IF(ISERROR(VLOOKUP($P411,Member_Tab,5,FALSE())),0,VLOOKUP($P411,Member_Tab,5,FALSE())*IF(AND(AV$5 &gt; VLOOKUP($P411,Member_Tab,6,FALSE()),AV$5 &lt; VLOOKUP($P411,Member_Tab,7,FALSE())),1,0))</f>
        <v>0</v>
      </c>
      <c r="AW513" s="184" t="n">
        <f aca="false">IF(ISERROR(VLOOKUP($P411,Member_Tab,5,FALSE())),0,VLOOKUP($P411,Member_Tab,5,FALSE())*IF(AND(AW$5 &gt; VLOOKUP($P411,Member_Tab,6,FALSE()),AW$5 &lt; VLOOKUP($P411,Member_Tab,7,FALSE())),1,0))</f>
        <v>0</v>
      </c>
      <c r="AX513" s="184" t="n">
        <f aca="false">IF(ISERROR(VLOOKUP($P411,Member_Tab,5,FALSE())),0,VLOOKUP($P411,Member_Tab,5,FALSE())*IF(AND(AX$5 &gt; VLOOKUP($P411,Member_Tab,6,FALSE()),AX$5 &lt; VLOOKUP($P411,Member_Tab,7,FALSE())),1,0))</f>
        <v>0</v>
      </c>
      <c r="AY513" s="184" t="n">
        <f aca="false">IF(ISERROR(VLOOKUP($P411,Member_Tab,5,FALSE())),0,VLOOKUP($P411,Member_Tab,5,FALSE())*IF(AND(AY$5 &gt; VLOOKUP($P411,Member_Tab,6,FALSE()),AY$5 &lt; VLOOKUP($P411,Member_Tab,7,FALSE())),1,0))</f>
        <v>0</v>
      </c>
      <c r="AZ513" s="184" t="n">
        <f aca="false">IF(ISERROR(VLOOKUP($P411,Member_Tab,5,FALSE())),0,VLOOKUP($P411,Member_Tab,5,FALSE())*IF(AND(AZ$5 &gt; VLOOKUP($P411,Member_Tab,6,FALSE()),AZ$5 &lt; VLOOKUP($P411,Member_Tab,7,FALSE())),1,0))</f>
        <v>0</v>
      </c>
      <c r="BA513" s="184" t="n">
        <f aca="false">IF(ISERROR(VLOOKUP($P411,Member_Tab,5,FALSE())),0,VLOOKUP($P411,Member_Tab,5,FALSE())*IF(AND(BA$5 &gt; VLOOKUP($P411,Member_Tab,6,FALSE()),BA$5 &lt; VLOOKUP($P411,Member_Tab,7,FALSE())),1,0))</f>
        <v>0</v>
      </c>
      <c r="BB513" s="184" t="n">
        <f aca="false">IF(ISERROR(VLOOKUP($P411,Member_Tab,5,FALSE())),0,VLOOKUP($P411,Member_Tab,5,FALSE())*IF(AND(BB$5 &gt; VLOOKUP($P411,Member_Tab,6,FALSE()),BB$5 &lt; VLOOKUP($P411,Member_Tab,7,FALSE())),1,0))</f>
        <v>0</v>
      </c>
    </row>
    <row r="514" s="173" customFormat="true" ht="15.75" hidden="true" customHeight="false" outlineLevel="1" collapsed="false">
      <c r="E514" s="40"/>
      <c r="K514" s="40"/>
      <c r="L514" s="40"/>
      <c r="M514" s="40"/>
      <c r="N514" s="40"/>
      <c r="P514" s="183" t="n">
        <f aca="false">P412</f>
        <v>0</v>
      </c>
      <c r="Q514" s="40"/>
      <c r="R514" s="182"/>
      <c r="S514" s="184" t="n">
        <f aca="false">IF(ISERROR(VLOOKUP($P412,Member_Tab,5,FALSE())),0,VLOOKUP($P412,Member_Tab,5,FALSE())*IF(AND(S$5 &gt; VLOOKUP($P412,Member_Tab,6,FALSE()),S$5 &lt; VLOOKUP($P412,Member_Tab,7,FALSE())),1,0))</f>
        <v>0</v>
      </c>
      <c r="T514" s="184" t="n">
        <f aca="false">IF(ISERROR(VLOOKUP($P412,Member_Tab,5,FALSE())),0,VLOOKUP($P412,Member_Tab,5,FALSE())*IF(AND(T$5 &gt; VLOOKUP($P412,Member_Tab,6,FALSE()),T$5 &lt; VLOOKUP($P412,Member_Tab,7,FALSE())),1,0))</f>
        <v>0</v>
      </c>
      <c r="U514" s="184" t="n">
        <f aca="false">IF(ISERROR(VLOOKUP($P412,Member_Tab,5,FALSE())),0,VLOOKUP($P412,Member_Tab,5,FALSE())*IF(AND(U$5 &gt; VLOOKUP($P412,Member_Tab,6,FALSE()),U$5 &lt; VLOOKUP($P412,Member_Tab,7,FALSE())),1,0))</f>
        <v>0</v>
      </c>
      <c r="V514" s="184" t="n">
        <f aca="false">IF(ISERROR(VLOOKUP($P412,Member_Tab,5,FALSE())),0,VLOOKUP($P412,Member_Tab,5,FALSE())*IF(AND(V$5 &gt; VLOOKUP($P412,Member_Tab,6,FALSE()),V$5 &lt; VLOOKUP($P412,Member_Tab,7,FALSE())),1,0))</f>
        <v>0</v>
      </c>
      <c r="W514" s="184" t="n">
        <f aca="false">IF(ISERROR(VLOOKUP($P412,Member_Tab,5,FALSE())),0,VLOOKUP($P412,Member_Tab,5,FALSE())*IF(AND(W$5 &gt; VLOOKUP($P412,Member_Tab,6,FALSE()),W$5 &lt; VLOOKUP($P412,Member_Tab,7,FALSE())),1,0))</f>
        <v>0</v>
      </c>
      <c r="X514" s="184" t="n">
        <f aca="false">IF(ISERROR(VLOOKUP($P412,Member_Tab,5,FALSE())),0,VLOOKUP($P412,Member_Tab,5,FALSE())*IF(AND(X$5 &gt; VLOOKUP($P412,Member_Tab,6,FALSE()),X$5 &lt; VLOOKUP($P412,Member_Tab,7,FALSE())),1,0))</f>
        <v>0</v>
      </c>
      <c r="Y514" s="184" t="n">
        <f aca="false">IF(ISERROR(VLOOKUP($P412,Member_Tab,5,FALSE())),0,VLOOKUP($P412,Member_Tab,5,FALSE())*IF(AND(Y$5 &gt; VLOOKUP($P412,Member_Tab,6,FALSE()),Y$5 &lt; VLOOKUP($P412,Member_Tab,7,FALSE())),1,0))</f>
        <v>0</v>
      </c>
      <c r="Z514" s="184" t="n">
        <f aca="false">IF(ISERROR(VLOOKUP($P412,Member_Tab,5,FALSE())),0,VLOOKUP($P412,Member_Tab,5,FALSE())*IF(AND(Z$5 &gt; VLOOKUP($P412,Member_Tab,6,FALSE()),Z$5 &lt; VLOOKUP($P412,Member_Tab,7,FALSE())),1,0))</f>
        <v>0</v>
      </c>
      <c r="AA514" s="184" t="n">
        <f aca="false">IF(ISERROR(VLOOKUP($P412,Member_Tab,5,FALSE())),0,VLOOKUP($P412,Member_Tab,5,FALSE())*IF(AND(AA$5 &gt; VLOOKUP($P412,Member_Tab,6,FALSE()),AA$5 &lt; VLOOKUP($P412,Member_Tab,7,FALSE())),1,0))</f>
        <v>0</v>
      </c>
      <c r="AB514" s="184" t="n">
        <f aca="false">IF(ISERROR(VLOOKUP($P412,Member_Tab,5,FALSE())),0,VLOOKUP($P412,Member_Tab,5,FALSE())*IF(AND(AB$5 &gt; VLOOKUP($P412,Member_Tab,6,FALSE()),AB$5 &lt; VLOOKUP($P412,Member_Tab,7,FALSE())),1,0))</f>
        <v>0</v>
      </c>
      <c r="AC514" s="184" t="n">
        <f aca="false">IF(ISERROR(VLOOKUP($P412,Member_Tab,5,FALSE())),0,VLOOKUP($P412,Member_Tab,5,FALSE())*IF(AND(AC$5 &gt; VLOOKUP($P412,Member_Tab,6,FALSE()),AC$5 &lt; VLOOKUP($P412,Member_Tab,7,FALSE())),1,0))</f>
        <v>0</v>
      </c>
      <c r="AD514" s="184" t="n">
        <f aca="false">IF(ISERROR(VLOOKUP($P412,Member_Tab,5,FALSE())),0,VLOOKUP($P412,Member_Tab,5,FALSE())*IF(AND(AD$5 &gt; VLOOKUP($P412,Member_Tab,6,FALSE()),AD$5 &lt; VLOOKUP($P412,Member_Tab,7,FALSE())),1,0))</f>
        <v>0</v>
      </c>
      <c r="AE514" s="184" t="n">
        <f aca="false">IF(ISERROR(VLOOKUP($P412,Member_Tab,5,FALSE())),0,VLOOKUP($P412,Member_Tab,5,FALSE())*IF(AND(AE$5 &gt; VLOOKUP($P412,Member_Tab,6,FALSE()),AE$5 &lt; VLOOKUP($P412,Member_Tab,7,FALSE())),1,0))</f>
        <v>0</v>
      </c>
      <c r="AF514" s="184" t="n">
        <f aca="false">IF(ISERROR(VLOOKUP($P412,Member_Tab,5,FALSE())),0,VLOOKUP($P412,Member_Tab,5,FALSE())*IF(AND(AF$5 &gt; VLOOKUP($P412,Member_Tab,6,FALSE()),AF$5 &lt; VLOOKUP($P412,Member_Tab,7,FALSE())),1,0))</f>
        <v>0</v>
      </c>
      <c r="AG514" s="184" t="n">
        <f aca="false">IF(ISERROR(VLOOKUP($P412,Member_Tab,5,FALSE())),0,VLOOKUP($P412,Member_Tab,5,FALSE())*IF(AND(AG$5 &gt; VLOOKUP($P412,Member_Tab,6,FALSE()),AG$5 &lt; VLOOKUP($P412,Member_Tab,7,FALSE())),1,0))</f>
        <v>0</v>
      </c>
      <c r="AH514" s="184" t="n">
        <f aca="false">IF(ISERROR(VLOOKUP($P412,Member_Tab,5,FALSE())),0,VLOOKUP($P412,Member_Tab,5,FALSE())*IF(AND(AH$5 &gt; VLOOKUP($P412,Member_Tab,6,FALSE()),AH$5 &lt; VLOOKUP($P412,Member_Tab,7,FALSE())),1,0))</f>
        <v>0</v>
      </c>
      <c r="AI514" s="184" t="n">
        <f aca="false">IF(ISERROR(VLOOKUP($P412,Member_Tab,5,FALSE())),0,VLOOKUP($P412,Member_Tab,5,FALSE())*IF(AND(AI$5 &gt; VLOOKUP($P412,Member_Tab,6,FALSE()),AI$5 &lt; VLOOKUP($P412,Member_Tab,7,FALSE())),1,0))</f>
        <v>0</v>
      </c>
      <c r="AJ514" s="184" t="n">
        <f aca="false">IF(ISERROR(VLOOKUP($P412,Member_Tab,5,FALSE())),0,VLOOKUP($P412,Member_Tab,5,FALSE())*IF(AND(AJ$5 &gt; VLOOKUP($P412,Member_Tab,6,FALSE()),AJ$5 &lt; VLOOKUP($P412,Member_Tab,7,FALSE())),1,0))</f>
        <v>0</v>
      </c>
      <c r="AK514" s="184" t="n">
        <f aca="false">IF(ISERROR(VLOOKUP($P412,Member_Tab,5,FALSE())),0,VLOOKUP($P412,Member_Tab,5,FALSE())*IF(AND(AK$5 &gt; VLOOKUP($P412,Member_Tab,6,FALSE()),AK$5 &lt; VLOOKUP($P412,Member_Tab,7,FALSE())),1,0))</f>
        <v>0</v>
      </c>
      <c r="AL514" s="184" t="n">
        <f aca="false">IF(ISERROR(VLOOKUP($P412,Member_Tab,5,FALSE())),0,VLOOKUP($P412,Member_Tab,5,FALSE())*IF(AND(AL$5 &gt; VLOOKUP($P412,Member_Tab,6,FALSE()),AL$5 &lt; VLOOKUP($P412,Member_Tab,7,FALSE())),1,0))</f>
        <v>0</v>
      </c>
      <c r="AM514" s="184" t="n">
        <f aca="false">IF(ISERROR(VLOOKUP($P412,Member_Tab,5,FALSE())),0,VLOOKUP($P412,Member_Tab,5,FALSE())*IF(AND(AM$5 &gt; VLOOKUP($P412,Member_Tab,6,FALSE()),AM$5 &lt; VLOOKUP($P412,Member_Tab,7,FALSE())),1,0))</f>
        <v>0</v>
      </c>
      <c r="AN514" s="184" t="n">
        <f aca="false">IF(ISERROR(VLOOKUP($P412,Member_Tab,5,FALSE())),0,VLOOKUP($P412,Member_Tab,5,FALSE())*IF(AND(AN$5 &gt; VLOOKUP($P412,Member_Tab,6,FALSE()),AN$5 &lt; VLOOKUP($P412,Member_Tab,7,FALSE())),1,0))</f>
        <v>0</v>
      </c>
      <c r="AO514" s="184" t="n">
        <f aca="false">IF(ISERROR(VLOOKUP($P412,Member_Tab,5,FALSE())),0,VLOOKUP($P412,Member_Tab,5,FALSE())*IF(AND(AO$5 &gt; VLOOKUP($P412,Member_Tab,6,FALSE()),AO$5 &lt; VLOOKUP($P412,Member_Tab,7,FALSE())),1,0))</f>
        <v>0</v>
      </c>
      <c r="AP514" s="184" t="n">
        <f aca="false">IF(ISERROR(VLOOKUP($P412,Member_Tab,5,FALSE())),0,VLOOKUP($P412,Member_Tab,5,FALSE())*IF(AND(AP$5 &gt; VLOOKUP($P412,Member_Tab,6,FALSE()),AP$5 &lt; VLOOKUP($P412,Member_Tab,7,FALSE())),1,0))</f>
        <v>0</v>
      </c>
      <c r="AQ514" s="184" t="n">
        <f aca="false">IF(ISERROR(VLOOKUP($P412,Member_Tab,5,FALSE())),0,VLOOKUP($P412,Member_Tab,5,FALSE())*IF(AND(AQ$5 &gt; VLOOKUP($P412,Member_Tab,6,FALSE()),AQ$5 &lt; VLOOKUP($P412,Member_Tab,7,FALSE())),1,0))</f>
        <v>0</v>
      </c>
      <c r="AR514" s="184" t="n">
        <f aca="false">IF(ISERROR(VLOOKUP($P412,Member_Tab,5,FALSE())),0,VLOOKUP($P412,Member_Tab,5,FALSE())*IF(AND(AR$5 &gt; VLOOKUP($P412,Member_Tab,6,FALSE()),AR$5 &lt; VLOOKUP($P412,Member_Tab,7,FALSE())),1,0))</f>
        <v>0</v>
      </c>
      <c r="AS514" s="184" t="n">
        <f aca="false">IF(ISERROR(VLOOKUP($P412,Member_Tab,5,FALSE())),0,VLOOKUP($P412,Member_Tab,5,FALSE())*IF(AND(AS$5 &gt; VLOOKUP($P412,Member_Tab,6,FALSE()),AS$5 &lt; VLOOKUP($P412,Member_Tab,7,FALSE())),1,0))</f>
        <v>0</v>
      </c>
      <c r="AT514" s="184" t="n">
        <f aca="false">IF(ISERROR(VLOOKUP($P412,Member_Tab,5,FALSE())),0,VLOOKUP($P412,Member_Tab,5,FALSE())*IF(AND(AT$5 &gt; VLOOKUP($P412,Member_Tab,6,FALSE()),AT$5 &lt; VLOOKUP($P412,Member_Tab,7,FALSE())),1,0))</f>
        <v>0</v>
      </c>
      <c r="AU514" s="184" t="n">
        <f aca="false">IF(ISERROR(VLOOKUP($P412,Member_Tab,5,FALSE())),0,VLOOKUP($P412,Member_Tab,5,FALSE())*IF(AND(AU$5 &gt; VLOOKUP($P412,Member_Tab,6,FALSE()),AU$5 &lt; VLOOKUP($P412,Member_Tab,7,FALSE())),1,0))</f>
        <v>0</v>
      </c>
      <c r="AV514" s="184" t="n">
        <f aca="false">IF(ISERROR(VLOOKUP($P412,Member_Tab,5,FALSE())),0,VLOOKUP($P412,Member_Tab,5,FALSE())*IF(AND(AV$5 &gt; VLOOKUP($P412,Member_Tab,6,FALSE()),AV$5 &lt; VLOOKUP($P412,Member_Tab,7,FALSE())),1,0))</f>
        <v>0</v>
      </c>
      <c r="AW514" s="184" t="n">
        <f aca="false">IF(ISERROR(VLOOKUP($P412,Member_Tab,5,FALSE())),0,VLOOKUP($P412,Member_Tab,5,FALSE())*IF(AND(AW$5 &gt; VLOOKUP($P412,Member_Tab,6,FALSE()),AW$5 &lt; VLOOKUP($P412,Member_Tab,7,FALSE())),1,0))</f>
        <v>0</v>
      </c>
      <c r="AX514" s="184" t="n">
        <f aca="false">IF(ISERROR(VLOOKUP($P412,Member_Tab,5,FALSE())),0,VLOOKUP($P412,Member_Tab,5,FALSE())*IF(AND(AX$5 &gt; VLOOKUP($P412,Member_Tab,6,FALSE()),AX$5 &lt; VLOOKUP($P412,Member_Tab,7,FALSE())),1,0))</f>
        <v>0</v>
      </c>
      <c r="AY514" s="184" t="n">
        <f aca="false">IF(ISERROR(VLOOKUP($P412,Member_Tab,5,FALSE())),0,VLOOKUP($P412,Member_Tab,5,FALSE())*IF(AND(AY$5 &gt; VLOOKUP($P412,Member_Tab,6,FALSE()),AY$5 &lt; VLOOKUP($P412,Member_Tab,7,FALSE())),1,0))</f>
        <v>0</v>
      </c>
      <c r="AZ514" s="184" t="n">
        <f aca="false">IF(ISERROR(VLOOKUP($P412,Member_Tab,5,FALSE())),0,VLOOKUP($P412,Member_Tab,5,FALSE())*IF(AND(AZ$5 &gt; VLOOKUP($P412,Member_Tab,6,FALSE()),AZ$5 &lt; VLOOKUP($P412,Member_Tab,7,FALSE())),1,0))</f>
        <v>0</v>
      </c>
      <c r="BA514" s="184" t="n">
        <f aca="false">IF(ISERROR(VLOOKUP($P412,Member_Tab,5,FALSE())),0,VLOOKUP($P412,Member_Tab,5,FALSE())*IF(AND(BA$5 &gt; VLOOKUP($P412,Member_Tab,6,FALSE()),BA$5 &lt; VLOOKUP($P412,Member_Tab,7,FALSE())),1,0))</f>
        <v>0</v>
      </c>
      <c r="BB514" s="184" t="n">
        <f aca="false">IF(ISERROR(VLOOKUP($P412,Member_Tab,5,FALSE())),0,VLOOKUP($P412,Member_Tab,5,FALSE())*IF(AND(BB$5 &gt; VLOOKUP($P412,Member_Tab,6,FALSE()),BB$5 &lt; VLOOKUP($P412,Member_Tab,7,FALSE())),1,0))</f>
        <v>0</v>
      </c>
    </row>
    <row r="515" s="173" customFormat="true" ht="15.75" hidden="true" customHeight="false" outlineLevel="1" collapsed="false">
      <c r="E515" s="40"/>
      <c r="K515" s="40"/>
      <c r="L515" s="40"/>
      <c r="M515" s="40"/>
      <c r="N515" s="40"/>
      <c r="P515" s="183" t="n">
        <f aca="false">P413</f>
        <v>0</v>
      </c>
      <c r="Q515" s="40"/>
      <c r="R515" s="182"/>
      <c r="S515" s="184" t="n">
        <f aca="false">IF(ISERROR(VLOOKUP($P413,Member_Tab,5,FALSE())),0,VLOOKUP($P413,Member_Tab,5,FALSE())*IF(AND(S$5 &gt; VLOOKUP($P413,Member_Tab,6,FALSE()),S$5 &lt; VLOOKUP($P413,Member_Tab,7,FALSE())),1,0))</f>
        <v>0</v>
      </c>
      <c r="T515" s="184" t="n">
        <f aca="false">IF(ISERROR(VLOOKUP($P413,Member_Tab,5,FALSE())),0,VLOOKUP($P413,Member_Tab,5,FALSE())*IF(AND(T$5 &gt; VLOOKUP($P413,Member_Tab,6,FALSE()),T$5 &lt; VLOOKUP($P413,Member_Tab,7,FALSE())),1,0))</f>
        <v>0</v>
      </c>
      <c r="U515" s="184" t="n">
        <f aca="false">IF(ISERROR(VLOOKUP($P413,Member_Tab,5,FALSE())),0,VLOOKUP($P413,Member_Tab,5,FALSE())*IF(AND(U$5 &gt; VLOOKUP($P413,Member_Tab,6,FALSE()),U$5 &lt; VLOOKUP($P413,Member_Tab,7,FALSE())),1,0))</f>
        <v>0</v>
      </c>
      <c r="V515" s="184" t="n">
        <f aca="false">IF(ISERROR(VLOOKUP($P413,Member_Tab,5,FALSE())),0,VLOOKUP($P413,Member_Tab,5,FALSE())*IF(AND(V$5 &gt; VLOOKUP($P413,Member_Tab,6,FALSE()),V$5 &lt; VLOOKUP($P413,Member_Tab,7,FALSE())),1,0))</f>
        <v>0</v>
      </c>
      <c r="W515" s="184" t="n">
        <f aca="false">IF(ISERROR(VLOOKUP($P413,Member_Tab,5,FALSE())),0,VLOOKUP($P413,Member_Tab,5,FALSE())*IF(AND(W$5 &gt; VLOOKUP($P413,Member_Tab,6,FALSE()),W$5 &lt; VLOOKUP($P413,Member_Tab,7,FALSE())),1,0))</f>
        <v>0</v>
      </c>
      <c r="X515" s="184" t="n">
        <f aca="false">IF(ISERROR(VLOOKUP($P413,Member_Tab,5,FALSE())),0,VLOOKUP($P413,Member_Tab,5,FALSE())*IF(AND(X$5 &gt; VLOOKUP($P413,Member_Tab,6,FALSE()),X$5 &lt; VLOOKUP($P413,Member_Tab,7,FALSE())),1,0))</f>
        <v>0</v>
      </c>
      <c r="Y515" s="184" t="n">
        <f aca="false">IF(ISERROR(VLOOKUP($P413,Member_Tab,5,FALSE())),0,VLOOKUP($P413,Member_Tab,5,FALSE())*IF(AND(Y$5 &gt; VLOOKUP($P413,Member_Tab,6,FALSE()),Y$5 &lt; VLOOKUP($P413,Member_Tab,7,FALSE())),1,0))</f>
        <v>0</v>
      </c>
      <c r="Z515" s="184" t="n">
        <f aca="false">IF(ISERROR(VLOOKUP($P413,Member_Tab,5,FALSE())),0,VLOOKUP($P413,Member_Tab,5,FALSE())*IF(AND(Z$5 &gt; VLOOKUP($P413,Member_Tab,6,FALSE()),Z$5 &lt; VLOOKUP($P413,Member_Tab,7,FALSE())),1,0))</f>
        <v>0</v>
      </c>
      <c r="AA515" s="184" t="n">
        <f aca="false">IF(ISERROR(VLOOKUP($P413,Member_Tab,5,FALSE())),0,VLOOKUP($P413,Member_Tab,5,FALSE())*IF(AND(AA$5 &gt; VLOOKUP($P413,Member_Tab,6,FALSE()),AA$5 &lt; VLOOKUP($P413,Member_Tab,7,FALSE())),1,0))</f>
        <v>0</v>
      </c>
      <c r="AB515" s="184" t="n">
        <f aca="false">IF(ISERROR(VLOOKUP($P413,Member_Tab,5,FALSE())),0,VLOOKUP($P413,Member_Tab,5,FALSE())*IF(AND(AB$5 &gt; VLOOKUP($P413,Member_Tab,6,FALSE()),AB$5 &lt; VLOOKUP($P413,Member_Tab,7,FALSE())),1,0))</f>
        <v>0</v>
      </c>
      <c r="AC515" s="184" t="n">
        <f aca="false">IF(ISERROR(VLOOKUP($P413,Member_Tab,5,FALSE())),0,VLOOKUP($P413,Member_Tab,5,FALSE())*IF(AND(AC$5 &gt; VLOOKUP($P413,Member_Tab,6,FALSE()),AC$5 &lt; VLOOKUP($P413,Member_Tab,7,FALSE())),1,0))</f>
        <v>0</v>
      </c>
      <c r="AD515" s="184" t="n">
        <f aca="false">IF(ISERROR(VLOOKUP($P413,Member_Tab,5,FALSE())),0,VLOOKUP($P413,Member_Tab,5,FALSE())*IF(AND(AD$5 &gt; VLOOKUP($P413,Member_Tab,6,FALSE()),AD$5 &lt; VLOOKUP($P413,Member_Tab,7,FALSE())),1,0))</f>
        <v>0</v>
      </c>
      <c r="AE515" s="184" t="n">
        <f aca="false">IF(ISERROR(VLOOKUP($P413,Member_Tab,5,FALSE())),0,VLOOKUP($P413,Member_Tab,5,FALSE())*IF(AND(AE$5 &gt; VLOOKUP($P413,Member_Tab,6,FALSE()),AE$5 &lt; VLOOKUP($P413,Member_Tab,7,FALSE())),1,0))</f>
        <v>0</v>
      </c>
      <c r="AF515" s="184" t="n">
        <f aca="false">IF(ISERROR(VLOOKUP($P413,Member_Tab,5,FALSE())),0,VLOOKUP($P413,Member_Tab,5,FALSE())*IF(AND(AF$5 &gt; VLOOKUP($P413,Member_Tab,6,FALSE()),AF$5 &lt; VLOOKUP($P413,Member_Tab,7,FALSE())),1,0))</f>
        <v>0</v>
      </c>
      <c r="AG515" s="184" t="n">
        <f aca="false">IF(ISERROR(VLOOKUP($P413,Member_Tab,5,FALSE())),0,VLOOKUP($P413,Member_Tab,5,FALSE())*IF(AND(AG$5 &gt; VLOOKUP($P413,Member_Tab,6,FALSE()),AG$5 &lt; VLOOKUP($P413,Member_Tab,7,FALSE())),1,0))</f>
        <v>0</v>
      </c>
      <c r="AH515" s="184" t="n">
        <f aca="false">IF(ISERROR(VLOOKUP($P413,Member_Tab,5,FALSE())),0,VLOOKUP($P413,Member_Tab,5,FALSE())*IF(AND(AH$5 &gt; VLOOKUP($P413,Member_Tab,6,FALSE()),AH$5 &lt; VLOOKUP($P413,Member_Tab,7,FALSE())),1,0))</f>
        <v>0</v>
      </c>
      <c r="AI515" s="184" t="n">
        <f aca="false">IF(ISERROR(VLOOKUP($P413,Member_Tab,5,FALSE())),0,VLOOKUP($P413,Member_Tab,5,FALSE())*IF(AND(AI$5 &gt; VLOOKUP($P413,Member_Tab,6,FALSE()),AI$5 &lt; VLOOKUP($P413,Member_Tab,7,FALSE())),1,0))</f>
        <v>0</v>
      </c>
      <c r="AJ515" s="184" t="n">
        <f aca="false">IF(ISERROR(VLOOKUP($P413,Member_Tab,5,FALSE())),0,VLOOKUP($P413,Member_Tab,5,FALSE())*IF(AND(AJ$5 &gt; VLOOKUP($P413,Member_Tab,6,FALSE()),AJ$5 &lt; VLOOKUP($P413,Member_Tab,7,FALSE())),1,0))</f>
        <v>0</v>
      </c>
      <c r="AK515" s="184" t="n">
        <f aca="false">IF(ISERROR(VLOOKUP($P413,Member_Tab,5,FALSE())),0,VLOOKUP($P413,Member_Tab,5,FALSE())*IF(AND(AK$5 &gt; VLOOKUP($P413,Member_Tab,6,FALSE()),AK$5 &lt; VLOOKUP($P413,Member_Tab,7,FALSE())),1,0))</f>
        <v>0</v>
      </c>
      <c r="AL515" s="184" t="n">
        <f aca="false">IF(ISERROR(VLOOKUP($P413,Member_Tab,5,FALSE())),0,VLOOKUP($P413,Member_Tab,5,FALSE())*IF(AND(AL$5 &gt; VLOOKUP($P413,Member_Tab,6,FALSE()),AL$5 &lt; VLOOKUP($P413,Member_Tab,7,FALSE())),1,0))</f>
        <v>0</v>
      </c>
      <c r="AM515" s="184" t="n">
        <f aca="false">IF(ISERROR(VLOOKUP($P413,Member_Tab,5,FALSE())),0,VLOOKUP($P413,Member_Tab,5,FALSE())*IF(AND(AM$5 &gt; VLOOKUP($P413,Member_Tab,6,FALSE()),AM$5 &lt; VLOOKUP($P413,Member_Tab,7,FALSE())),1,0))</f>
        <v>0</v>
      </c>
      <c r="AN515" s="184" t="n">
        <f aca="false">IF(ISERROR(VLOOKUP($P413,Member_Tab,5,FALSE())),0,VLOOKUP($P413,Member_Tab,5,FALSE())*IF(AND(AN$5 &gt; VLOOKUP($P413,Member_Tab,6,FALSE()),AN$5 &lt; VLOOKUP($P413,Member_Tab,7,FALSE())),1,0))</f>
        <v>0</v>
      </c>
      <c r="AO515" s="184" t="n">
        <f aca="false">IF(ISERROR(VLOOKUP($P413,Member_Tab,5,FALSE())),0,VLOOKUP($P413,Member_Tab,5,FALSE())*IF(AND(AO$5 &gt; VLOOKUP($P413,Member_Tab,6,FALSE()),AO$5 &lt; VLOOKUP($P413,Member_Tab,7,FALSE())),1,0))</f>
        <v>0</v>
      </c>
      <c r="AP515" s="184" t="n">
        <f aca="false">IF(ISERROR(VLOOKUP($P413,Member_Tab,5,FALSE())),0,VLOOKUP($P413,Member_Tab,5,FALSE())*IF(AND(AP$5 &gt; VLOOKUP($P413,Member_Tab,6,FALSE()),AP$5 &lt; VLOOKUP($P413,Member_Tab,7,FALSE())),1,0))</f>
        <v>0</v>
      </c>
      <c r="AQ515" s="184" t="n">
        <f aca="false">IF(ISERROR(VLOOKUP($P413,Member_Tab,5,FALSE())),0,VLOOKUP($P413,Member_Tab,5,FALSE())*IF(AND(AQ$5 &gt; VLOOKUP($P413,Member_Tab,6,FALSE()),AQ$5 &lt; VLOOKUP($P413,Member_Tab,7,FALSE())),1,0))</f>
        <v>0</v>
      </c>
      <c r="AR515" s="184" t="n">
        <f aca="false">IF(ISERROR(VLOOKUP($P413,Member_Tab,5,FALSE())),0,VLOOKUP($P413,Member_Tab,5,FALSE())*IF(AND(AR$5 &gt; VLOOKUP($P413,Member_Tab,6,FALSE()),AR$5 &lt; VLOOKUP($P413,Member_Tab,7,FALSE())),1,0))</f>
        <v>0</v>
      </c>
      <c r="AS515" s="184" t="n">
        <f aca="false">IF(ISERROR(VLOOKUP($P413,Member_Tab,5,FALSE())),0,VLOOKUP($P413,Member_Tab,5,FALSE())*IF(AND(AS$5 &gt; VLOOKUP($P413,Member_Tab,6,FALSE()),AS$5 &lt; VLOOKUP($P413,Member_Tab,7,FALSE())),1,0))</f>
        <v>0</v>
      </c>
      <c r="AT515" s="184" t="n">
        <f aca="false">IF(ISERROR(VLOOKUP($P413,Member_Tab,5,FALSE())),0,VLOOKUP($P413,Member_Tab,5,FALSE())*IF(AND(AT$5 &gt; VLOOKUP($P413,Member_Tab,6,FALSE()),AT$5 &lt; VLOOKUP($P413,Member_Tab,7,FALSE())),1,0))</f>
        <v>0</v>
      </c>
      <c r="AU515" s="184" t="n">
        <f aca="false">IF(ISERROR(VLOOKUP($P413,Member_Tab,5,FALSE())),0,VLOOKUP($P413,Member_Tab,5,FALSE())*IF(AND(AU$5 &gt; VLOOKUP($P413,Member_Tab,6,FALSE()),AU$5 &lt; VLOOKUP($P413,Member_Tab,7,FALSE())),1,0))</f>
        <v>0</v>
      </c>
      <c r="AV515" s="184" t="n">
        <f aca="false">IF(ISERROR(VLOOKUP($P413,Member_Tab,5,FALSE())),0,VLOOKUP($P413,Member_Tab,5,FALSE())*IF(AND(AV$5 &gt; VLOOKUP($P413,Member_Tab,6,FALSE()),AV$5 &lt; VLOOKUP($P413,Member_Tab,7,FALSE())),1,0))</f>
        <v>0</v>
      </c>
      <c r="AW515" s="184" t="n">
        <f aca="false">IF(ISERROR(VLOOKUP($P413,Member_Tab,5,FALSE())),0,VLOOKUP($P413,Member_Tab,5,FALSE())*IF(AND(AW$5 &gt; VLOOKUP($P413,Member_Tab,6,FALSE()),AW$5 &lt; VLOOKUP($P413,Member_Tab,7,FALSE())),1,0))</f>
        <v>0</v>
      </c>
      <c r="AX515" s="184" t="n">
        <f aca="false">IF(ISERROR(VLOOKUP($P413,Member_Tab,5,FALSE())),0,VLOOKUP($P413,Member_Tab,5,FALSE())*IF(AND(AX$5 &gt; VLOOKUP($P413,Member_Tab,6,FALSE()),AX$5 &lt; VLOOKUP($P413,Member_Tab,7,FALSE())),1,0))</f>
        <v>0</v>
      </c>
      <c r="AY515" s="184" t="n">
        <f aca="false">IF(ISERROR(VLOOKUP($P413,Member_Tab,5,FALSE())),0,VLOOKUP($P413,Member_Tab,5,FALSE())*IF(AND(AY$5 &gt; VLOOKUP($P413,Member_Tab,6,FALSE()),AY$5 &lt; VLOOKUP($P413,Member_Tab,7,FALSE())),1,0))</f>
        <v>0</v>
      </c>
      <c r="AZ515" s="184" t="n">
        <f aca="false">IF(ISERROR(VLOOKUP($P413,Member_Tab,5,FALSE())),0,VLOOKUP($P413,Member_Tab,5,FALSE())*IF(AND(AZ$5 &gt; VLOOKUP($P413,Member_Tab,6,FALSE()),AZ$5 &lt; VLOOKUP($P413,Member_Tab,7,FALSE())),1,0))</f>
        <v>0</v>
      </c>
      <c r="BA515" s="184" t="n">
        <f aca="false">IF(ISERROR(VLOOKUP($P413,Member_Tab,5,FALSE())),0,VLOOKUP($P413,Member_Tab,5,FALSE())*IF(AND(BA$5 &gt; VLOOKUP($P413,Member_Tab,6,FALSE()),BA$5 &lt; VLOOKUP($P413,Member_Tab,7,FALSE())),1,0))</f>
        <v>0</v>
      </c>
      <c r="BB515" s="184" t="n">
        <f aca="false">IF(ISERROR(VLOOKUP($P413,Member_Tab,5,FALSE())),0,VLOOKUP($P413,Member_Tab,5,FALSE())*IF(AND(BB$5 &gt; VLOOKUP($P413,Member_Tab,6,FALSE()),BB$5 &lt; VLOOKUP($P413,Member_Tab,7,FALSE())),1,0))</f>
        <v>0</v>
      </c>
    </row>
    <row r="516" s="173" customFormat="true" ht="15.75" hidden="true" customHeight="false" outlineLevel="1" collapsed="false">
      <c r="E516" s="40"/>
      <c r="K516" s="40"/>
      <c r="L516" s="40"/>
      <c r="M516" s="40"/>
      <c r="N516" s="40"/>
      <c r="P516" s="183" t="n">
        <f aca="false">P414</f>
        <v>0</v>
      </c>
      <c r="Q516" s="40"/>
      <c r="R516" s="182"/>
      <c r="S516" s="184" t="n">
        <f aca="false">IF(ISERROR(VLOOKUP($P414,Member_Tab,5,FALSE())),0,VLOOKUP($P414,Member_Tab,5,FALSE())*IF(AND(S$5 &gt; VLOOKUP($P414,Member_Tab,6,FALSE()),S$5 &lt; VLOOKUP($P414,Member_Tab,7,FALSE())),1,0))</f>
        <v>0</v>
      </c>
      <c r="T516" s="184" t="n">
        <f aca="false">IF(ISERROR(VLOOKUP($P414,Member_Tab,5,FALSE())),0,VLOOKUP($P414,Member_Tab,5,FALSE())*IF(AND(T$5 &gt; VLOOKUP($P414,Member_Tab,6,FALSE()),T$5 &lt; VLOOKUP($P414,Member_Tab,7,FALSE())),1,0))</f>
        <v>0</v>
      </c>
      <c r="U516" s="184" t="n">
        <f aca="false">IF(ISERROR(VLOOKUP($P414,Member_Tab,5,FALSE())),0,VLOOKUP($P414,Member_Tab,5,FALSE())*IF(AND(U$5 &gt; VLOOKUP($P414,Member_Tab,6,FALSE()),U$5 &lt; VLOOKUP($P414,Member_Tab,7,FALSE())),1,0))</f>
        <v>0</v>
      </c>
      <c r="V516" s="184" t="n">
        <f aca="false">IF(ISERROR(VLOOKUP($P414,Member_Tab,5,FALSE())),0,VLOOKUP($P414,Member_Tab,5,FALSE())*IF(AND(V$5 &gt; VLOOKUP($P414,Member_Tab,6,FALSE()),V$5 &lt; VLOOKUP($P414,Member_Tab,7,FALSE())),1,0))</f>
        <v>0</v>
      </c>
      <c r="W516" s="184" t="n">
        <f aca="false">IF(ISERROR(VLOOKUP($P414,Member_Tab,5,FALSE())),0,VLOOKUP($P414,Member_Tab,5,FALSE())*IF(AND(W$5 &gt; VLOOKUP($P414,Member_Tab,6,FALSE()),W$5 &lt; VLOOKUP($P414,Member_Tab,7,FALSE())),1,0))</f>
        <v>0</v>
      </c>
      <c r="X516" s="184" t="n">
        <f aca="false">IF(ISERROR(VLOOKUP($P414,Member_Tab,5,FALSE())),0,VLOOKUP($P414,Member_Tab,5,FALSE())*IF(AND(X$5 &gt; VLOOKUP($P414,Member_Tab,6,FALSE()),X$5 &lt; VLOOKUP($P414,Member_Tab,7,FALSE())),1,0))</f>
        <v>0</v>
      </c>
      <c r="Y516" s="184" t="n">
        <f aca="false">IF(ISERROR(VLOOKUP($P414,Member_Tab,5,FALSE())),0,VLOOKUP($P414,Member_Tab,5,FALSE())*IF(AND(Y$5 &gt; VLOOKUP($P414,Member_Tab,6,FALSE()),Y$5 &lt; VLOOKUP($P414,Member_Tab,7,FALSE())),1,0))</f>
        <v>0</v>
      </c>
      <c r="Z516" s="184" t="n">
        <f aca="false">IF(ISERROR(VLOOKUP($P414,Member_Tab,5,FALSE())),0,VLOOKUP($P414,Member_Tab,5,FALSE())*IF(AND(Z$5 &gt; VLOOKUP($P414,Member_Tab,6,FALSE()),Z$5 &lt; VLOOKUP($P414,Member_Tab,7,FALSE())),1,0))</f>
        <v>0</v>
      </c>
      <c r="AA516" s="184" t="n">
        <f aca="false">IF(ISERROR(VLOOKUP($P414,Member_Tab,5,FALSE())),0,VLOOKUP($P414,Member_Tab,5,FALSE())*IF(AND(AA$5 &gt; VLOOKUP($P414,Member_Tab,6,FALSE()),AA$5 &lt; VLOOKUP($P414,Member_Tab,7,FALSE())),1,0))</f>
        <v>0</v>
      </c>
      <c r="AB516" s="184" t="n">
        <f aca="false">IF(ISERROR(VLOOKUP($P414,Member_Tab,5,FALSE())),0,VLOOKUP($P414,Member_Tab,5,FALSE())*IF(AND(AB$5 &gt; VLOOKUP($P414,Member_Tab,6,FALSE()),AB$5 &lt; VLOOKUP($P414,Member_Tab,7,FALSE())),1,0))</f>
        <v>0</v>
      </c>
      <c r="AC516" s="184" t="n">
        <f aca="false">IF(ISERROR(VLOOKUP($P414,Member_Tab,5,FALSE())),0,VLOOKUP($P414,Member_Tab,5,FALSE())*IF(AND(AC$5 &gt; VLOOKUP($P414,Member_Tab,6,FALSE()),AC$5 &lt; VLOOKUP($P414,Member_Tab,7,FALSE())),1,0))</f>
        <v>0</v>
      </c>
      <c r="AD516" s="184" t="n">
        <f aca="false">IF(ISERROR(VLOOKUP($P414,Member_Tab,5,FALSE())),0,VLOOKUP($P414,Member_Tab,5,FALSE())*IF(AND(AD$5 &gt; VLOOKUP($P414,Member_Tab,6,FALSE()),AD$5 &lt; VLOOKUP($P414,Member_Tab,7,FALSE())),1,0))</f>
        <v>0</v>
      </c>
      <c r="AE516" s="184" t="n">
        <f aca="false">IF(ISERROR(VLOOKUP($P414,Member_Tab,5,FALSE())),0,VLOOKUP($P414,Member_Tab,5,FALSE())*IF(AND(AE$5 &gt; VLOOKUP($P414,Member_Tab,6,FALSE()),AE$5 &lt; VLOOKUP($P414,Member_Tab,7,FALSE())),1,0))</f>
        <v>0</v>
      </c>
      <c r="AF516" s="184" t="n">
        <f aca="false">IF(ISERROR(VLOOKUP($P414,Member_Tab,5,FALSE())),0,VLOOKUP($P414,Member_Tab,5,FALSE())*IF(AND(AF$5 &gt; VLOOKUP($P414,Member_Tab,6,FALSE()),AF$5 &lt; VLOOKUP($P414,Member_Tab,7,FALSE())),1,0))</f>
        <v>0</v>
      </c>
      <c r="AG516" s="184" t="n">
        <f aca="false">IF(ISERROR(VLOOKUP($P414,Member_Tab,5,FALSE())),0,VLOOKUP($P414,Member_Tab,5,FALSE())*IF(AND(AG$5 &gt; VLOOKUP($P414,Member_Tab,6,FALSE()),AG$5 &lt; VLOOKUP($P414,Member_Tab,7,FALSE())),1,0))</f>
        <v>0</v>
      </c>
      <c r="AH516" s="184" t="n">
        <f aca="false">IF(ISERROR(VLOOKUP($P414,Member_Tab,5,FALSE())),0,VLOOKUP($P414,Member_Tab,5,FALSE())*IF(AND(AH$5 &gt; VLOOKUP($P414,Member_Tab,6,FALSE()),AH$5 &lt; VLOOKUP($P414,Member_Tab,7,FALSE())),1,0))</f>
        <v>0</v>
      </c>
      <c r="AI516" s="184" t="n">
        <f aca="false">IF(ISERROR(VLOOKUP($P414,Member_Tab,5,FALSE())),0,VLOOKUP($P414,Member_Tab,5,FALSE())*IF(AND(AI$5 &gt; VLOOKUP($P414,Member_Tab,6,FALSE()),AI$5 &lt; VLOOKUP($P414,Member_Tab,7,FALSE())),1,0))</f>
        <v>0</v>
      </c>
      <c r="AJ516" s="184" t="n">
        <f aca="false">IF(ISERROR(VLOOKUP($P414,Member_Tab,5,FALSE())),0,VLOOKUP($P414,Member_Tab,5,FALSE())*IF(AND(AJ$5 &gt; VLOOKUP($P414,Member_Tab,6,FALSE()),AJ$5 &lt; VLOOKUP($P414,Member_Tab,7,FALSE())),1,0))</f>
        <v>0</v>
      </c>
      <c r="AK516" s="184" t="n">
        <f aca="false">IF(ISERROR(VLOOKUP($P414,Member_Tab,5,FALSE())),0,VLOOKUP($P414,Member_Tab,5,FALSE())*IF(AND(AK$5 &gt; VLOOKUP($P414,Member_Tab,6,FALSE()),AK$5 &lt; VLOOKUP($P414,Member_Tab,7,FALSE())),1,0))</f>
        <v>0</v>
      </c>
      <c r="AL516" s="184" t="n">
        <f aca="false">IF(ISERROR(VLOOKUP($P414,Member_Tab,5,FALSE())),0,VLOOKUP($P414,Member_Tab,5,FALSE())*IF(AND(AL$5 &gt; VLOOKUP($P414,Member_Tab,6,FALSE()),AL$5 &lt; VLOOKUP($P414,Member_Tab,7,FALSE())),1,0))</f>
        <v>0</v>
      </c>
      <c r="AM516" s="184" t="n">
        <f aca="false">IF(ISERROR(VLOOKUP($P414,Member_Tab,5,FALSE())),0,VLOOKUP($P414,Member_Tab,5,FALSE())*IF(AND(AM$5 &gt; VLOOKUP($P414,Member_Tab,6,FALSE()),AM$5 &lt; VLOOKUP($P414,Member_Tab,7,FALSE())),1,0))</f>
        <v>0</v>
      </c>
      <c r="AN516" s="184" t="n">
        <f aca="false">IF(ISERROR(VLOOKUP($P414,Member_Tab,5,FALSE())),0,VLOOKUP($P414,Member_Tab,5,FALSE())*IF(AND(AN$5 &gt; VLOOKUP($P414,Member_Tab,6,FALSE()),AN$5 &lt; VLOOKUP($P414,Member_Tab,7,FALSE())),1,0))</f>
        <v>0</v>
      </c>
      <c r="AO516" s="184" t="n">
        <f aca="false">IF(ISERROR(VLOOKUP($P414,Member_Tab,5,FALSE())),0,VLOOKUP($P414,Member_Tab,5,FALSE())*IF(AND(AO$5 &gt; VLOOKUP($P414,Member_Tab,6,FALSE()),AO$5 &lt; VLOOKUP($P414,Member_Tab,7,FALSE())),1,0))</f>
        <v>0</v>
      </c>
      <c r="AP516" s="184" t="n">
        <f aca="false">IF(ISERROR(VLOOKUP($P414,Member_Tab,5,FALSE())),0,VLOOKUP($P414,Member_Tab,5,FALSE())*IF(AND(AP$5 &gt; VLOOKUP($P414,Member_Tab,6,FALSE()),AP$5 &lt; VLOOKUP($P414,Member_Tab,7,FALSE())),1,0))</f>
        <v>0</v>
      </c>
      <c r="AQ516" s="184" t="n">
        <f aca="false">IF(ISERROR(VLOOKUP($P414,Member_Tab,5,FALSE())),0,VLOOKUP($P414,Member_Tab,5,FALSE())*IF(AND(AQ$5 &gt; VLOOKUP($P414,Member_Tab,6,FALSE()),AQ$5 &lt; VLOOKUP($P414,Member_Tab,7,FALSE())),1,0))</f>
        <v>0</v>
      </c>
      <c r="AR516" s="184" t="n">
        <f aca="false">IF(ISERROR(VLOOKUP($P414,Member_Tab,5,FALSE())),0,VLOOKUP($P414,Member_Tab,5,FALSE())*IF(AND(AR$5 &gt; VLOOKUP($P414,Member_Tab,6,FALSE()),AR$5 &lt; VLOOKUP($P414,Member_Tab,7,FALSE())),1,0))</f>
        <v>0</v>
      </c>
      <c r="AS516" s="184" t="n">
        <f aca="false">IF(ISERROR(VLOOKUP($P414,Member_Tab,5,FALSE())),0,VLOOKUP($P414,Member_Tab,5,FALSE())*IF(AND(AS$5 &gt; VLOOKUP($P414,Member_Tab,6,FALSE()),AS$5 &lt; VLOOKUP($P414,Member_Tab,7,FALSE())),1,0))</f>
        <v>0</v>
      </c>
      <c r="AT516" s="184" t="n">
        <f aca="false">IF(ISERROR(VLOOKUP($P414,Member_Tab,5,FALSE())),0,VLOOKUP($P414,Member_Tab,5,FALSE())*IF(AND(AT$5 &gt; VLOOKUP($P414,Member_Tab,6,FALSE()),AT$5 &lt; VLOOKUP($P414,Member_Tab,7,FALSE())),1,0))</f>
        <v>0</v>
      </c>
      <c r="AU516" s="184" t="n">
        <f aca="false">IF(ISERROR(VLOOKUP($P414,Member_Tab,5,FALSE())),0,VLOOKUP($P414,Member_Tab,5,FALSE())*IF(AND(AU$5 &gt; VLOOKUP($P414,Member_Tab,6,FALSE()),AU$5 &lt; VLOOKUP($P414,Member_Tab,7,FALSE())),1,0))</f>
        <v>0</v>
      </c>
      <c r="AV516" s="184" t="n">
        <f aca="false">IF(ISERROR(VLOOKUP($P414,Member_Tab,5,FALSE())),0,VLOOKUP($P414,Member_Tab,5,FALSE())*IF(AND(AV$5 &gt; VLOOKUP($P414,Member_Tab,6,FALSE()),AV$5 &lt; VLOOKUP($P414,Member_Tab,7,FALSE())),1,0))</f>
        <v>0</v>
      </c>
      <c r="AW516" s="184" t="n">
        <f aca="false">IF(ISERROR(VLOOKUP($P414,Member_Tab,5,FALSE())),0,VLOOKUP($P414,Member_Tab,5,FALSE())*IF(AND(AW$5 &gt; VLOOKUP($P414,Member_Tab,6,FALSE()),AW$5 &lt; VLOOKUP($P414,Member_Tab,7,FALSE())),1,0))</f>
        <v>0</v>
      </c>
      <c r="AX516" s="184" t="n">
        <f aca="false">IF(ISERROR(VLOOKUP($P414,Member_Tab,5,FALSE())),0,VLOOKUP($P414,Member_Tab,5,FALSE())*IF(AND(AX$5 &gt; VLOOKUP($P414,Member_Tab,6,FALSE()),AX$5 &lt; VLOOKUP($P414,Member_Tab,7,FALSE())),1,0))</f>
        <v>0</v>
      </c>
      <c r="AY516" s="184" t="n">
        <f aca="false">IF(ISERROR(VLOOKUP($P414,Member_Tab,5,FALSE())),0,VLOOKUP($P414,Member_Tab,5,FALSE())*IF(AND(AY$5 &gt; VLOOKUP($P414,Member_Tab,6,FALSE()),AY$5 &lt; VLOOKUP($P414,Member_Tab,7,FALSE())),1,0))</f>
        <v>0</v>
      </c>
      <c r="AZ516" s="184" t="n">
        <f aca="false">IF(ISERROR(VLOOKUP($P414,Member_Tab,5,FALSE())),0,VLOOKUP($P414,Member_Tab,5,FALSE())*IF(AND(AZ$5 &gt; VLOOKUP($P414,Member_Tab,6,FALSE()),AZ$5 &lt; VLOOKUP($P414,Member_Tab,7,FALSE())),1,0))</f>
        <v>0</v>
      </c>
      <c r="BA516" s="184" t="n">
        <f aca="false">IF(ISERROR(VLOOKUP($P414,Member_Tab,5,FALSE())),0,VLOOKUP($P414,Member_Tab,5,FALSE())*IF(AND(BA$5 &gt; VLOOKUP($P414,Member_Tab,6,FALSE()),BA$5 &lt; VLOOKUP($P414,Member_Tab,7,FALSE())),1,0))</f>
        <v>0</v>
      </c>
      <c r="BB516" s="184" t="n">
        <f aca="false">IF(ISERROR(VLOOKUP($P414,Member_Tab,5,FALSE())),0,VLOOKUP($P414,Member_Tab,5,FALSE())*IF(AND(BB$5 &gt; VLOOKUP($P414,Member_Tab,6,FALSE()),BB$5 &lt; VLOOKUP($P414,Member_Tab,7,FALSE())),1,0))</f>
        <v>0</v>
      </c>
    </row>
    <row r="517" s="173" customFormat="true" ht="15.75" hidden="true" customHeight="false" outlineLevel="1" collapsed="false">
      <c r="E517" s="40"/>
      <c r="K517" s="40"/>
      <c r="L517" s="40"/>
      <c r="M517" s="40"/>
      <c r="N517" s="40"/>
      <c r="P517" s="183" t="n">
        <f aca="false">P415</f>
        <v>0</v>
      </c>
      <c r="Q517" s="40"/>
      <c r="R517" s="182"/>
      <c r="S517" s="184" t="n">
        <f aca="false">IF(ISERROR(VLOOKUP($P415,Member_Tab,5,FALSE())),0,VLOOKUP($P415,Member_Tab,5,FALSE())*IF(AND(S$5 &gt; VLOOKUP($P415,Member_Tab,6,FALSE()),S$5 &lt; VLOOKUP($P415,Member_Tab,7,FALSE())),1,0))</f>
        <v>0</v>
      </c>
      <c r="T517" s="184" t="n">
        <f aca="false">IF(ISERROR(VLOOKUP($P415,Member_Tab,5,FALSE())),0,VLOOKUP($P415,Member_Tab,5,FALSE())*IF(AND(T$5 &gt; VLOOKUP($P415,Member_Tab,6,FALSE()),T$5 &lt; VLOOKUP($P415,Member_Tab,7,FALSE())),1,0))</f>
        <v>0</v>
      </c>
      <c r="U517" s="184" t="n">
        <f aca="false">IF(ISERROR(VLOOKUP($P415,Member_Tab,5,FALSE())),0,VLOOKUP($P415,Member_Tab,5,FALSE())*IF(AND(U$5 &gt; VLOOKUP($P415,Member_Tab,6,FALSE()),U$5 &lt; VLOOKUP($P415,Member_Tab,7,FALSE())),1,0))</f>
        <v>0</v>
      </c>
      <c r="V517" s="184" t="n">
        <f aca="false">IF(ISERROR(VLOOKUP($P415,Member_Tab,5,FALSE())),0,VLOOKUP($P415,Member_Tab,5,FALSE())*IF(AND(V$5 &gt; VLOOKUP($P415,Member_Tab,6,FALSE()),V$5 &lt; VLOOKUP($P415,Member_Tab,7,FALSE())),1,0))</f>
        <v>0</v>
      </c>
      <c r="W517" s="184" t="n">
        <f aca="false">IF(ISERROR(VLOOKUP($P415,Member_Tab,5,FALSE())),0,VLOOKUP($P415,Member_Tab,5,FALSE())*IF(AND(W$5 &gt; VLOOKUP($P415,Member_Tab,6,FALSE()),W$5 &lt; VLOOKUP($P415,Member_Tab,7,FALSE())),1,0))</f>
        <v>0</v>
      </c>
      <c r="X517" s="184" t="n">
        <f aca="false">IF(ISERROR(VLOOKUP($P415,Member_Tab,5,FALSE())),0,VLOOKUP($P415,Member_Tab,5,FALSE())*IF(AND(X$5 &gt; VLOOKUP($P415,Member_Tab,6,FALSE()),X$5 &lt; VLOOKUP($P415,Member_Tab,7,FALSE())),1,0))</f>
        <v>0</v>
      </c>
      <c r="Y517" s="184" t="n">
        <f aca="false">IF(ISERROR(VLOOKUP($P415,Member_Tab,5,FALSE())),0,VLOOKUP($P415,Member_Tab,5,FALSE())*IF(AND(Y$5 &gt; VLOOKUP($P415,Member_Tab,6,FALSE()),Y$5 &lt; VLOOKUP($P415,Member_Tab,7,FALSE())),1,0))</f>
        <v>0</v>
      </c>
      <c r="Z517" s="184" t="n">
        <f aca="false">IF(ISERROR(VLOOKUP($P415,Member_Tab,5,FALSE())),0,VLOOKUP($P415,Member_Tab,5,FALSE())*IF(AND(Z$5 &gt; VLOOKUP($P415,Member_Tab,6,FALSE()),Z$5 &lt; VLOOKUP($P415,Member_Tab,7,FALSE())),1,0))</f>
        <v>0</v>
      </c>
      <c r="AA517" s="184" t="n">
        <f aca="false">IF(ISERROR(VLOOKUP($P415,Member_Tab,5,FALSE())),0,VLOOKUP($P415,Member_Tab,5,FALSE())*IF(AND(AA$5 &gt; VLOOKUP($P415,Member_Tab,6,FALSE()),AA$5 &lt; VLOOKUP($P415,Member_Tab,7,FALSE())),1,0))</f>
        <v>0</v>
      </c>
      <c r="AB517" s="184" t="n">
        <f aca="false">IF(ISERROR(VLOOKUP($P415,Member_Tab,5,FALSE())),0,VLOOKUP($P415,Member_Tab,5,FALSE())*IF(AND(AB$5 &gt; VLOOKUP($P415,Member_Tab,6,FALSE()),AB$5 &lt; VLOOKUP($P415,Member_Tab,7,FALSE())),1,0))</f>
        <v>0</v>
      </c>
      <c r="AC517" s="184" t="n">
        <f aca="false">IF(ISERROR(VLOOKUP($P415,Member_Tab,5,FALSE())),0,VLOOKUP($P415,Member_Tab,5,FALSE())*IF(AND(AC$5 &gt; VLOOKUP($P415,Member_Tab,6,FALSE()),AC$5 &lt; VLOOKUP($P415,Member_Tab,7,FALSE())),1,0))</f>
        <v>0</v>
      </c>
      <c r="AD517" s="184" t="n">
        <f aca="false">IF(ISERROR(VLOOKUP($P415,Member_Tab,5,FALSE())),0,VLOOKUP($P415,Member_Tab,5,FALSE())*IF(AND(AD$5 &gt; VLOOKUP($P415,Member_Tab,6,FALSE()),AD$5 &lt; VLOOKUP($P415,Member_Tab,7,FALSE())),1,0))</f>
        <v>0</v>
      </c>
      <c r="AE517" s="184" t="n">
        <f aca="false">IF(ISERROR(VLOOKUP($P415,Member_Tab,5,FALSE())),0,VLOOKUP($P415,Member_Tab,5,FALSE())*IF(AND(AE$5 &gt; VLOOKUP($P415,Member_Tab,6,FALSE()),AE$5 &lt; VLOOKUP($P415,Member_Tab,7,FALSE())),1,0))</f>
        <v>0</v>
      </c>
      <c r="AF517" s="184" t="n">
        <f aca="false">IF(ISERROR(VLOOKUP($P415,Member_Tab,5,FALSE())),0,VLOOKUP($P415,Member_Tab,5,FALSE())*IF(AND(AF$5 &gt; VLOOKUP($P415,Member_Tab,6,FALSE()),AF$5 &lt; VLOOKUP($P415,Member_Tab,7,FALSE())),1,0))</f>
        <v>0</v>
      </c>
      <c r="AG517" s="184" t="n">
        <f aca="false">IF(ISERROR(VLOOKUP($P415,Member_Tab,5,FALSE())),0,VLOOKUP($P415,Member_Tab,5,FALSE())*IF(AND(AG$5 &gt; VLOOKUP($P415,Member_Tab,6,FALSE()),AG$5 &lt; VLOOKUP($P415,Member_Tab,7,FALSE())),1,0))</f>
        <v>0</v>
      </c>
      <c r="AH517" s="184" t="n">
        <f aca="false">IF(ISERROR(VLOOKUP($P415,Member_Tab,5,FALSE())),0,VLOOKUP($P415,Member_Tab,5,FALSE())*IF(AND(AH$5 &gt; VLOOKUP($P415,Member_Tab,6,FALSE()),AH$5 &lt; VLOOKUP($P415,Member_Tab,7,FALSE())),1,0))</f>
        <v>0</v>
      </c>
      <c r="AI517" s="184" t="n">
        <f aca="false">IF(ISERROR(VLOOKUP($P415,Member_Tab,5,FALSE())),0,VLOOKUP($P415,Member_Tab,5,FALSE())*IF(AND(AI$5 &gt; VLOOKUP($P415,Member_Tab,6,FALSE()),AI$5 &lt; VLOOKUP($P415,Member_Tab,7,FALSE())),1,0))</f>
        <v>0</v>
      </c>
      <c r="AJ517" s="184" t="n">
        <f aca="false">IF(ISERROR(VLOOKUP($P415,Member_Tab,5,FALSE())),0,VLOOKUP($P415,Member_Tab,5,FALSE())*IF(AND(AJ$5 &gt; VLOOKUP($P415,Member_Tab,6,FALSE()),AJ$5 &lt; VLOOKUP($P415,Member_Tab,7,FALSE())),1,0))</f>
        <v>0</v>
      </c>
      <c r="AK517" s="184" t="n">
        <f aca="false">IF(ISERROR(VLOOKUP($P415,Member_Tab,5,FALSE())),0,VLOOKUP($P415,Member_Tab,5,FALSE())*IF(AND(AK$5 &gt; VLOOKUP($P415,Member_Tab,6,FALSE()),AK$5 &lt; VLOOKUP($P415,Member_Tab,7,FALSE())),1,0))</f>
        <v>0</v>
      </c>
      <c r="AL517" s="184" t="n">
        <f aca="false">IF(ISERROR(VLOOKUP($P415,Member_Tab,5,FALSE())),0,VLOOKUP($P415,Member_Tab,5,FALSE())*IF(AND(AL$5 &gt; VLOOKUP($P415,Member_Tab,6,FALSE()),AL$5 &lt; VLOOKUP($P415,Member_Tab,7,FALSE())),1,0))</f>
        <v>0</v>
      </c>
      <c r="AM517" s="184" t="n">
        <f aca="false">IF(ISERROR(VLOOKUP($P415,Member_Tab,5,FALSE())),0,VLOOKUP($P415,Member_Tab,5,FALSE())*IF(AND(AM$5 &gt; VLOOKUP($P415,Member_Tab,6,FALSE()),AM$5 &lt; VLOOKUP($P415,Member_Tab,7,FALSE())),1,0))</f>
        <v>0</v>
      </c>
      <c r="AN517" s="184" t="n">
        <f aca="false">IF(ISERROR(VLOOKUP($P415,Member_Tab,5,FALSE())),0,VLOOKUP($P415,Member_Tab,5,FALSE())*IF(AND(AN$5 &gt; VLOOKUP($P415,Member_Tab,6,FALSE()),AN$5 &lt; VLOOKUP($P415,Member_Tab,7,FALSE())),1,0))</f>
        <v>0</v>
      </c>
      <c r="AO517" s="184" t="n">
        <f aca="false">IF(ISERROR(VLOOKUP($P415,Member_Tab,5,FALSE())),0,VLOOKUP($P415,Member_Tab,5,FALSE())*IF(AND(AO$5 &gt; VLOOKUP($P415,Member_Tab,6,FALSE()),AO$5 &lt; VLOOKUP($P415,Member_Tab,7,FALSE())),1,0))</f>
        <v>0</v>
      </c>
      <c r="AP517" s="184" t="n">
        <f aca="false">IF(ISERROR(VLOOKUP($P415,Member_Tab,5,FALSE())),0,VLOOKUP($P415,Member_Tab,5,FALSE())*IF(AND(AP$5 &gt; VLOOKUP($P415,Member_Tab,6,FALSE()),AP$5 &lt; VLOOKUP($P415,Member_Tab,7,FALSE())),1,0))</f>
        <v>0</v>
      </c>
      <c r="AQ517" s="184" t="n">
        <f aca="false">IF(ISERROR(VLOOKUP($P415,Member_Tab,5,FALSE())),0,VLOOKUP($P415,Member_Tab,5,FALSE())*IF(AND(AQ$5 &gt; VLOOKUP($P415,Member_Tab,6,FALSE()),AQ$5 &lt; VLOOKUP($P415,Member_Tab,7,FALSE())),1,0))</f>
        <v>0</v>
      </c>
      <c r="AR517" s="184" t="n">
        <f aca="false">IF(ISERROR(VLOOKUP($P415,Member_Tab,5,FALSE())),0,VLOOKUP($P415,Member_Tab,5,FALSE())*IF(AND(AR$5 &gt; VLOOKUP($P415,Member_Tab,6,FALSE()),AR$5 &lt; VLOOKUP($P415,Member_Tab,7,FALSE())),1,0))</f>
        <v>0</v>
      </c>
      <c r="AS517" s="184" t="n">
        <f aca="false">IF(ISERROR(VLOOKUP($P415,Member_Tab,5,FALSE())),0,VLOOKUP($P415,Member_Tab,5,FALSE())*IF(AND(AS$5 &gt; VLOOKUP($P415,Member_Tab,6,FALSE()),AS$5 &lt; VLOOKUP($P415,Member_Tab,7,FALSE())),1,0))</f>
        <v>0</v>
      </c>
      <c r="AT517" s="184" t="n">
        <f aca="false">IF(ISERROR(VLOOKUP($P415,Member_Tab,5,FALSE())),0,VLOOKUP($P415,Member_Tab,5,FALSE())*IF(AND(AT$5 &gt; VLOOKUP($P415,Member_Tab,6,FALSE()),AT$5 &lt; VLOOKUP($P415,Member_Tab,7,FALSE())),1,0))</f>
        <v>0</v>
      </c>
      <c r="AU517" s="184" t="n">
        <f aca="false">IF(ISERROR(VLOOKUP($P415,Member_Tab,5,FALSE())),0,VLOOKUP($P415,Member_Tab,5,FALSE())*IF(AND(AU$5 &gt; VLOOKUP($P415,Member_Tab,6,FALSE()),AU$5 &lt; VLOOKUP($P415,Member_Tab,7,FALSE())),1,0))</f>
        <v>0</v>
      </c>
      <c r="AV517" s="184" t="n">
        <f aca="false">IF(ISERROR(VLOOKUP($P415,Member_Tab,5,FALSE())),0,VLOOKUP($P415,Member_Tab,5,FALSE())*IF(AND(AV$5 &gt; VLOOKUP($P415,Member_Tab,6,FALSE()),AV$5 &lt; VLOOKUP($P415,Member_Tab,7,FALSE())),1,0))</f>
        <v>0</v>
      </c>
      <c r="AW517" s="184" t="n">
        <f aca="false">IF(ISERROR(VLOOKUP($P415,Member_Tab,5,FALSE())),0,VLOOKUP($P415,Member_Tab,5,FALSE())*IF(AND(AW$5 &gt; VLOOKUP($P415,Member_Tab,6,FALSE()),AW$5 &lt; VLOOKUP($P415,Member_Tab,7,FALSE())),1,0))</f>
        <v>0</v>
      </c>
      <c r="AX517" s="184" t="n">
        <f aca="false">IF(ISERROR(VLOOKUP($P415,Member_Tab,5,FALSE())),0,VLOOKUP($P415,Member_Tab,5,FALSE())*IF(AND(AX$5 &gt; VLOOKUP($P415,Member_Tab,6,FALSE()),AX$5 &lt; VLOOKUP($P415,Member_Tab,7,FALSE())),1,0))</f>
        <v>0</v>
      </c>
      <c r="AY517" s="184" t="n">
        <f aca="false">IF(ISERROR(VLOOKUP($P415,Member_Tab,5,FALSE())),0,VLOOKUP($P415,Member_Tab,5,FALSE())*IF(AND(AY$5 &gt; VLOOKUP($P415,Member_Tab,6,FALSE()),AY$5 &lt; VLOOKUP($P415,Member_Tab,7,FALSE())),1,0))</f>
        <v>0</v>
      </c>
      <c r="AZ517" s="184" t="n">
        <f aca="false">IF(ISERROR(VLOOKUP($P415,Member_Tab,5,FALSE())),0,VLOOKUP($P415,Member_Tab,5,FALSE())*IF(AND(AZ$5 &gt; VLOOKUP($P415,Member_Tab,6,FALSE()),AZ$5 &lt; VLOOKUP($P415,Member_Tab,7,FALSE())),1,0))</f>
        <v>0</v>
      </c>
      <c r="BA517" s="184" t="n">
        <f aca="false">IF(ISERROR(VLOOKUP($P415,Member_Tab,5,FALSE())),0,VLOOKUP($P415,Member_Tab,5,FALSE())*IF(AND(BA$5 &gt; VLOOKUP($P415,Member_Tab,6,FALSE()),BA$5 &lt; VLOOKUP($P415,Member_Tab,7,FALSE())),1,0))</f>
        <v>0</v>
      </c>
      <c r="BB517" s="184" t="n">
        <f aca="false">IF(ISERROR(VLOOKUP($P415,Member_Tab,5,FALSE())),0,VLOOKUP($P415,Member_Tab,5,FALSE())*IF(AND(BB$5 &gt; VLOOKUP($P415,Member_Tab,6,FALSE()),BB$5 &lt; VLOOKUP($P415,Member_Tab,7,FALSE())),1,0))</f>
        <v>0</v>
      </c>
    </row>
    <row r="518" s="173" customFormat="true" ht="15.75" hidden="true" customHeight="false" outlineLevel="1" collapsed="false">
      <c r="E518" s="40"/>
      <c r="K518" s="40"/>
      <c r="L518" s="40"/>
      <c r="M518" s="40"/>
      <c r="N518" s="40"/>
      <c r="P518" s="183" t="n">
        <f aca="false">P416</f>
        <v>0</v>
      </c>
      <c r="Q518" s="40"/>
      <c r="R518" s="182"/>
      <c r="S518" s="184" t="n">
        <f aca="false">IF(ISERROR(VLOOKUP($P416,Member_Tab,5,FALSE())),0,VLOOKUP($P416,Member_Tab,5,FALSE())*IF(AND(S$5 &gt; VLOOKUP($P416,Member_Tab,6,FALSE()),S$5 &lt; VLOOKUP($P416,Member_Tab,7,FALSE())),1,0))</f>
        <v>0</v>
      </c>
      <c r="T518" s="184" t="n">
        <f aca="false">IF(ISERROR(VLOOKUP($P416,Member_Tab,5,FALSE())),0,VLOOKUP($P416,Member_Tab,5,FALSE())*IF(AND(T$5 &gt; VLOOKUP($P416,Member_Tab,6,FALSE()),T$5 &lt; VLOOKUP($P416,Member_Tab,7,FALSE())),1,0))</f>
        <v>0</v>
      </c>
      <c r="U518" s="184" t="n">
        <f aca="false">IF(ISERROR(VLOOKUP($P416,Member_Tab,5,FALSE())),0,VLOOKUP($P416,Member_Tab,5,FALSE())*IF(AND(U$5 &gt; VLOOKUP($P416,Member_Tab,6,FALSE()),U$5 &lt; VLOOKUP($P416,Member_Tab,7,FALSE())),1,0))</f>
        <v>0</v>
      </c>
      <c r="V518" s="184" t="n">
        <f aca="false">IF(ISERROR(VLOOKUP($P416,Member_Tab,5,FALSE())),0,VLOOKUP($P416,Member_Tab,5,FALSE())*IF(AND(V$5 &gt; VLOOKUP($P416,Member_Tab,6,FALSE()),V$5 &lt; VLOOKUP($P416,Member_Tab,7,FALSE())),1,0))</f>
        <v>0</v>
      </c>
      <c r="W518" s="184" t="n">
        <f aca="false">IF(ISERROR(VLOOKUP($P416,Member_Tab,5,FALSE())),0,VLOOKUP($P416,Member_Tab,5,FALSE())*IF(AND(W$5 &gt; VLOOKUP($P416,Member_Tab,6,FALSE()),W$5 &lt; VLOOKUP($P416,Member_Tab,7,FALSE())),1,0))</f>
        <v>0</v>
      </c>
      <c r="X518" s="184" t="n">
        <f aca="false">IF(ISERROR(VLOOKUP($P416,Member_Tab,5,FALSE())),0,VLOOKUP($P416,Member_Tab,5,FALSE())*IF(AND(X$5 &gt; VLOOKUP($P416,Member_Tab,6,FALSE()),X$5 &lt; VLOOKUP($P416,Member_Tab,7,FALSE())),1,0))</f>
        <v>0</v>
      </c>
      <c r="Y518" s="184" t="n">
        <f aca="false">IF(ISERROR(VLOOKUP($P416,Member_Tab,5,FALSE())),0,VLOOKUP($P416,Member_Tab,5,FALSE())*IF(AND(Y$5 &gt; VLOOKUP($P416,Member_Tab,6,FALSE()),Y$5 &lt; VLOOKUP($P416,Member_Tab,7,FALSE())),1,0))</f>
        <v>0</v>
      </c>
      <c r="Z518" s="184" t="n">
        <f aca="false">IF(ISERROR(VLOOKUP($P416,Member_Tab,5,FALSE())),0,VLOOKUP($P416,Member_Tab,5,FALSE())*IF(AND(Z$5 &gt; VLOOKUP($P416,Member_Tab,6,FALSE()),Z$5 &lt; VLOOKUP($P416,Member_Tab,7,FALSE())),1,0))</f>
        <v>0</v>
      </c>
      <c r="AA518" s="184" t="n">
        <f aca="false">IF(ISERROR(VLOOKUP($P416,Member_Tab,5,FALSE())),0,VLOOKUP($P416,Member_Tab,5,FALSE())*IF(AND(AA$5 &gt; VLOOKUP($P416,Member_Tab,6,FALSE()),AA$5 &lt; VLOOKUP($P416,Member_Tab,7,FALSE())),1,0))</f>
        <v>0</v>
      </c>
      <c r="AB518" s="184" t="n">
        <f aca="false">IF(ISERROR(VLOOKUP($P416,Member_Tab,5,FALSE())),0,VLOOKUP($P416,Member_Tab,5,FALSE())*IF(AND(AB$5 &gt; VLOOKUP($P416,Member_Tab,6,FALSE()),AB$5 &lt; VLOOKUP($P416,Member_Tab,7,FALSE())),1,0))</f>
        <v>0</v>
      </c>
      <c r="AC518" s="184" t="n">
        <f aca="false">IF(ISERROR(VLOOKUP($P416,Member_Tab,5,FALSE())),0,VLOOKUP($P416,Member_Tab,5,FALSE())*IF(AND(AC$5 &gt; VLOOKUP($P416,Member_Tab,6,FALSE()),AC$5 &lt; VLOOKUP($P416,Member_Tab,7,FALSE())),1,0))</f>
        <v>0</v>
      </c>
      <c r="AD518" s="184" t="n">
        <f aca="false">IF(ISERROR(VLOOKUP($P416,Member_Tab,5,FALSE())),0,VLOOKUP($P416,Member_Tab,5,FALSE())*IF(AND(AD$5 &gt; VLOOKUP($P416,Member_Tab,6,FALSE()),AD$5 &lt; VLOOKUP($P416,Member_Tab,7,FALSE())),1,0))</f>
        <v>0</v>
      </c>
      <c r="AE518" s="184" t="n">
        <f aca="false">IF(ISERROR(VLOOKUP($P416,Member_Tab,5,FALSE())),0,VLOOKUP($P416,Member_Tab,5,FALSE())*IF(AND(AE$5 &gt; VLOOKUP($P416,Member_Tab,6,FALSE()),AE$5 &lt; VLOOKUP($P416,Member_Tab,7,FALSE())),1,0))</f>
        <v>0</v>
      </c>
      <c r="AF518" s="184" t="n">
        <f aca="false">IF(ISERROR(VLOOKUP($P416,Member_Tab,5,FALSE())),0,VLOOKUP($P416,Member_Tab,5,FALSE())*IF(AND(AF$5 &gt; VLOOKUP($P416,Member_Tab,6,FALSE()),AF$5 &lt; VLOOKUP($P416,Member_Tab,7,FALSE())),1,0))</f>
        <v>0</v>
      </c>
      <c r="AG518" s="184" t="n">
        <f aca="false">IF(ISERROR(VLOOKUP($P416,Member_Tab,5,FALSE())),0,VLOOKUP($P416,Member_Tab,5,FALSE())*IF(AND(AG$5 &gt; VLOOKUP($P416,Member_Tab,6,FALSE()),AG$5 &lt; VLOOKUP($P416,Member_Tab,7,FALSE())),1,0))</f>
        <v>0</v>
      </c>
      <c r="AH518" s="184" t="n">
        <f aca="false">IF(ISERROR(VLOOKUP($P416,Member_Tab,5,FALSE())),0,VLOOKUP($P416,Member_Tab,5,FALSE())*IF(AND(AH$5 &gt; VLOOKUP($P416,Member_Tab,6,FALSE()),AH$5 &lt; VLOOKUP($P416,Member_Tab,7,FALSE())),1,0))</f>
        <v>0</v>
      </c>
      <c r="AI518" s="184" t="n">
        <f aca="false">IF(ISERROR(VLOOKUP($P416,Member_Tab,5,FALSE())),0,VLOOKUP($P416,Member_Tab,5,FALSE())*IF(AND(AI$5 &gt; VLOOKUP($P416,Member_Tab,6,FALSE()),AI$5 &lt; VLOOKUP($P416,Member_Tab,7,FALSE())),1,0))</f>
        <v>0</v>
      </c>
      <c r="AJ518" s="184" t="n">
        <f aca="false">IF(ISERROR(VLOOKUP($P416,Member_Tab,5,FALSE())),0,VLOOKUP($P416,Member_Tab,5,FALSE())*IF(AND(AJ$5 &gt; VLOOKUP($P416,Member_Tab,6,FALSE()),AJ$5 &lt; VLOOKUP($P416,Member_Tab,7,FALSE())),1,0))</f>
        <v>0</v>
      </c>
      <c r="AK518" s="184" t="n">
        <f aca="false">IF(ISERROR(VLOOKUP($P416,Member_Tab,5,FALSE())),0,VLOOKUP($P416,Member_Tab,5,FALSE())*IF(AND(AK$5 &gt; VLOOKUP($P416,Member_Tab,6,FALSE()),AK$5 &lt; VLOOKUP($P416,Member_Tab,7,FALSE())),1,0))</f>
        <v>0</v>
      </c>
      <c r="AL518" s="184" t="n">
        <f aca="false">IF(ISERROR(VLOOKUP($P416,Member_Tab,5,FALSE())),0,VLOOKUP($P416,Member_Tab,5,FALSE())*IF(AND(AL$5 &gt; VLOOKUP($P416,Member_Tab,6,FALSE()),AL$5 &lt; VLOOKUP($P416,Member_Tab,7,FALSE())),1,0))</f>
        <v>0</v>
      </c>
      <c r="AM518" s="184" t="n">
        <f aca="false">IF(ISERROR(VLOOKUP($P416,Member_Tab,5,FALSE())),0,VLOOKUP($P416,Member_Tab,5,FALSE())*IF(AND(AM$5 &gt; VLOOKUP($P416,Member_Tab,6,FALSE()),AM$5 &lt; VLOOKUP($P416,Member_Tab,7,FALSE())),1,0))</f>
        <v>0</v>
      </c>
      <c r="AN518" s="184" t="n">
        <f aca="false">IF(ISERROR(VLOOKUP($P416,Member_Tab,5,FALSE())),0,VLOOKUP($P416,Member_Tab,5,FALSE())*IF(AND(AN$5 &gt; VLOOKUP($P416,Member_Tab,6,FALSE()),AN$5 &lt; VLOOKUP($P416,Member_Tab,7,FALSE())),1,0))</f>
        <v>0</v>
      </c>
      <c r="AO518" s="184" t="n">
        <f aca="false">IF(ISERROR(VLOOKUP($P416,Member_Tab,5,FALSE())),0,VLOOKUP($P416,Member_Tab,5,FALSE())*IF(AND(AO$5 &gt; VLOOKUP($P416,Member_Tab,6,FALSE()),AO$5 &lt; VLOOKUP($P416,Member_Tab,7,FALSE())),1,0))</f>
        <v>0</v>
      </c>
      <c r="AP518" s="184" t="n">
        <f aca="false">IF(ISERROR(VLOOKUP($P416,Member_Tab,5,FALSE())),0,VLOOKUP($P416,Member_Tab,5,FALSE())*IF(AND(AP$5 &gt; VLOOKUP($P416,Member_Tab,6,FALSE()),AP$5 &lt; VLOOKUP($P416,Member_Tab,7,FALSE())),1,0))</f>
        <v>0</v>
      </c>
      <c r="AQ518" s="184" t="n">
        <f aca="false">IF(ISERROR(VLOOKUP($P416,Member_Tab,5,FALSE())),0,VLOOKUP($P416,Member_Tab,5,FALSE())*IF(AND(AQ$5 &gt; VLOOKUP($P416,Member_Tab,6,FALSE()),AQ$5 &lt; VLOOKUP($P416,Member_Tab,7,FALSE())),1,0))</f>
        <v>0</v>
      </c>
      <c r="AR518" s="184" t="n">
        <f aca="false">IF(ISERROR(VLOOKUP($P416,Member_Tab,5,FALSE())),0,VLOOKUP($P416,Member_Tab,5,FALSE())*IF(AND(AR$5 &gt; VLOOKUP($P416,Member_Tab,6,FALSE()),AR$5 &lt; VLOOKUP($P416,Member_Tab,7,FALSE())),1,0))</f>
        <v>0</v>
      </c>
      <c r="AS518" s="184" t="n">
        <f aca="false">IF(ISERROR(VLOOKUP($P416,Member_Tab,5,FALSE())),0,VLOOKUP($P416,Member_Tab,5,FALSE())*IF(AND(AS$5 &gt; VLOOKUP($P416,Member_Tab,6,FALSE()),AS$5 &lt; VLOOKUP($P416,Member_Tab,7,FALSE())),1,0))</f>
        <v>0</v>
      </c>
      <c r="AT518" s="184" t="n">
        <f aca="false">IF(ISERROR(VLOOKUP($P416,Member_Tab,5,FALSE())),0,VLOOKUP($P416,Member_Tab,5,FALSE())*IF(AND(AT$5 &gt; VLOOKUP($P416,Member_Tab,6,FALSE()),AT$5 &lt; VLOOKUP($P416,Member_Tab,7,FALSE())),1,0))</f>
        <v>0</v>
      </c>
      <c r="AU518" s="184" t="n">
        <f aca="false">IF(ISERROR(VLOOKUP($P416,Member_Tab,5,FALSE())),0,VLOOKUP($P416,Member_Tab,5,FALSE())*IF(AND(AU$5 &gt; VLOOKUP($P416,Member_Tab,6,FALSE()),AU$5 &lt; VLOOKUP($P416,Member_Tab,7,FALSE())),1,0))</f>
        <v>0</v>
      </c>
      <c r="AV518" s="184" t="n">
        <f aca="false">IF(ISERROR(VLOOKUP($P416,Member_Tab,5,FALSE())),0,VLOOKUP($P416,Member_Tab,5,FALSE())*IF(AND(AV$5 &gt; VLOOKUP($P416,Member_Tab,6,FALSE()),AV$5 &lt; VLOOKUP($P416,Member_Tab,7,FALSE())),1,0))</f>
        <v>0</v>
      </c>
      <c r="AW518" s="184" t="n">
        <f aca="false">IF(ISERROR(VLOOKUP($P416,Member_Tab,5,FALSE())),0,VLOOKUP($P416,Member_Tab,5,FALSE())*IF(AND(AW$5 &gt; VLOOKUP($P416,Member_Tab,6,FALSE()),AW$5 &lt; VLOOKUP($P416,Member_Tab,7,FALSE())),1,0))</f>
        <v>0</v>
      </c>
      <c r="AX518" s="184" t="n">
        <f aca="false">IF(ISERROR(VLOOKUP($P416,Member_Tab,5,FALSE())),0,VLOOKUP($P416,Member_Tab,5,FALSE())*IF(AND(AX$5 &gt; VLOOKUP($P416,Member_Tab,6,FALSE()),AX$5 &lt; VLOOKUP($P416,Member_Tab,7,FALSE())),1,0))</f>
        <v>0</v>
      </c>
      <c r="AY518" s="184" t="n">
        <f aca="false">IF(ISERROR(VLOOKUP($P416,Member_Tab,5,FALSE())),0,VLOOKUP($P416,Member_Tab,5,FALSE())*IF(AND(AY$5 &gt; VLOOKUP($P416,Member_Tab,6,FALSE()),AY$5 &lt; VLOOKUP($P416,Member_Tab,7,FALSE())),1,0))</f>
        <v>0</v>
      </c>
      <c r="AZ518" s="184" t="n">
        <f aca="false">IF(ISERROR(VLOOKUP($P416,Member_Tab,5,FALSE())),0,VLOOKUP($P416,Member_Tab,5,FALSE())*IF(AND(AZ$5 &gt; VLOOKUP($P416,Member_Tab,6,FALSE()),AZ$5 &lt; VLOOKUP($P416,Member_Tab,7,FALSE())),1,0))</f>
        <v>0</v>
      </c>
      <c r="BA518" s="184" t="n">
        <f aca="false">IF(ISERROR(VLOOKUP($P416,Member_Tab,5,FALSE())),0,VLOOKUP($P416,Member_Tab,5,FALSE())*IF(AND(BA$5 &gt; VLOOKUP($P416,Member_Tab,6,FALSE()),BA$5 &lt; VLOOKUP($P416,Member_Tab,7,FALSE())),1,0))</f>
        <v>0</v>
      </c>
      <c r="BB518" s="184" t="n">
        <f aca="false">IF(ISERROR(VLOOKUP($P416,Member_Tab,5,FALSE())),0,VLOOKUP($P416,Member_Tab,5,FALSE())*IF(AND(BB$5 &gt; VLOOKUP($P416,Member_Tab,6,FALSE()),BB$5 &lt; VLOOKUP($P416,Member_Tab,7,FALSE())),1,0))</f>
        <v>0</v>
      </c>
    </row>
    <row r="519" s="173" customFormat="true" ht="15.75" hidden="true" customHeight="false" outlineLevel="1" collapsed="false">
      <c r="E519" s="40"/>
      <c r="K519" s="40"/>
      <c r="L519" s="40"/>
      <c r="M519" s="40"/>
      <c r="N519" s="40"/>
      <c r="P519" s="183" t="n">
        <f aca="false">P417</f>
        <v>0</v>
      </c>
      <c r="Q519" s="40"/>
      <c r="R519" s="182"/>
      <c r="S519" s="184" t="n">
        <f aca="false">IF(ISERROR(VLOOKUP($P417,Member_Tab,5,FALSE())),0,VLOOKUP($P417,Member_Tab,5,FALSE())*IF(AND(S$5 &gt; VLOOKUP($P417,Member_Tab,6,FALSE()),S$5 &lt; VLOOKUP($P417,Member_Tab,7,FALSE())),1,0))</f>
        <v>0</v>
      </c>
      <c r="T519" s="184" t="n">
        <f aca="false">IF(ISERROR(VLOOKUP($P417,Member_Tab,5,FALSE())),0,VLOOKUP($P417,Member_Tab,5,FALSE())*IF(AND(T$5 &gt; VLOOKUP($P417,Member_Tab,6,FALSE()),T$5 &lt; VLOOKUP($P417,Member_Tab,7,FALSE())),1,0))</f>
        <v>0</v>
      </c>
      <c r="U519" s="184" t="n">
        <f aca="false">IF(ISERROR(VLOOKUP($P417,Member_Tab,5,FALSE())),0,VLOOKUP($P417,Member_Tab,5,FALSE())*IF(AND(U$5 &gt; VLOOKUP($P417,Member_Tab,6,FALSE()),U$5 &lt; VLOOKUP($P417,Member_Tab,7,FALSE())),1,0))</f>
        <v>0</v>
      </c>
      <c r="V519" s="184" t="n">
        <f aca="false">IF(ISERROR(VLOOKUP($P417,Member_Tab,5,FALSE())),0,VLOOKUP($P417,Member_Tab,5,FALSE())*IF(AND(V$5 &gt; VLOOKUP($P417,Member_Tab,6,FALSE()),V$5 &lt; VLOOKUP($P417,Member_Tab,7,FALSE())),1,0))</f>
        <v>0</v>
      </c>
      <c r="W519" s="184" t="n">
        <f aca="false">IF(ISERROR(VLOOKUP($P417,Member_Tab,5,FALSE())),0,VLOOKUP($P417,Member_Tab,5,FALSE())*IF(AND(W$5 &gt; VLOOKUP($P417,Member_Tab,6,FALSE()),W$5 &lt; VLOOKUP($P417,Member_Tab,7,FALSE())),1,0))</f>
        <v>0</v>
      </c>
      <c r="X519" s="184" t="n">
        <f aca="false">IF(ISERROR(VLOOKUP($P417,Member_Tab,5,FALSE())),0,VLOOKUP($P417,Member_Tab,5,FALSE())*IF(AND(X$5 &gt; VLOOKUP($P417,Member_Tab,6,FALSE()),X$5 &lt; VLOOKUP($P417,Member_Tab,7,FALSE())),1,0))</f>
        <v>0</v>
      </c>
      <c r="Y519" s="184" t="n">
        <f aca="false">IF(ISERROR(VLOOKUP($P417,Member_Tab,5,FALSE())),0,VLOOKUP($P417,Member_Tab,5,FALSE())*IF(AND(Y$5 &gt; VLOOKUP($P417,Member_Tab,6,FALSE()),Y$5 &lt; VLOOKUP($P417,Member_Tab,7,FALSE())),1,0))</f>
        <v>0</v>
      </c>
      <c r="Z519" s="184" t="n">
        <f aca="false">IF(ISERROR(VLOOKUP($P417,Member_Tab,5,FALSE())),0,VLOOKUP($P417,Member_Tab,5,FALSE())*IF(AND(Z$5 &gt; VLOOKUP($P417,Member_Tab,6,FALSE()),Z$5 &lt; VLOOKUP($P417,Member_Tab,7,FALSE())),1,0))</f>
        <v>0</v>
      </c>
      <c r="AA519" s="184" t="n">
        <f aca="false">IF(ISERROR(VLOOKUP($P417,Member_Tab,5,FALSE())),0,VLOOKUP($P417,Member_Tab,5,FALSE())*IF(AND(AA$5 &gt; VLOOKUP($P417,Member_Tab,6,FALSE()),AA$5 &lt; VLOOKUP($P417,Member_Tab,7,FALSE())),1,0))</f>
        <v>0</v>
      </c>
      <c r="AB519" s="184" t="n">
        <f aca="false">IF(ISERROR(VLOOKUP($P417,Member_Tab,5,FALSE())),0,VLOOKUP($P417,Member_Tab,5,FALSE())*IF(AND(AB$5 &gt; VLOOKUP($P417,Member_Tab,6,FALSE()),AB$5 &lt; VLOOKUP($P417,Member_Tab,7,FALSE())),1,0))</f>
        <v>0</v>
      </c>
      <c r="AC519" s="184" t="n">
        <f aca="false">IF(ISERROR(VLOOKUP($P417,Member_Tab,5,FALSE())),0,VLOOKUP($P417,Member_Tab,5,FALSE())*IF(AND(AC$5 &gt; VLOOKUP($P417,Member_Tab,6,FALSE()),AC$5 &lt; VLOOKUP($P417,Member_Tab,7,FALSE())),1,0))</f>
        <v>0</v>
      </c>
      <c r="AD519" s="184" t="n">
        <f aca="false">IF(ISERROR(VLOOKUP($P417,Member_Tab,5,FALSE())),0,VLOOKUP($P417,Member_Tab,5,FALSE())*IF(AND(AD$5 &gt; VLOOKUP($P417,Member_Tab,6,FALSE()),AD$5 &lt; VLOOKUP($P417,Member_Tab,7,FALSE())),1,0))</f>
        <v>0</v>
      </c>
      <c r="AE519" s="184" t="n">
        <f aca="false">IF(ISERROR(VLOOKUP($P417,Member_Tab,5,FALSE())),0,VLOOKUP($P417,Member_Tab,5,FALSE())*IF(AND(AE$5 &gt; VLOOKUP($P417,Member_Tab,6,FALSE()),AE$5 &lt; VLOOKUP($P417,Member_Tab,7,FALSE())),1,0))</f>
        <v>0</v>
      </c>
      <c r="AF519" s="184" t="n">
        <f aca="false">IF(ISERROR(VLOOKUP($P417,Member_Tab,5,FALSE())),0,VLOOKUP($P417,Member_Tab,5,FALSE())*IF(AND(AF$5 &gt; VLOOKUP($P417,Member_Tab,6,FALSE()),AF$5 &lt; VLOOKUP($P417,Member_Tab,7,FALSE())),1,0))</f>
        <v>0</v>
      </c>
      <c r="AG519" s="184" t="n">
        <f aca="false">IF(ISERROR(VLOOKUP($P417,Member_Tab,5,FALSE())),0,VLOOKUP($P417,Member_Tab,5,FALSE())*IF(AND(AG$5 &gt; VLOOKUP($P417,Member_Tab,6,FALSE()),AG$5 &lt; VLOOKUP($P417,Member_Tab,7,FALSE())),1,0))</f>
        <v>0</v>
      </c>
      <c r="AH519" s="184" t="n">
        <f aca="false">IF(ISERROR(VLOOKUP($P417,Member_Tab,5,FALSE())),0,VLOOKUP($P417,Member_Tab,5,FALSE())*IF(AND(AH$5 &gt; VLOOKUP($P417,Member_Tab,6,FALSE()),AH$5 &lt; VLOOKUP($P417,Member_Tab,7,FALSE())),1,0))</f>
        <v>0</v>
      </c>
      <c r="AI519" s="184" t="n">
        <f aca="false">IF(ISERROR(VLOOKUP($P417,Member_Tab,5,FALSE())),0,VLOOKUP($P417,Member_Tab,5,FALSE())*IF(AND(AI$5 &gt; VLOOKUP($P417,Member_Tab,6,FALSE()),AI$5 &lt; VLOOKUP($P417,Member_Tab,7,FALSE())),1,0))</f>
        <v>0</v>
      </c>
      <c r="AJ519" s="184" t="n">
        <f aca="false">IF(ISERROR(VLOOKUP($P417,Member_Tab,5,FALSE())),0,VLOOKUP($P417,Member_Tab,5,FALSE())*IF(AND(AJ$5 &gt; VLOOKUP($P417,Member_Tab,6,FALSE()),AJ$5 &lt; VLOOKUP($P417,Member_Tab,7,FALSE())),1,0))</f>
        <v>0</v>
      </c>
      <c r="AK519" s="184" t="n">
        <f aca="false">IF(ISERROR(VLOOKUP($P417,Member_Tab,5,FALSE())),0,VLOOKUP($P417,Member_Tab,5,FALSE())*IF(AND(AK$5 &gt; VLOOKUP($P417,Member_Tab,6,FALSE()),AK$5 &lt; VLOOKUP($P417,Member_Tab,7,FALSE())),1,0))</f>
        <v>0</v>
      </c>
      <c r="AL519" s="184" t="n">
        <f aca="false">IF(ISERROR(VLOOKUP($P417,Member_Tab,5,FALSE())),0,VLOOKUP($P417,Member_Tab,5,FALSE())*IF(AND(AL$5 &gt; VLOOKUP($P417,Member_Tab,6,FALSE()),AL$5 &lt; VLOOKUP($P417,Member_Tab,7,FALSE())),1,0))</f>
        <v>0</v>
      </c>
      <c r="AM519" s="184" t="n">
        <f aca="false">IF(ISERROR(VLOOKUP($P417,Member_Tab,5,FALSE())),0,VLOOKUP($P417,Member_Tab,5,FALSE())*IF(AND(AM$5 &gt; VLOOKUP($P417,Member_Tab,6,FALSE()),AM$5 &lt; VLOOKUP($P417,Member_Tab,7,FALSE())),1,0))</f>
        <v>0</v>
      </c>
      <c r="AN519" s="184" t="n">
        <f aca="false">IF(ISERROR(VLOOKUP($P417,Member_Tab,5,FALSE())),0,VLOOKUP($P417,Member_Tab,5,FALSE())*IF(AND(AN$5 &gt; VLOOKUP($P417,Member_Tab,6,FALSE()),AN$5 &lt; VLOOKUP($P417,Member_Tab,7,FALSE())),1,0))</f>
        <v>0</v>
      </c>
      <c r="AO519" s="184" t="n">
        <f aca="false">IF(ISERROR(VLOOKUP($P417,Member_Tab,5,FALSE())),0,VLOOKUP($P417,Member_Tab,5,FALSE())*IF(AND(AO$5 &gt; VLOOKUP($P417,Member_Tab,6,FALSE()),AO$5 &lt; VLOOKUP($P417,Member_Tab,7,FALSE())),1,0))</f>
        <v>0</v>
      </c>
      <c r="AP519" s="184" t="n">
        <f aca="false">IF(ISERROR(VLOOKUP($P417,Member_Tab,5,FALSE())),0,VLOOKUP($P417,Member_Tab,5,FALSE())*IF(AND(AP$5 &gt; VLOOKUP($P417,Member_Tab,6,FALSE()),AP$5 &lt; VLOOKUP($P417,Member_Tab,7,FALSE())),1,0))</f>
        <v>0</v>
      </c>
      <c r="AQ519" s="184" t="n">
        <f aca="false">IF(ISERROR(VLOOKUP($P417,Member_Tab,5,FALSE())),0,VLOOKUP($P417,Member_Tab,5,FALSE())*IF(AND(AQ$5 &gt; VLOOKUP($P417,Member_Tab,6,FALSE()),AQ$5 &lt; VLOOKUP($P417,Member_Tab,7,FALSE())),1,0))</f>
        <v>0</v>
      </c>
      <c r="AR519" s="184" t="n">
        <f aca="false">IF(ISERROR(VLOOKUP($P417,Member_Tab,5,FALSE())),0,VLOOKUP($P417,Member_Tab,5,FALSE())*IF(AND(AR$5 &gt; VLOOKUP($P417,Member_Tab,6,FALSE()),AR$5 &lt; VLOOKUP($P417,Member_Tab,7,FALSE())),1,0))</f>
        <v>0</v>
      </c>
      <c r="AS519" s="184" t="n">
        <f aca="false">IF(ISERROR(VLOOKUP($P417,Member_Tab,5,FALSE())),0,VLOOKUP($P417,Member_Tab,5,FALSE())*IF(AND(AS$5 &gt; VLOOKUP($P417,Member_Tab,6,FALSE()),AS$5 &lt; VLOOKUP($P417,Member_Tab,7,FALSE())),1,0))</f>
        <v>0</v>
      </c>
      <c r="AT519" s="184" t="n">
        <f aca="false">IF(ISERROR(VLOOKUP($P417,Member_Tab,5,FALSE())),0,VLOOKUP($P417,Member_Tab,5,FALSE())*IF(AND(AT$5 &gt; VLOOKUP($P417,Member_Tab,6,FALSE()),AT$5 &lt; VLOOKUP($P417,Member_Tab,7,FALSE())),1,0))</f>
        <v>0</v>
      </c>
      <c r="AU519" s="184" t="n">
        <f aca="false">IF(ISERROR(VLOOKUP($P417,Member_Tab,5,FALSE())),0,VLOOKUP($P417,Member_Tab,5,FALSE())*IF(AND(AU$5 &gt; VLOOKUP($P417,Member_Tab,6,FALSE()),AU$5 &lt; VLOOKUP($P417,Member_Tab,7,FALSE())),1,0))</f>
        <v>0</v>
      </c>
      <c r="AV519" s="184" t="n">
        <f aca="false">IF(ISERROR(VLOOKUP($P417,Member_Tab,5,FALSE())),0,VLOOKUP($P417,Member_Tab,5,FALSE())*IF(AND(AV$5 &gt; VLOOKUP($P417,Member_Tab,6,FALSE()),AV$5 &lt; VLOOKUP($P417,Member_Tab,7,FALSE())),1,0))</f>
        <v>0</v>
      </c>
      <c r="AW519" s="184" t="n">
        <f aca="false">IF(ISERROR(VLOOKUP($P417,Member_Tab,5,FALSE())),0,VLOOKUP($P417,Member_Tab,5,FALSE())*IF(AND(AW$5 &gt; VLOOKUP($P417,Member_Tab,6,FALSE()),AW$5 &lt; VLOOKUP($P417,Member_Tab,7,FALSE())),1,0))</f>
        <v>0</v>
      </c>
      <c r="AX519" s="184" t="n">
        <f aca="false">IF(ISERROR(VLOOKUP($P417,Member_Tab,5,FALSE())),0,VLOOKUP($P417,Member_Tab,5,FALSE())*IF(AND(AX$5 &gt; VLOOKUP($P417,Member_Tab,6,FALSE()),AX$5 &lt; VLOOKUP($P417,Member_Tab,7,FALSE())),1,0))</f>
        <v>0</v>
      </c>
      <c r="AY519" s="184" t="n">
        <f aca="false">IF(ISERROR(VLOOKUP($P417,Member_Tab,5,FALSE())),0,VLOOKUP($P417,Member_Tab,5,FALSE())*IF(AND(AY$5 &gt; VLOOKUP($P417,Member_Tab,6,FALSE()),AY$5 &lt; VLOOKUP($P417,Member_Tab,7,FALSE())),1,0))</f>
        <v>0</v>
      </c>
      <c r="AZ519" s="184" t="n">
        <f aca="false">IF(ISERROR(VLOOKUP($P417,Member_Tab,5,FALSE())),0,VLOOKUP($P417,Member_Tab,5,FALSE())*IF(AND(AZ$5 &gt; VLOOKUP($P417,Member_Tab,6,FALSE()),AZ$5 &lt; VLOOKUP($P417,Member_Tab,7,FALSE())),1,0))</f>
        <v>0</v>
      </c>
      <c r="BA519" s="184" t="n">
        <f aca="false">IF(ISERROR(VLOOKUP($P417,Member_Tab,5,FALSE())),0,VLOOKUP($P417,Member_Tab,5,FALSE())*IF(AND(BA$5 &gt; VLOOKUP($P417,Member_Tab,6,FALSE()),BA$5 &lt; VLOOKUP($P417,Member_Tab,7,FALSE())),1,0))</f>
        <v>0</v>
      </c>
      <c r="BB519" s="184" t="n">
        <f aca="false">IF(ISERROR(VLOOKUP($P417,Member_Tab,5,FALSE())),0,VLOOKUP($P417,Member_Tab,5,FALSE())*IF(AND(BB$5 &gt; VLOOKUP($P417,Member_Tab,6,FALSE()),BB$5 &lt; VLOOKUP($P417,Member_Tab,7,FALSE())),1,0))</f>
        <v>0</v>
      </c>
    </row>
    <row r="520" s="173" customFormat="true" ht="15.75" hidden="true" customHeight="false" outlineLevel="1" collapsed="false">
      <c r="E520" s="40"/>
      <c r="K520" s="40"/>
      <c r="L520" s="40"/>
      <c r="M520" s="40"/>
      <c r="N520" s="40"/>
      <c r="P520" s="183" t="n">
        <f aca="false">P418</f>
        <v>0</v>
      </c>
      <c r="Q520" s="40"/>
      <c r="R520" s="182"/>
      <c r="S520" s="184" t="n">
        <f aca="false">IF(ISERROR(VLOOKUP($P418,Member_Tab,5,FALSE())),0,VLOOKUP($P418,Member_Tab,5,FALSE())*IF(AND(S$5 &gt; VLOOKUP($P418,Member_Tab,6,FALSE()),S$5 &lt; VLOOKUP($P418,Member_Tab,7,FALSE())),1,0))</f>
        <v>0</v>
      </c>
      <c r="T520" s="184" t="n">
        <f aca="false">IF(ISERROR(VLOOKUP($P418,Member_Tab,5,FALSE())),0,VLOOKUP($P418,Member_Tab,5,FALSE())*IF(AND(T$5 &gt; VLOOKUP($P418,Member_Tab,6,FALSE()),T$5 &lt; VLOOKUP($P418,Member_Tab,7,FALSE())),1,0))</f>
        <v>0</v>
      </c>
      <c r="U520" s="184" t="n">
        <f aca="false">IF(ISERROR(VLOOKUP($P418,Member_Tab,5,FALSE())),0,VLOOKUP($P418,Member_Tab,5,FALSE())*IF(AND(U$5 &gt; VLOOKUP($P418,Member_Tab,6,FALSE()),U$5 &lt; VLOOKUP($P418,Member_Tab,7,FALSE())),1,0))</f>
        <v>0</v>
      </c>
      <c r="V520" s="184" t="n">
        <f aca="false">IF(ISERROR(VLOOKUP($P418,Member_Tab,5,FALSE())),0,VLOOKUP($P418,Member_Tab,5,FALSE())*IF(AND(V$5 &gt; VLOOKUP($P418,Member_Tab,6,FALSE()),V$5 &lt; VLOOKUP($P418,Member_Tab,7,FALSE())),1,0))</f>
        <v>0</v>
      </c>
      <c r="W520" s="184" t="n">
        <f aca="false">IF(ISERROR(VLOOKUP($P418,Member_Tab,5,FALSE())),0,VLOOKUP($P418,Member_Tab,5,FALSE())*IF(AND(W$5 &gt; VLOOKUP($P418,Member_Tab,6,FALSE()),W$5 &lt; VLOOKUP($P418,Member_Tab,7,FALSE())),1,0))</f>
        <v>0</v>
      </c>
      <c r="X520" s="184" t="n">
        <f aca="false">IF(ISERROR(VLOOKUP($P418,Member_Tab,5,FALSE())),0,VLOOKUP($P418,Member_Tab,5,FALSE())*IF(AND(X$5 &gt; VLOOKUP($P418,Member_Tab,6,FALSE()),X$5 &lt; VLOOKUP($P418,Member_Tab,7,FALSE())),1,0))</f>
        <v>0</v>
      </c>
      <c r="Y520" s="184" t="n">
        <f aca="false">IF(ISERROR(VLOOKUP($P418,Member_Tab,5,FALSE())),0,VLOOKUP($P418,Member_Tab,5,FALSE())*IF(AND(Y$5 &gt; VLOOKUP($P418,Member_Tab,6,FALSE()),Y$5 &lt; VLOOKUP($P418,Member_Tab,7,FALSE())),1,0))</f>
        <v>0</v>
      </c>
      <c r="Z520" s="184" t="n">
        <f aca="false">IF(ISERROR(VLOOKUP($P418,Member_Tab,5,FALSE())),0,VLOOKUP($P418,Member_Tab,5,FALSE())*IF(AND(Z$5 &gt; VLOOKUP($P418,Member_Tab,6,FALSE()),Z$5 &lt; VLOOKUP($P418,Member_Tab,7,FALSE())),1,0))</f>
        <v>0</v>
      </c>
      <c r="AA520" s="184" t="n">
        <f aca="false">IF(ISERROR(VLOOKUP($P418,Member_Tab,5,FALSE())),0,VLOOKUP($P418,Member_Tab,5,FALSE())*IF(AND(AA$5 &gt; VLOOKUP($P418,Member_Tab,6,FALSE()),AA$5 &lt; VLOOKUP($P418,Member_Tab,7,FALSE())),1,0))</f>
        <v>0</v>
      </c>
      <c r="AB520" s="184" t="n">
        <f aca="false">IF(ISERROR(VLOOKUP($P418,Member_Tab,5,FALSE())),0,VLOOKUP($P418,Member_Tab,5,FALSE())*IF(AND(AB$5 &gt; VLOOKUP($P418,Member_Tab,6,FALSE()),AB$5 &lt; VLOOKUP($P418,Member_Tab,7,FALSE())),1,0))</f>
        <v>0</v>
      </c>
      <c r="AC520" s="184" t="n">
        <f aca="false">IF(ISERROR(VLOOKUP($P418,Member_Tab,5,FALSE())),0,VLOOKUP($P418,Member_Tab,5,FALSE())*IF(AND(AC$5 &gt; VLOOKUP($P418,Member_Tab,6,FALSE()),AC$5 &lt; VLOOKUP($P418,Member_Tab,7,FALSE())),1,0))</f>
        <v>0</v>
      </c>
      <c r="AD520" s="184" t="n">
        <f aca="false">IF(ISERROR(VLOOKUP($P418,Member_Tab,5,FALSE())),0,VLOOKUP($P418,Member_Tab,5,FALSE())*IF(AND(AD$5 &gt; VLOOKUP($P418,Member_Tab,6,FALSE()),AD$5 &lt; VLOOKUP($P418,Member_Tab,7,FALSE())),1,0))</f>
        <v>0</v>
      </c>
      <c r="AE520" s="184" t="n">
        <f aca="false">IF(ISERROR(VLOOKUP($P418,Member_Tab,5,FALSE())),0,VLOOKUP($P418,Member_Tab,5,FALSE())*IF(AND(AE$5 &gt; VLOOKUP($P418,Member_Tab,6,FALSE()),AE$5 &lt; VLOOKUP($P418,Member_Tab,7,FALSE())),1,0))</f>
        <v>0</v>
      </c>
      <c r="AF520" s="184" t="n">
        <f aca="false">IF(ISERROR(VLOOKUP($P418,Member_Tab,5,FALSE())),0,VLOOKUP($P418,Member_Tab,5,FALSE())*IF(AND(AF$5 &gt; VLOOKUP($P418,Member_Tab,6,FALSE()),AF$5 &lt; VLOOKUP($P418,Member_Tab,7,FALSE())),1,0))</f>
        <v>0</v>
      </c>
      <c r="AG520" s="184" t="n">
        <f aca="false">IF(ISERROR(VLOOKUP($P418,Member_Tab,5,FALSE())),0,VLOOKUP($P418,Member_Tab,5,FALSE())*IF(AND(AG$5 &gt; VLOOKUP($P418,Member_Tab,6,FALSE()),AG$5 &lt; VLOOKUP($P418,Member_Tab,7,FALSE())),1,0))</f>
        <v>0</v>
      </c>
      <c r="AH520" s="184" t="n">
        <f aca="false">IF(ISERROR(VLOOKUP($P418,Member_Tab,5,FALSE())),0,VLOOKUP($P418,Member_Tab,5,FALSE())*IF(AND(AH$5 &gt; VLOOKUP($P418,Member_Tab,6,FALSE()),AH$5 &lt; VLOOKUP($P418,Member_Tab,7,FALSE())),1,0))</f>
        <v>0</v>
      </c>
      <c r="AI520" s="184" t="n">
        <f aca="false">IF(ISERROR(VLOOKUP($P418,Member_Tab,5,FALSE())),0,VLOOKUP($P418,Member_Tab,5,FALSE())*IF(AND(AI$5 &gt; VLOOKUP($P418,Member_Tab,6,FALSE()),AI$5 &lt; VLOOKUP($P418,Member_Tab,7,FALSE())),1,0))</f>
        <v>0</v>
      </c>
      <c r="AJ520" s="184" t="n">
        <f aca="false">IF(ISERROR(VLOOKUP($P418,Member_Tab,5,FALSE())),0,VLOOKUP($P418,Member_Tab,5,FALSE())*IF(AND(AJ$5 &gt; VLOOKUP($P418,Member_Tab,6,FALSE()),AJ$5 &lt; VLOOKUP($P418,Member_Tab,7,FALSE())),1,0))</f>
        <v>0</v>
      </c>
      <c r="AK520" s="184" t="n">
        <f aca="false">IF(ISERROR(VLOOKUP($P418,Member_Tab,5,FALSE())),0,VLOOKUP($P418,Member_Tab,5,FALSE())*IF(AND(AK$5 &gt; VLOOKUP($P418,Member_Tab,6,FALSE()),AK$5 &lt; VLOOKUP($P418,Member_Tab,7,FALSE())),1,0))</f>
        <v>0</v>
      </c>
      <c r="AL520" s="184" t="n">
        <f aca="false">IF(ISERROR(VLOOKUP($P418,Member_Tab,5,FALSE())),0,VLOOKUP($P418,Member_Tab,5,FALSE())*IF(AND(AL$5 &gt; VLOOKUP($P418,Member_Tab,6,FALSE()),AL$5 &lt; VLOOKUP($P418,Member_Tab,7,FALSE())),1,0))</f>
        <v>0</v>
      </c>
      <c r="AM520" s="184" t="n">
        <f aca="false">IF(ISERROR(VLOOKUP($P418,Member_Tab,5,FALSE())),0,VLOOKUP($P418,Member_Tab,5,FALSE())*IF(AND(AM$5 &gt; VLOOKUP($P418,Member_Tab,6,FALSE()),AM$5 &lt; VLOOKUP($P418,Member_Tab,7,FALSE())),1,0))</f>
        <v>0</v>
      </c>
      <c r="AN520" s="184" t="n">
        <f aca="false">IF(ISERROR(VLOOKUP($P418,Member_Tab,5,FALSE())),0,VLOOKUP($P418,Member_Tab,5,FALSE())*IF(AND(AN$5 &gt; VLOOKUP($P418,Member_Tab,6,FALSE()),AN$5 &lt; VLOOKUP($P418,Member_Tab,7,FALSE())),1,0))</f>
        <v>0</v>
      </c>
      <c r="AO520" s="184" t="n">
        <f aca="false">IF(ISERROR(VLOOKUP($P418,Member_Tab,5,FALSE())),0,VLOOKUP($P418,Member_Tab,5,FALSE())*IF(AND(AO$5 &gt; VLOOKUP($P418,Member_Tab,6,FALSE()),AO$5 &lt; VLOOKUP($P418,Member_Tab,7,FALSE())),1,0))</f>
        <v>0</v>
      </c>
      <c r="AP520" s="184" t="n">
        <f aca="false">IF(ISERROR(VLOOKUP($P418,Member_Tab,5,FALSE())),0,VLOOKUP($P418,Member_Tab,5,FALSE())*IF(AND(AP$5 &gt; VLOOKUP($P418,Member_Tab,6,FALSE()),AP$5 &lt; VLOOKUP($P418,Member_Tab,7,FALSE())),1,0))</f>
        <v>0</v>
      </c>
      <c r="AQ520" s="184" t="n">
        <f aca="false">IF(ISERROR(VLOOKUP($P418,Member_Tab,5,FALSE())),0,VLOOKUP($P418,Member_Tab,5,FALSE())*IF(AND(AQ$5 &gt; VLOOKUP($P418,Member_Tab,6,FALSE()),AQ$5 &lt; VLOOKUP($P418,Member_Tab,7,FALSE())),1,0))</f>
        <v>0</v>
      </c>
      <c r="AR520" s="184" t="n">
        <f aca="false">IF(ISERROR(VLOOKUP($P418,Member_Tab,5,FALSE())),0,VLOOKUP($P418,Member_Tab,5,FALSE())*IF(AND(AR$5 &gt; VLOOKUP($P418,Member_Tab,6,FALSE()),AR$5 &lt; VLOOKUP($P418,Member_Tab,7,FALSE())),1,0))</f>
        <v>0</v>
      </c>
      <c r="AS520" s="184" t="n">
        <f aca="false">IF(ISERROR(VLOOKUP($P418,Member_Tab,5,FALSE())),0,VLOOKUP($P418,Member_Tab,5,FALSE())*IF(AND(AS$5 &gt; VLOOKUP($P418,Member_Tab,6,FALSE()),AS$5 &lt; VLOOKUP($P418,Member_Tab,7,FALSE())),1,0))</f>
        <v>0</v>
      </c>
      <c r="AT520" s="184" t="n">
        <f aca="false">IF(ISERROR(VLOOKUP($P418,Member_Tab,5,FALSE())),0,VLOOKUP($P418,Member_Tab,5,FALSE())*IF(AND(AT$5 &gt; VLOOKUP($P418,Member_Tab,6,FALSE()),AT$5 &lt; VLOOKUP($P418,Member_Tab,7,FALSE())),1,0))</f>
        <v>0</v>
      </c>
      <c r="AU520" s="184" t="n">
        <f aca="false">IF(ISERROR(VLOOKUP($P418,Member_Tab,5,FALSE())),0,VLOOKUP($P418,Member_Tab,5,FALSE())*IF(AND(AU$5 &gt; VLOOKUP($P418,Member_Tab,6,FALSE()),AU$5 &lt; VLOOKUP($P418,Member_Tab,7,FALSE())),1,0))</f>
        <v>0</v>
      </c>
      <c r="AV520" s="184" t="n">
        <f aca="false">IF(ISERROR(VLOOKUP($P418,Member_Tab,5,FALSE())),0,VLOOKUP($P418,Member_Tab,5,FALSE())*IF(AND(AV$5 &gt; VLOOKUP($P418,Member_Tab,6,FALSE()),AV$5 &lt; VLOOKUP($P418,Member_Tab,7,FALSE())),1,0))</f>
        <v>0</v>
      </c>
      <c r="AW520" s="184" t="n">
        <f aca="false">IF(ISERROR(VLOOKUP($P418,Member_Tab,5,FALSE())),0,VLOOKUP($P418,Member_Tab,5,FALSE())*IF(AND(AW$5 &gt; VLOOKUP($P418,Member_Tab,6,FALSE()),AW$5 &lt; VLOOKUP($P418,Member_Tab,7,FALSE())),1,0))</f>
        <v>0</v>
      </c>
      <c r="AX520" s="184" t="n">
        <f aca="false">IF(ISERROR(VLOOKUP($P418,Member_Tab,5,FALSE())),0,VLOOKUP($P418,Member_Tab,5,FALSE())*IF(AND(AX$5 &gt; VLOOKUP($P418,Member_Tab,6,FALSE()),AX$5 &lt; VLOOKUP($P418,Member_Tab,7,FALSE())),1,0))</f>
        <v>0</v>
      </c>
      <c r="AY520" s="184" t="n">
        <f aca="false">IF(ISERROR(VLOOKUP($P418,Member_Tab,5,FALSE())),0,VLOOKUP($P418,Member_Tab,5,FALSE())*IF(AND(AY$5 &gt; VLOOKUP($P418,Member_Tab,6,FALSE()),AY$5 &lt; VLOOKUP($P418,Member_Tab,7,FALSE())),1,0))</f>
        <v>0</v>
      </c>
      <c r="AZ520" s="184" t="n">
        <f aca="false">IF(ISERROR(VLOOKUP($P418,Member_Tab,5,FALSE())),0,VLOOKUP($P418,Member_Tab,5,FALSE())*IF(AND(AZ$5 &gt; VLOOKUP($P418,Member_Tab,6,FALSE()),AZ$5 &lt; VLOOKUP($P418,Member_Tab,7,FALSE())),1,0))</f>
        <v>0</v>
      </c>
      <c r="BA520" s="184" t="n">
        <f aca="false">IF(ISERROR(VLOOKUP($P418,Member_Tab,5,FALSE())),0,VLOOKUP($P418,Member_Tab,5,FALSE())*IF(AND(BA$5 &gt; VLOOKUP($P418,Member_Tab,6,FALSE()),BA$5 &lt; VLOOKUP($P418,Member_Tab,7,FALSE())),1,0))</f>
        <v>0</v>
      </c>
      <c r="BB520" s="184" t="n">
        <f aca="false">IF(ISERROR(VLOOKUP($P418,Member_Tab,5,FALSE())),0,VLOOKUP($P418,Member_Tab,5,FALSE())*IF(AND(BB$5 &gt; VLOOKUP($P418,Member_Tab,6,FALSE()),BB$5 &lt; VLOOKUP($P418,Member_Tab,7,FALSE())),1,0))</f>
        <v>0</v>
      </c>
    </row>
    <row r="521" s="173" customFormat="true" ht="15.75" hidden="true" customHeight="false" outlineLevel="1" collapsed="false">
      <c r="E521" s="40"/>
      <c r="K521" s="40"/>
      <c r="L521" s="40"/>
      <c r="M521" s="40"/>
      <c r="N521" s="40"/>
      <c r="P521" s="183" t="n">
        <f aca="false">P419</f>
        <v>0</v>
      </c>
      <c r="Q521" s="40"/>
      <c r="R521" s="182"/>
      <c r="S521" s="184" t="n">
        <f aca="false">IF(ISERROR(VLOOKUP($P419,Member_Tab,5,FALSE())),0,VLOOKUP($P419,Member_Tab,5,FALSE())*IF(AND(S$5 &gt; VLOOKUP($P419,Member_Tab,6,FALSE()),S$5 &lt; VLOOKUP($P419,Member_Tab,7,FALSE())),1,0))</f>
        <v>0</v>
      </c>
      <c r="T521" s="184" t="n">
        <f aca="false">IF(ISERROR(VLOOKUP($P419,Member_Tab,5,FALSE())),0,VLOOKUP($P419,Member_Tab,5,FALSE())*IF(AND(T$5 &gt; VLOOKUP($P419,Member_Tab,6,FALSE()),T$5 &lt; VLOOKUP($P419,Member_Tab,7,FALSE())),1,0))</f>
        <v>0</v>
      </c>
      <c r="U521" s="184" t="n">
        <f aca="false">IF(ISERROR(VLOOKUP($P419,Member_Tab,5,FALSE())),0,VLOOKUP($P419,Member_Tab,5,FALSE())*IF(AND(U$5 &gt; VLOOKUP($P419,Member_Tab,6,FALSE()),U$5 &lt; VLOOKUP($P419,Member_Tab,7,FALSE())),1,0))</f>
        <v>0</v>
      </c>
      <c r="V521" s="184" t="n">
        <f aca="false">IF(ISERROR(VLOOKUP($P419,Member_Tab,5,FALSE())),0,VLOOKUP($P419,Member_Tab,5,FALSE())*IF(AND(V$5 &gt; VLOOKUP($P419,Member_Tab,6,FALSE()),V$5 &lt; VLOOKUP($P419,Member_Tab,7,FALSE())),1,0))</f>
        <v>0</v>
      </c>
      <c r="W521" s="184" t="n">
        <f aca="false">IF(ISERROR(VLOOKUP($P419,Member_Tab,5,FALSE())),0,VLOOKUP($P419,Member_Tab,5,FALSE())*IF(AND(W$5 &gt; VLOOKUP($P419,Member_Tab,6,FALSE()),W$5 &lt; VLOOKUP($P419,Member_Tab,7,FALSE())),1,0))</f>
        <v>0</v>
      </c>
      <c r="X521" s="184" t="n">
        <f aca="false">IF(ISERROR(VLOOKUP($P419,Member_Tab,5,FALSE())),0,VLOOKUP($P419,Member_Tab,5,FALSE())*IF(AND(X$5 &gt; VLOOKUP($P419,Member_Tab,6,FALSE()),X$5 &lt; VLOOKUP($P419,Member_Tab,7,FALSE())),1,0))</f>
        <v>0</v>
      </c>
      <c r="Y521" s="184" t="n">
        <f aca="false">IF(ISERROR(VLOOKUP($P419,Member_Tab,5,FALSE())),0,VLOOKUP($P419,Member_Tab,5,FALSE())*IF(AND(Y$5 &gt; VLOOKUP($P419,Member_Tab,6,FALSE()),Y$5 &lt; VLOOKUP($P419,Member_Tab,7,FALSE())),1,0))</f>
        <v>0</v>
      </c>
      <c r="Z521" s="184" t="n">
        <f aca="false">IF(ISERROR(VLOOKUP($P419,Member_Tab,5,FALSE())),0,VLOOKUP($P419,Member_Tab,5,FALSE())*IF(AND(Z$5 &gt; VLOOKUP($P419,Member_Tab,6,FALSE()),Z$5 &lt; VLOOKUP($P419,Member_Tab,7,FALSE())),1,0))</f>
        <v>0</v>
      </c>
      <c r="AA521" s="184" t="n">
        <f aca="false">IF(ISERROR(VLOOKUP($P419,Member_Tab,5,FALSE())),0,VLOOKUP($P419,Member_Tab,5,FALSE())*IF(AND(AA$5 &gt; VLOOKUP($P419,Member_Tab,6,FALSE()),AA$5 &lt; VLOOKUP($P419,Member_Tab,7,FALSE())),1,0))</f>
        <v>0</v>
      </c>
      <c r="AB521" s="184" t="n">
        <f aca="false">IF(ISERROR(VLOOKUP($P419,Member_Tab,5,FALSE())),0,VLOOKUP($P419,Member_Tab,5,FALSE())*IF(AND(AB$5 &gt; VLOOKUP($P419,Member_Tab,6,FALSE()),AB$5 &lt; VLOOKUP($P419,Member_Tab,7,FALSE())),1,0))</f>
        <v>0</v>
      </c>
      <c r="AC521" s="184" t="n">
        <f aca="false">IF(ISERROR(VLOOKUP($P419,Member_Tab,5,FALSE())),0,VLOOKUP($P419,Member_Tab,5,FALSE())*IF(AND(AC$5 &gt; VLOOKUP($P419,Member_Tab,6,FALSE()),AC$5 &lt; VLOOKUP($P419,Member_Tab,7,FALSE())),1,0))</f>
        <v>0</v>
      </c>
      <c r="AD521" s="184" t="n">
        <f aca="false">IF(ISERROR(VLOOKUP($P419,Member_Tab,5,FALSE())),0,VLOOKUP($P419,Member_Tab,5,FALSE())*IF(AND(AD$5 &gt; VLOOKUP($P419,Member_Tab,6,FALSE()),AD$5 &lt; VLOOKUP($P419,Member_Tab,7,FALSE())),1,0))</f>
        <v>0</v>
      </c>
      <c r="AE521" s="184" t="n">
        <f aca="false">IF(ISERROR(VLOOKUP($P419,Member_Tab,5,FALSE())),0,VLOOKUP($P419,Member_Tab,5,FALSE())*IF(AND(AE$5 &gt; VLOOKUP($P419,Member_Tab,6,FALSE()),AE$5 &lt; VLOOKUP($P419,Member_Tab,7,FALSE())),1,0))</f>
        <v>0</v>
      </c>
      <c r="AF521" s="184" t="n">
        <f aca="false">IF(ISERROR(VLOOKUP($P419,Member_Tab,5,FALSE())),0,VLOOKUP($P419,Member_Tab,5,FALSE())*IF(AND(AF$5 &gt; VLOOKUP($P419,Member_Tab,6,FALSE()),AF$5 &lt; VLOOKUP($P419,Member_Tab,7,FALSE())),1,0))</f>
        <v>0</v>
      </c>
      <c r="AG521" s="184" t="n">
        <f aca="false">IF(ISERROR(VLOOKUP($P419,Member_Tab,5,FALSE())),0,VLOOKUP($P419,Member_Tab,5,FALSE())*IF(AND(AG$5 &gt; VLOOKUP($P419,Member_Tab,6,FALSE()),AG$5 &lt; VLOOKUP($P419,Member_Tab,7,FALSE())),1,0))</f>
        <v>0</v>
      </c>
      <c r="AH521" s="184" t="n">
        <f aca="false">IF(ISERROR(VLOOKUP($P419,Member_Tab,5,FALSE())),0,VLOOKUP($P419,Member_Tab,5,FALSE())*IF(AND(AH$5 &gt; VLOOKUP($P419,Member_Tab,6,FALSE()),AH$5 &lt; VLOOKUP($P419,Member_Tab,7,FALSE())),1,0))</f>
        <v>0</v>
      </c>
      <c r="AI521" s="184" t="n">
        <f aca="false">IF(ISERROR(VLOOKUP($P419,Member_Tab,5,FALSE())),0,VLOOKUP($P419,Member_Tab,5,FALSE())*IF(AND(AI$5 &gt; VLOOKUP($P419,Member_Tab,6,FALSE()),AI$5 &lt; VLOOKUP($P419,Member_Tab,7,FALSE())),1,0))</f>
        <v>0</v>
      </c>
      <c r="AJ521" s="184" t="n">
        <f aca="false">IF(ISERROR(VLOOKUP($P419,Member_Tab,5,FALSE())),0,VLOOKUP($P419,Member_Tab,5,FALSE())*IF(AND(AJ$5 &gt; VLOOKUP($P419,Member_Tab,6,FALSE()),AJ$5 &lt; VLOOKUP($P419,Member_Tab,7,FALSE())),1,0))</f>
        <v>0</v>
      </c>
      <c r="AK521" s="184" t="n">
        <f aca="false">IF(ISERROR(VLOOKUP($P419,Member_Tab,5,FALSE())),0,VLOOKUP($P419,Member_Tab,5,FALSE())*IF(AND(AK$5 &gt; VLOOKUP($P419,Member_Tab,6,FALSE()),AK$5 &lt; VLOOKUP($P419,Member_Tab,7,FALSE())),1,0))</f>
        <v>0</v>
      </c>
      <c r="AL521" s="184" t="n">
        <f aca="false">IF(ISERROR(VLOOKUP($P419,Member_Tab,5,FALSE())),0,VLOOKUP($P419,Member_Tab,5,FALSE())*IF(AND(AL$5 &gt; VLOOKUP($P419,Member_Tab,6,FALSE()),AL$5 &lt; VLOOKUP($P419,Member_Tab,7,FALSE())),1,0))</f>
        <v>0</v>
      </c>
      <c r="AM521" s="184" t="n">
        <f aca="false">IF(ISERROR(VLOOKUP($P419,Member_Tab,5,FALSE())),0,VLOOKUP($P419,Member_Tab,5,FALSE())*IF(AND(AM$5 &gt; VLOOKUP($P419,Member_Tab,6,FALSE()),AM$5 &lt; VLOOKUP($P419,Member_Tab,7,FALSE())),1,0))</f>
        <v>0</v>
      </c>
      <c r="AN521" s="184" t="n">
        <f aca="false">IF(ISERROR(VLOOKUP($P419,Member_Tab,5,FALSE())),0,VLOOKUP($P419,Member_Tab,5,FALSE())*IF(AND(AN$5 &gt; VLOOKUP($P419,Member_Tab,6,FALSE()),AN$5 &lt; VLOOKUP($P419,Member_Tab,7,FALSE())),1,0))</f>
        <v>0</v>
      </c>
      <c r="AO521" s="184" t="n">
        <f aca="false">IF(ISERROR(VLOOKUP($P419,Member_Tab,5,FALSE())),0,VLOOKUP($P419,Member_Tab,5,FALSE())*IF(AND(AO$5 &gt; VLOOKUP($P419,Member_Tab,6,FALSE()),AO$5 &lt; VLOOKUP($P419,Member_Tab,7,FALSE())),1,0))</f>
        <v>0</v>
      </c>
      <c r="AP521" s="184" t="n">
        <f aca="false">IF(ISERROR(VLOOKUP($P419,Member_Tab,5,FALSE())),0,VLOOKUP($P419,Member_Tab,5,FALSE())*IF(AND(AP$5 &gt; VLOOKUP($P419,Member_Tab,6,FALSE()),AP$5 &lt; VLOOKUP($P419,Member_Tab,7,FALSE())),1,0))</f>
        <v>0</v>
      </c>
      <c r="AQ521" s="184" t="n">
        <f aca="false">IF(ISERROR(VLOOKUP($P419,Member_Tab,5,FALSE())),0,VLOOKUP($P419,Member_Tab,5,FALSE())*IF(AND(AQ$5 &gt; VLOOKUP($P419,Member_Tab,6,FALSE()),AQ$5 &lt; VLOOKUP($P419,Member_Tab,7,FALSE())),1,0))</f>
        <v>0</v>
      </c>
      <c r="AR521" s="184" t="n">
        <f aca="false">IF(ISERROR(VLOOKUP($P419,Member_Tab,5,FALSE())),0,VLOOKUP($P419,Member_Tab,5,FALSE())*IF(AND(AR$5 &gt; VLOOKUP($P419,Member_Tab,6,FALSE()),AR$5 &lt; VLOOKUP($P419,Member_Tab,7,FALSE())),1,0))</f>
        <v>0</v>
      </c>
      <c r="AS521" s="184" t="n">
        <f aca="false">IF(ISERROR(VLOOKUP($P419,Member_Tab,5,FALSE())),0,VLOOKUP($P419,Member_Tab,5,FALSE())*IF(AND(AS$5 &gt; VLOOKUP($P419,Member_Tab,6,FALSE()),AS$5 &lt; VLOOKUP($P419,Member_Tab,7,FALSE())),1,0))</f>
        <v>0</v>
      </c>
      <c r="AT521" s="184" t="n">
        <f aca="false">IF(ISERROR(VLOOKUP($P419,Member_Tab,5,FALSE())),0,VLOOKUP($P419,Member_Tab,5,FALSE())*IF(AND(AT$5 &gt; VLOOKUP($P419,Member_Tab,6,FALSE()),AT$5 &lt; VLOOKUP($P419,Member_Tab,7,FALSE())),1,0))</f>
        <v>0</v>
      </c>
      <c r="AU521" s="184" t="n">
        <f aca="false">IF(ISERROR(VLOOKUP($P419,Member_Tab,5,FALSE())),0,VLOOKUP($P419,Member_Tab,5,FALSE())*IF(AND(AU$5 &gt; VLOOKUP($P419,Member_Tab,6,FALSE()),AU$5 &lt; VLOOKUP($P419,Member_Tab,7,FALSE())),1,0))</f>
        <v>0</v>
      </c>
      <c r="AV521" s="184" t="n">
        <f aca="false">IF(ISERROR(VLOOKUP($P419,Member_Tab,5,FALSE())),0,VLOOKUP($P419,Member_Tab,5,FALSE())*IF(AND(AV$5 &gt; VLOOKUP($P419,Member_Tab,6,FALSE()),AV$5 &lt; VLOOKUP($P419,Member_Tab,7,FALSE())),1,0))</f>
        <v>0</v>
      </c>
      <c r="AW521" s="184" t="n">
        <f aca="false">IF(ISERROR(VLOOKUP($P419,Member_Tab,5,FALSE())),0,VLOOKUP($P419,Member_Tab,5,FALSE())*IF(AND(AW$5 &gt; VLOOKUP($P419,Member_Tab,6,FALSE()),AW$5 &lt; VLOOKUP($P419,Member_Tab,7,FALSE())),1,0))</f>
        <v>0</v>
      </c>
      <c r="AX521" s="184" t="n">
        <f aca="false">IF(ISERROR(VLOOKUP($P419,Member_Tab,5,FALSE())),0,VLOOKUP($P419,Member_Tab,5,FALSE())*IF(AND(AX$5 &gt; VLOOKUP($P419,Member_Tab,6,FALSE()),AX$5 &lt; VLOOKUP($P419,Member_Tab,7,FALSE())),1,0))</f>
        <v>0</v>
      </c>
      <c r="AY521" s="184" t="n">
        <f aca="false">IF(ISERROR(VLOOKUP($P419,Member_Tab,5,FALSE())),0,VLOOKUP($P419,Member_Tab,5,FALSE())*IF(AND(AY$5 &gt; VLOOKUP($P419,Member_Tab,6,FALSE()),AY$5 &lt; VLOOKUP($P419,Member_Tab,7,FALSE())),1,0))</f>
        <v>0</v>
      </c>
      <c r="AZ521" s="184" t="n">
        <f aca="false">IF(ISERROR(VLOOKUP($P419,Member_Tab,5,FALSE())),0,VLOOKUP($P419,Member_Tab,5,FALSE())*IF(AND(AZ$5 &gt; VLOOKUP($P419,Member_Tab,6,FALSE()),AZ$5 &lt; VLOOKUP($P419,Member_Tab,7,FALSE())),1,0))</f>
        <v>0</v>
      </c>
      <c r="BA521" s="184" t="n">
        <f aca="false">IF(ISERROR(VLOOKUP($P419,Member_Tab,5,FALSE())),0,VLOOKUP($P419,Member_Tab,5,FALSE())*IF(AND(BA$5 &gt; VLOOKUP($P419,Member_Tab,6,FALSE()),BA$5 &lt; VLOOKUP($P419,Member_Tab,7,FALSE())),1,0))</f>
        <v>0</v>
      </c>
      <c r="BB521" s="184" t="n">
        <f aca="false">IF(ISERROR(VLOOKUP($P419,Member_Tab,5,FALSE())),0,VLOOKUP($P419,Member_Tab,5,FALSE())*IF(AND(BB$5 &gt; VLOOKUP($P419,Member_Tab,6,FALSE()),BB$5 &lt; VLOOKUP($P419,Member_Tab,7,FALSE())),1,0))</f>
        <v>0</v>
      </c>
    </row>
    <row r="522" s="173" customFormat="true" ht="15.75" hidden="true" customHeight="false" outlineLevel="1" collapsed="false">
      <c r="E522" s="40"/>
      <c r="K522" s="40"/>
      <c r="L522" s="40"/>
      <c r="M522" s="40"/>
      <c r="N522" s="40"/>
      <c r="P522" s="183" t="n">
        <f aca="false">P420</f>
        <v>0</v>
      </c>
      <c r="Q522" s="40"/>
      <c r="R522" s="182"/>
      <c r="S522" s="184" t="n">
        <f aca="false">IF(ISERROR(VLOOKUP($P420,Member_Tab,5,FALSE())),0,VLOOKUP($P420,Member_Tab,5,FALSE())*IF(AND(S$5 &gt; VLOOKUP($P420,Member_Tab,6,FALSE()),S$5 &lt; VLOOKUP($P420,Member_Tab,7,FALSE())),1,0))</f>
        <v>0</v>
      </c>
      <c r="T522" s="184" t="n">
        <f aca="false">IF(ISERROR(VLOOKUP($P420,Member_Tab,5,FALSE())),0,VLOOKUP($P420,Member_Tab,5,FALSE())*IF(AND(T$5 &gt; VLOOKUP($P420,Member_Tab,6,FALSE()),T$5 &lt; VLOOKUP($P420,Member_Tab,7,FALSE())),1,0))</f>
        <v>0</v>
      </c>
      <c r="U522" s="184" t="n">
        <f aca="false">IF(ISERROR(VLOOKUP($P420,Member_Tab,5,FALSE())),0,VLOOKUP($P420,Member_Tab,5,FALSE())*IF(AND(U$5 &gt; VLOOKUP($P420,Member_Tab,6,FALSE()),U$5 &lt; VLOOKUP($P420,Member_Tab,7,FALSE())),1,0))</f>
        <v>0</v>
      </c>
      <c r="V522" s="184" t="n">
        <f aca="false">IF(ISERROR(VLOOKUP($P420,Member_Tab,5,FALSE())),0,VLOOKUP($P420,Member_Tab,5,FALSE())*IF(AND(V$5 &gt; VLOOKUP($P420,Member_Tab,6,FALSE()),V$5 &lt; VLOOKUP($P420,Member_Tab,7,FALSE())),1,0))</f>
        <v>0</v>
      </c>
      <c r="W522" s="184" t="n">
        <f aca="false">IF(ISERROR(VLOOKUP($P420,Member_Tab,5,FALSE())),0,VLOOKUP($P420,Member_Tab,5,FALSE())*IF(AND(W$5 &gt; VLOOKUP($P420,Member_Tab,6,FALSE()),W$5 &lt; VLOOKUP($P420,Member_Tab,7,FALSE())),1,0))</f>
        <v>0</v>
      </c>
      <c r="X522" s="184" t="n">
        <f aca="false">IF(ISERROR(VLOOKUP($P420,Member_Tab,5,FALSE())),0,VLOOKUP($P420,Member_Tab,5,FALSE())*IF(AND(X$5 &gt; VLOOKUP($P420,Member_Tab,6,FALSE()),X$5 &lt; VLOOKUP($P420,Member_Tab,7,FALSE())),1,0))</f>
        <v>0</v>
      </c>
      <c r="Y522" s="184" t="n">
        <f aca="false">IF(ISERROR(VLOOKUP($P420,Member_Tab,5,FALSE())),0,VLOOKUP($P420,Member_Tab,5,FALSE())*IF(AND(Y$5 &gt; VLOOKUP($P420,Member_Tab,6,FALSE()),Y$5 &lt; VLOOKUP($P420,Member_Tab,7,FALSE())),1,0))</f>
        <v>0</v>
      </c>
      <c r="Z522" s="184" t="n">
        <f aca="false">IF(ISERROR(VLOOKUP($P420,Member_Tab,5,FALSE())),0,VLOOKUP($P420,Member_Tab,5,FALSE())*IF(AND(Z$5 &gt; VLOOKUP($P420,Member_Tab,6,FALSE()),Z$5 &lt; VLOOKUP($P420,Member_Tab,7,FALSE())),1,0))</f>
        <v>0</v>
      </c>
      <c r="AA522" s="184" t="n">
        <f aca="false">IF(ISERROR(VLOOKUP($P420,Member_Tab,5,FALSE())),0,VLOOKUP($P420,Member_Tab,5,FALSE())*IF(AND(AA$5 &gt; VLOOKUP($P420,Member_Tab,6,FALSE()),AA$5 &lt; VLOOKUP($P420,Member_Tab,7,FALSE())),1,0))</f>
        <v>0</v>
      </c>
      <c r="AB522" s="184" t="n">
        <f aca="false">IF(ISERROR(VLOOKUP($P420,Member_Tab,5,FALSE())),0,VLOOKUP($P420,Member_Tab,5,FALSE())*IF(AND(AB$5 &gt; VLOOKUP($P420,Member_Tab,6,FALSE()),AB$5 &lt; VLOOKUP($P420,Member_Tab,7,FALSE())),1,0))</f>
        <v>0</v>
      </c>
      <c r="AC522" s="184" t="n">
        <f aca="false">IF(ISERROR(VLOOKUP($P420,Member_Tab,5,FALSE())),0,VLOOKUP($P420,Member_Tab,5,FALSE())*IF(AND(AC$5 &gt; VLOOKUP($P420,Member_Tab,6,FALSE()),AC$5 &lt; VLOOKUP($P420,Member_Tab,7,FALSE())),1,0))</f>
        <v>0</v>
      </c>
      <c r="AD522" s="184" t="n">
        <f aca="false">IF(ISERROR(VLOOKUP($P420,Member_Tab,5,FALSE())),0,VLOOKUP($P420,Member_Tab,5,FALSE())*IF(AND(AD$5 &gt; VLOOKUP($P420,Member_Tab,6,FALSE()),AD$5 &lt; VLOOKUP($P420,Member_Tab,7,FALSE())),1,0))</f>
        <v>0</v>
      </c>
      <c r="AE522" s="184" t="n">
        <f aca="false">IF(ISERROR(VLOOKUP($P420,Member_Tab,5,FALSE())),0,VLOOKUP($P420,Member_Tab,5,FALSE())*IF(AND(AE$5 &gt; VLOOKUP($P420,Member_Tab,6,FALSE()),AE$5 &lt; VLOOKUP($P420,Member_Tab,7,FALSE())),1,0))</f>
        <v>0</v>
      </c>
      <c r="AF522" s="184" t="n">
        <f aca="false">IF(ISERROR(VLOOKUP($P420,Member_Tab,5,FALSE())),0,VLOOKUP($P420,Member_Tab,5,FALSE())*IF(AND(AF$5 &gt; VLOOKUP($P420,Member_Tab,6,FALSE()),AF$5 &lt; VLOOKUP($P420,Member_Tab,7,FALSE())),1,0))</f>
        <v>0</v>
      </c>
      <c r="AG522" s="184" t="n">
        <f aca="false">IF(ISERROR(VLOOKUP($P420,Member_Tab,5,FALSE())),0,VLOOKUP($P420,Member_Tab,5,FALSE())*IF(AND(AG$5 &gt; VLOOKUP($P420,Member_Tab,6,FALSE()),AG$5 &lt; VLOOKUP($P420,Member_Tab,7,FALSE())),1,0))</f>
        <v>0</v>
      </c>
      <c r="AH522" s="184" t="n">
        <f aca="false">IF(ISERROR(VLOOKUP($P420,Member_Tab,5,FALSE())),0,VLOOKUP($P420,Member_Tab,5,FALSE())*IF(AND(AH$5 &gt; VLOOKUP($P420,Member_Tab,6,FALSE()),AH$5 &lt; VLOOKUP($P420,Member_Tab,7,FALSE())),1,0))</f>
        <v>0</v>
      </c>
      <c r="AI522" s="184" t="n">
        <f aca="false">IF(ISERROR(VLOOKUP($P420,Member_Tab,5,FALSE())),0,VLOOKUP($P420,Member_Tab,5,FALSE())*IF(AND(AI$5 &gt; VLOOKUP($P420,Member_Tab,6,FALSE()),AI$5 &lt; VLOOKUP($P420,Member_Tab,7,FALSE())),1,0))</f>
        <v>0</v>
      </c>
      <c r="AJ522" s="184" t="n">
        <f aca="false">IF(ISERROR(VLOOKUP($P420,Member_Tab,5,FALSE())),0,VLOOKUP($P420,Member_Tab,5,FALSE())*IF(AND(AJ$5 &gt; VLOOKUP($P420,Member_Tab,6,FALSE()),AJ$5 &lt; VLOOKUP($P420,Member_Tab,7,FALSE())),1,0))</f>
        <v>0</v>
      </c>
      <c r="AK522" s="184" t="n">
        <f aca="false">IF(ISERROR(VLOOKUP($P420,Member_Tab,5,FALSE())),0,VLOOKUP($P420,Member_Tab,5,FALSE())*IF(AND(AK$5 &gt; VLOOKUP($P420,Member_Tab,6,FALSE()),AK$5 &lt; VLOOKUP($P420,Member_Tab,7,FALSE())),1,0))</f>
        <v>0</v>
      </c>
      <c r="AL522" s="184" t="n">
        <f aca="false">IF(ISERROR(VLOOKUP($P420,Member_Tab,5,FALSE())),0,VLOOKUP($P420,Member_Tab,5,FALSE())*IF(AND(AL$5 &gt; VLOOKUP($P420,Member_Tab,6,FALSE()),AL$5 &lt; VLOOKUP($P420,Member_Tab,7,FALSE())),1,0))</f>
        <v>0</v>
      </c>
      <c r="AM522" s="184" t="n">
        <f aca="false">IF(ISERROR(VLOOKUP($P420,Member_Tab,5,FALSE())),0,VLOOKUP($P420,Member_Tab,5,FALSE())*IF(AND(AM$5 &gt; VLOOKUP($P420,Member_Tab,6,FALSE()),AM$5 &lt; VLOOKUP($P420,Member_Tab,7,FALSE())),1,0))</f>
        <v>0</v>
      </c>
      <c r="AN522" s="184" t="n">
        <f aca="false">IF(ISERROR(VLOOKUP($P420,Member_Tab,5,FALSE())),0,VLOOKUP($P420,Member_Tab,5,FALSE())*IF(AND(AN$5 &gt; VLOOKUP($P420,Member_Tab,6,FALSE()),AN$5 &lt; VLOOKUP($P420,Member_Tab,7,FALSE())),1,0))</f>
        <v>0</v>
      </c>
      <c r="AO522" s="184" t="n">
        <f aca="false">IF(ISERROR(VLOOKUP($P420,Member_Tab,5,FALSE())),0,VLOOKUP($P420,Member_Tab,5,FALSE())*IF(AND(AO$5 &gt; VLOOKUP($P420,Member_Tab,6,FALSE()),AO$5 &lt; VLOOKUP($P420,Member_Tab,7,FALSE())),1,0))</f>
        <v>0</v>
      </c>
      <c r="AP522" s="184" t="n">
        <f aca="false">IF(ISERROR(VLOOKUP($P420,Member_Tab,5,FALSE())),0,VLOOKUP($P420,Member_Tab,5,FALSE())*IF(AND(AP$5 &gt; VLOOKUP($P420,Member_Tab,6,FALSE()),AP$5 &lt; VLOOKUP($P420,Member_Tab,7,FALSE())),1,0))</f>
        <v>0</v>
      </c>
      <c r="AQ522" s="184" t="n">
        <f aca="false">IF(ISERROR(VLOOKUP($P420,Member_Tab,5,FALSE())),0,VLOOKUP($P420,Member_Tab,5,FALSE())*IF(AND(AQ$5 &gt; VLOOKUP($P420,Member_Tab,6,FALSE()),AQ$5 &lt; VLOOKUP($P420,Member_Tab,7,FALSE())),1,0))</f>
        <v>0</v>
      </c>
      <c r="AR522" s="184" t="n">
        <f aca="false">IF(ISERROR(VLOOKUP($P420,Member_Tab,5,FALSE())),0,VLOOKUP($P420,Member_Tab,5,FALSE())*IF(AND(AR$5 &gt; VLOOKUP($P420,Member_Tab,6,FALSE()),AR$5 &lt; VLOOKUP($P420,Member_Tab,7,FALSE())),1,0))</f>
        <v>0</v>
      </c>
      <c r="AS522" s="184" t="n">
        <f aca="false">IF(ISERROR(VLOOKUP($P420,Member_Tab,5,FALSE())),0,VLOOKUP($P420,Member_Tab,5,FALSE())*IF(AND(AS$5 &gt; VLOOKUP($P420,Member_Tab,6,FALSE()),AS$5 &lt; VLOOKUP($P420,Member_Tab,7,FALSE())),1,0))</f>
        <v>0</v>
      </c>
      <c r="AT522" s="184" t="n">
        <f aca="false">IF(ISERROR(VLOOKUP($P420,Member_Tab,5,FALSE())),0,VLOOKUP($P420,Member_Tab,5,FALSE())*IF(AND(AT$5 &gt; VLOOKUP($P420,Member_Tab,6,FALSE()),AT$5 &lt; VLOOKUP($P420,Member_Tab,7,FALSE())),1,0))</f>
        <v>0</v>
      </c>
      <c r="AU522" s="184" t="n">
        <f aca="false">IF(ISERROR(VLOOKUP($P420,Member_Tab,5,FALSE())),0,VLOOKUP($P420,Member_Tab,5,FALSE())*IF(AND(AU$5 &gt; VLOOKUP($P420,Member_Tab,6,FALSE()),AU$5 &lt; VLOOKUP($P420,Member_Tab,7,FALSE())),1,0))</f>
        <v>0</v>
      </c>
      <c r="AV522" s="184" t="n">
        <f aca="false">IF(ISERROR(VLOOKUP($P420,Member_Tab,5,FALSE())),0,VLOOKUP($P420,Member_Tab,5,FALSE())*IF(AND(AV$5 &gt; VLOOKUP($P420,Member_Tab,6,FALSE()),AV$5 &lt; VLOOKUP($P420,Member_Tab,7,FALSE())),1,0))</f>
        <v>0</v>
      </c>
      <c r="AW522" s="184" t="n">
        <f aca="false">IF(ISERROR(VLOOKUP($P420,Member_Tab,5,FALSE())),0,VLOOKUP($P420,Member_Tab,5,FALSE())*IF(AND(AW$5 &gt; VLOOKUP($P420,Member_Tab,6,FALSE()),AW$5 &lt; VLOOKUP($P420,Member_Tab,7,FALSE())),1,0))</f>
        <v>0</v>
      </c>
      <c r="AX522" s="184" t="n">
        <f aca="false">IF(ISERROR(VLOOKUP($P420,Member_Tab,5,FALSE())),0,VLOOKUP($P420,Member_Tab,5,FALSE())*IF(AND(AX$5 &gt; VLOOKUP($P420,Member_Tab,6,FALSE()),AX$5 &lt; VLOOKUP($P420,Member_Tab,7,FALSE())),1,0))</f>
        <v>0</v>
      </c>
      <c r="AY522" s="184" t="n">
        <f aca="false">IF(ISERROR(VLOOKUP($P420,Member_Tab,5,FALSE())),0,VLOOKUP($P420,Member_Tab,5,FALSE())*IF(AND(AY$5 &gt; VLOOKUP($P420,Member_Tab,6,FALSE()),AY$5 &lt; VLOOKUP($P420,Member_Tab,7,FALSE())),1,0))</f>
        <v>0</v>
      </c>
      <c r="AZ522" s="184" t="n">
        <f aca="false">IF(ISERROR(VLOOKUP($P420,Member_Tab,5,FALSE())),0,VLOOKUP($P420,Member_Tab,5,FALSE())*IF(AND(AZ$5 &gt; VLOOKUP($P420,Member_Tab,6,FALSE()),AZ$5 &lt; VLOOKUP($P420,Member_Tab,7,FALSE())),1,0))</f>
        <v>0</v>
      </c>
      <c r="BA522" s="184" t="n">
        <f aca="false">IF(ISERROR(VLOOKUP($P420,Member_Tab,5,FALSE())),0,VLOOKUP($P420,Member_Tab,5,FALSE())*IF(AND(BA$5 &gt; VLOOKUP($P420,Member_Tab,6,FALSE()),BA$5 &lt; VLOOKUP($P420,Member_Tab,7,FALSE())),1,0))</f>
        <v>0</v>
      </c>
      <c r="BB522" s="184" t="n">
        <f aca="false">IF(ISERROR(VLOOKUP($P420,Member_Tab,5,FALSE())),0,VLOOKUP($P420,Member_Tab,5,FALSE())*IF(AND(BB$5 &gt; VLOOKUP($P420,Member_Tab,6,FALSE()),BB$5 &lt; VLOOKUP($P420,Member_Tab,7,FALSE())),1,0))</f>
        <v>0</v>
      </c>
    </row>
    <row r="523" s="173" customFormat="true" ht="15.75" hidden="true" customHeight="false" outlineLevel="1" collapsed="false">
      <c r="E523" s="40"/>
      <c r="K523" s="40"/>
      <c r="L523" s="40"/>
      <c r="M523" s="40"/>
      <c r="N523" s="40"/>
      <c r="P523" s="183" t="n">
        <f aca="false">P421</f>
        <v>0</v>
      </c>
      <c r="Q523" s="40"/>
      <c r="R523" s="182"/>
      <c r="S523" s="184" t="n">
        <f aca="false">IF(ISERROR(VLOOKUP($P421,Member_Tab,5,FALSE())),0,VLOOKUP($P421,Member_Tab,5,FALSE())*IF(AND(S$5 &gt; VLOOKUP($P421,Member_Tab,6,FALSE()),S$5 &lt; VLOOKUP($P421,Member_Tab,7,FALSE())),1,0))</f>
        <v>0</v>
      </c>
      <c r="T523" s="184" t="n">
        <f aca="false">IF(ISERROR(VLOOKUP($P421,Member_Tab,5,FALSE())),0,VLOOKUP($P421,Member_Tab,5,FALSE())*IF(AND(T$5 &gt; VLOOKUP($P421,Member_Tab,6,FALSE()),T$5 &lt; VLOOKUP($P421,Member_Tab,7,FALSE())),1,0))</f>
        <v>0</v>
      </c>
      <c r="U523" s="184" t="n">
        <f aca="false">IF(ISERROR(VLOOKUP($P421,Member_Tab,5,FALSE())),0,VLOOKUP($P421,Member_Tab,5,FALSE())*IF(AND(U$5 &gt; VLOOKUP($P421,Member_Tab,6,FALSE()),U$5 &lt; VLOOKUP($P421,Member_Tab,7,FALSE())),1,0))</f>
        <v>0</v>
      </c>
      <c r="V523" s="184" t="n">
        <f aca="false">IF(ISERROR(VLOOKUP($P421,Member_Tab,5,FALSE())),0,VLOOKUP($P421,Member_Tab,5,FALSE())*IF(AND(V$5 &gt; VLOOKUP($P421,Member_Tab,6,FALSE()),V$5 &lt; VLOOKUP($P421,Member_Tab,7,FALSE())),1,0))</f>
        <v>0</v>
      </c>
      <c r="W523" s="184" t="n">
        <f aca="false">IF(ISERROR(VLOOKUP($P421,Member_Tab,5,FALSE())),0,VLOOKUP($P421,Member_Tab,5,FALSE())*IF(AND(W$5 &gt; VLOOKUP($P421,Member_Tab,6,FALSE()),W$5 &lt; VLOOKUP($P421,Member_Tab,7,FALSE())),1,0))</f>
        <v>0</v>
      </c>
      <c r="X523" s="184" t="n">
        <f aca="false">IF(ISERROR(VLOOKUP($P421,Member_Tab,5,FALSE())),0,VLOOKUP($P421,Member_Tab,5,FALSE())*IF(AND(X$5 &gt; VLOOKUP($P421,Member_Tab,6,FALSE()),X$5 &lt; VLOOKUP($P421,Member_Tab,7,FALSE())),1,0))</f>
        <v>0</v>
      </c>
      <c r="Y523" s="184" t="n">
        <f aca="false">IF(ISERROR(VLOOKUP($P421,Member_Tab,5,FALSE())),0,VLOOKUP($P421,Member_Tab,5,FALSE())*IF(AND(Y$5 &gt; VLOOKUP($P421,Member_Tab,6,FALSE()),Y$5 &lt; VLOOKUP($P421,Member_Tab,7,FALSE())),1,0))</f>
        <v>0</v>
      </c>
      <c r="Z523" s="184" t="n">
        <f aca="false">IF(ISERROR(VLOOKUP($P421,Member_Tab,5,FALSE())),0,VLOOKUP($P421,Member_Tab,5,FALSE())*IF(AND(Z$5 &gt; VLOOKUP($P421,Member_Tab,6,FALSE()),Z$5 &lt; VLOOKUP($P421,Member_Tab,7,FALSE())),1,0))</f>
        <v>0</v>
      </c>
      <c r="AA523" s="184" t="n">
        <f aca="false">IF(ISERROR(VLOOKUP($P421,Member_Tab,5,FALSE())),0,VLOOKUP($P421,Member_Tab,5,FALSE())*IF(AND(AA$5 &gt; VLOOKUP($P421,Member_Tab,6,FALSE()),AA$5 &lt; VLOOKUP($P421,Member_Tab,7,FALSE())),1,0))</f>
        <v>0</v>
      </c>
      <c r="AB523" s="184" t="n">
        <f aca="false">IF(ISERROR(VLOOKUP($P421,Member_Tab,5,FALSE())),0,VLOOKUP($P421,Member_Tab,5,FALSE())*IF(AND(AB$5 &gt; VLOOKUP($P421,Member_Tab,6,FALSE()),AB$5 &lt; VLOOKUP($P421,Member_Tab,7,FALSE())),1,0))</f>
        <v>0</v>
      </c>
      <c r="AC523" s="184" t="n">
        <f aca="false">IF(ISERROR(VLOOKUP($P421,Member_Tab,5,FALSE())),0,VLOOKUP($P421,Member_Tab,5,FALSE())*IF(AND(AC$5 &gt; VLOOKUP($P421,Member_Tab,6,FALSE()),AC$5 &lt; VLOOKUP($P421,Member_Tab,7,FALSE())),1,0))</f>
        <v>0</v>
      </c>
      <c r="AD523" s="184" t="n">
        <f aca="false">IF(ISERROR(VLOOKUP($P421,Member_Tab,5,FALSE())),0,VLOOKUP($P421,Member_Tab,5,FALSE())*IF(AND(AD$5 &gt; VLOOKUP($P421,Member_Tab,6,FALSE()),AD$5 &lt; VLOOKUP($P421,Member_Tab,7,FALSE())),1,0))</f>
        <v>0</v>
      </c>
      <c r="AE523" s="184" t="n">
        <f aca="false">IF(ISERROR(VLOOKUP($P421,Member_Tab,5,FALSE())),0,VLOOKUP($P421,Member_Tab,5,FALSE())*IF(AND(AE$5 &gt; VLOOKUP($P421,Member_Tab,6,FALSE()),AE$5 &lt; VLOOKUP($P421,Member_Tab,7,FALSE())),1,0))</f>
        <v>0</v>
      </c>
      <c r="AF523" s="184" t="n">
        <f aca="false">IF(ISERROR(VLOOKUP($P421,Member_Tab,5,FALSE())),0,VLOOKUP($P421,Member_Tab,5,FALSE())*IF(AND(AF$5 &gt; VLOOKUP($P421,Member_Tab,6,FALSE()),AF$5 &lt; VLOOKUP($P421,Member_Tab,7,FALSE())),1,0))</f>
        <v>0</v>
      </c>
      <c r="AG523" s="184" t="n">
        <f aca="false">IF(ISERROR(VLOOKUP($P421,Member_Tab,5,FALSE())),0,VLOOKUP($P421,Member_Tab,5,FALSE())*IF(AND(AG$5 &gt; VLOOKUP($P421,Member_Tab,6,FALSE()),AG$5 &lt; VLOOKUP($P421,Member_Tab,7,FALSE())),1,0))</f>
        <v>0</v>
      </c>
      <c r="AH523" s="184" t="n">
        <f aca="false">IF(ISERROR(VLOOKUP($P421,Member_Tab,5,FALSE())),0,VLOOKUP($P421,Member_Tab,5,FALSE())*IF(AND(AH$5 &gt; VLOOKUP($P421,Member_Tab,6,FALSE()),AH$5 &lt; VLOOKUP($P421,Member_Tab,7,FALSE())),1,0))</f>
        <v>0</v>
      </c>
      <c r="AI523" s="184" t="n">
        <f aca="false">IF(ISERROR(VLOOKUP($P421,Member_Tab,5,FALSE())),0,VLOOKUP($P421,Member_Tab,5,FALSE())*IF(AND(AI$5 &gt; VLOOKUP($P421,Member_Tab,6,FALSE()),AI$5 &lt; VLOOKUP($P421,Member_Tab,7,FALSE())),1,0))</f>
        <v>0</v>
      </c>
      <c r="AJ523" s="184" t="n">
        <f aca="false">IF(ISERROR(VLOOKUP($P421,Member_Tab,5,FALSE())),0,VLOOKUP($P421,Member_Tab,5,FALSE())*IF(AND(AJ$5 &gt; VLOOKUP($P421,Member_Tab,6,FALSE()),AJ$5 &lt; VLOOKUP($P421,Member_Tab,7,FALSE())),1,0))</f>
        <v>0</v>
      </c>
      <c r="AK523" s="184" t="n">
        <f aca="false">IF(ISERROR(VLOOKUP($P421,Member_Tab,5,FALSE())),0,VLOOKUP($P421,Member_Tab,5,FALSE())*IF(AND(AK$5 &gt; VLOOKUP($P421,Member_Tab,6,FALSE()),AK$5 &lt; VLOOKUP($P421,Member_Tab,7,FALSE())),1,0))</f>
        <v>0</v>
      </c>
      <c r="AL523" s="184" t="n">
        <f aca="false">IF(ISERROR(VLOOKUP($P421,Member_Tab,5,FALSE())),0,VLOOKUP($P421,Member_Tab,5,FALSE())*IF(AND(AL$5 &gt; VLOOKUP($P421,Member_Tab,6,FALSE()),AL$5 &lt; VLOOKUP($P421,Member_Tab,7,FALSE())),1,0))</f>
        <v>0</v>
      </c>
      <c r="AM523" s="184" t="n">
        <f aca="false">IF(ISERROR(VLOOKUP($P421,Member_Tab,5,FALSE())),0,VLOOKUP($P421,Member_Tab,5,FALSE())*IF(AND(AM$5 &gt; VLOOKUP($P421,Member_Tab,6,FALSE()),AM$5 &lt; VLOOKUP($P421,Member_Tab,7,FALSE())),1,0))</f>
        <v>0</v>
      </c>
      <c r="AN523" s="184" t="n">
        <f aca="false">IF(ISERROR(VLOOKUP($P421,Member_Tab,5,FALSE())),0,VLOOKUP($P421,Member_Tab,5,FALSE())*IF(AND(AN$5 &gt; VLOOKUP($P421,Member_Tab,6,FALSE()),AN$5 &lt; VLOOKUP($P421,Member_Tab,7,FALSE())),1,0))</f>
        <v>0</v>
      </c>
      <c r="AO523" s="184" t="n">
        <f aca="false">IF(ISERROR(VLOOKUP($P421,Member_Tab,5,FALSE())),0,VLOOKUP($P421,Member_Tab,5,FALSE())*IF(AND(AO$5 &gt; VLOOKUP($P421,Member_Tab,6,FALSE()),AO$5 &lt; VLOOKUP($P421,Member_Tab,7,FALSE())),1,0))</f>
        <v>0</v>
      </c>
      <c r="AP523" s="184" t="n">
        <f aca="false">IF(ISERROR(VLOOKUP($P421,Member_Tab,5,FALSE())),0,VLOOKUP($P421,Member_Tab,5,FALSE())*IF(AND(AP$5 &gt; VLOOKUP($P421,Member_Tab,6,FALSE()),AP$5 &lt; VLOOKUP($P421,Member_Tab,7,FALSE())),1,0))</f>
        <v>0</v>
      </c>
      <c r="AQ523" s="184" t="n">
        <f aca="false">IF(ISERROR(VLOOKUP($P421,Member_Tab,5,FALSE())),0,VLOOKUP($P421,Member_Tab,5,FALSE())*IF(AND(AQ$5 &gt; VLOOKUP($P421,Member_Tab,6,FALSE()),AQ$5 &lt; VLOOKUP($P421,Member_Tab,7,FALSE())),1,0))</f>
        <v>0</v>
      </c>
      <c r="AR523" s="184" t="n">
        <f aca="false">IF(ISERROR(VLOOKUP($P421,Member_Tab,5,FALSE())),0,VLOOKUP($P421,Member_Tab,5,FALSE())*IF(AND(AR$5 &gt; VLOOKUP($P421,Member_Tab,6,FALSE()),AR$5 &lt; VLOOKUP($P421,Member_Tab,7,FALSE())),1,0))</f>
        <v>0</v>
      </c>
      <c r="AS523" s="184" t="n">
        <f aca="false">IF(ISERROR(VLOOKUP($P421,Member_Tab,5,FALSE())),0,VLOOKUP($P421,Member_Tab,5,FALSE())*IF(AND(AS$5 &gt; VLOOKUP($P421,Member_Tab,6,FALSE()),AS$5 &lt; VLOOKUP($P421,Member_Tab,7,FALSE())),1,0))</f>
        <v>0</v>
      </c>
      <c r="AT523" s="184" t="n">
        <f aca="false">IF(ISERROR(VLOOKUP($P421,Member_Tab,5,FALSE())),0,VLOOKUP($P421,Member_Tab,5,FALSE())*IF(AND(AT$5 &gt; VLOOKUP($P421,Member_Tab,6,FALSE()),AT$5 &lt; VLOOKUP($P421,Member_Tab,7,FALSE())),1,0))</f>
        <v>0</v>
      </c>
      <c r="AU523" s="184" t="n">
        <f aca="false">IF(ISERROR(VLOOKUP($P421,Member_Tab,5,FALSE())),0,VLOOKUP($P421,Member_Tab,5,FALSE())*IF(AND(AU$5 &gt; VLOOKUP($P421,Member_Tab,6,FALSE()),AU$5 &lt; VLOOKUP($P421,Member_Tab,7,FALSE())),1,0))</f>
        <v>0</v>
      </c>
      <c r="AV523" s="184" t="n">
        <f aca="false">IF(ISERROR(VLOOKUP($P421,Member_Tab,5,FALSE())),0,VLOOKUP($P421,Member_Tab,5,FALSE())*IF(AND(AV$5 &gt; VLOOKUP($P421,Member_Tab,6,FALSE()),AV$5 &lt; VLOOKUP($P421,Member_Tab,7,FALSE())),1,0))</f>
        <v>0</v>
      </c>
      <c r="AW523" s="184" t="n">
        <f aca="false">IF(ISERROR(VLOOKUP($P421,Member_Tab,5,FALSE())),0,VLOOKUP($P421,Member_Tab,5,FALSE())*IF(AND(AW$5 &gt; VLOOKUP($P421,Member_Tab,6,FALSE()),AW$5 &lt; VLOOKUP($P421,Member_Tab,7,FALSE())),1,0))</f>
        <v>0</v>
      </c>
      <c r="AX523" s="184" t="n">
        <f aca="false">IF(ISERROR(VLOOKUP($P421,Member_Tab,5,FALSE())),0,VLOOKUP($P421,Member_Tab,5,FALSE())*IF(AND(AX$5 &gt; VLOOKUP($P421,Member_Tab,6,FALSE()),AX$5 &lt; VLOOKUP($P421,Member_Tab,7,FALSE())),1,0))</f>
        <v>0</v>
      </c>
      <c r="AY523" s="184" t="n">
        <f aca="false">IF(ISERROR(VLOOKUP($P421,Member_Tab,5,FALSE())),0,VLOOKUP($P421,Member_Tab,5,FALSE())*IF(AND(AY$5 &gt; VLOOKUP($P421,Member_Tab,6,FALSE()),AY$5 &lt; VLOOKUP($P421,Member_Tab,7,FALSE())),1,0))</f>
        <v>0</v>
      </c>
      <c r="AZ523" s="184" t="n">
        <f aca="false">IF(ISERROR(VLOOKUP($P421,Member_Tab,5,FALSE())),0,VLOOKUP($P421,Member_Tab,5,FALSE())*IF(AND(AZ$5 &gt; VLOOKUP($P421,Member_Tab,6,FALSE()),AZ$5 &lt; VLOOKUP($P421,Member_Tab,7,FALSE())),1,0))</f>
        <v>0</v>
      </c>
      <c r="BA523" s="184" t="n">
        <f aca="false">IF(ISERROR(VLOOKUP($P421,Member_Tab,5,FALSE())),0,VLOOKUP($P421,Member_Tab,5,FALSE())*IF(AND(BA$5 &gt; VLOOKUP($P421,Member_Tab,6,FALSE()),BA$5 &lt; VLOOKUP($P421,Member_Tab,7,FALSE())),1,0))</f>
        <v>0</v>
      </c>
      <c r="BB523" s="184" t="n">
        <f aca="false">IF(ISERROR(VLOOKUP($P421,Member_Tab,5,FALSE())),0,VLOOKUP($P421,Member_Tab,5,FALSE())*IF(AND(BB$5 &gt; VLOOKUP($P421,Member_Tab,6,FALSE()),BB$5 &lt; VLOOKUP($P421,Member_Tab,7,FALSE())),1,0))</f>
        <v>0</v>
      </c>
    </row>
    <row r="524" s="173" customFormat="true" ht="15.75" hidden="true" customHeight="false" outlineLevel="1" collapsed="false">
      <c r="E524" s="40"/>
      <c r="K524" s="40"/>
      <c r="L524" s="40"/>
      <c r="M524" s="40"/>
      <c r="N524" s="40"/>
      <c r="P524" s="183" t="n">
        <f aca="false">P422</f>
        <v>0</v>
      </c>
      <c r="Q524" s="40"/>
      <c r="R524" s="182"/>
      <c r="S524" s="184" t="n">
        <f aca="false">IF(ISERROR(VLOOKUP($P422,Member_Tab,5,FALSE())),0,VLOOKUP($P422,Member_Tab,5,FALSE())*IF(AND(S$5 &gt; VLOOKUP($P422,Member_Tab,6,FALSE()),S$5 &lt; VLOOKUP($P422,Member_Tab,7,FALSE())),1,0))</f>
        <v>0</v>
      </c>
      <c r="T524" s="184" t="n">
        <f aca="false">IF(ISERROR(VLOOKUP($P422,Member_Tab,5,FALSE())),0,VLOOKUP($P422,Member_Tab,5,FALSE())*IF(AND(T$5 &gt; VLOOKUP($P422,Member_Tab,6,FALSE()),T$5 &lt; VLOOKUP($P422,Member_Tab,7,FALSE())),1,0))</f>
        <v>0</v>
      </c>
      <c r="U524" s="184" t="n">
        <f aca="false">IF(ISERROR(VLOOKUP($P422,Member_Tab,5,FALSE())),0,VLOOKUP($P422,Member_Tab,5,FALSE())*IF(AND(U$5 &gt; VLOOKUP($P422,Member_Tab,6,FALSE()),U$5 &lt; VLOOKUP($P422,Member_Tab,7,FALSE())),1,0))</f>
        <v>0</v>
      </c>
      <c r="V524" s="184" t="n">
        <f aca="false">IF(ISERROR(VLOOKUP($P422,Member_Tab,5,FALSE())),0,VLOOKUP($P422,Member_Tab,5,FALSE())*IF(AND(V$5 &gt; VLOOKUP($P422,Member_Tab,6,FALSE()),V$5 &lt; VLOOKUP($P422,Member_Tab,7,FALSE())),1,0))</f>
        <v>0</v>
      </c>
      <c r="W524" s="184" t="n">
        <f aca="false">IF(ISERROR(VLOOKUP($P422,Member_Tab,5,FALSE())),0,VLOOKUP($P422,Member_Tab,5,FALSE())*IF(AND(W$5 &gt; VLOOKUP($P422,Member_Tab,6,FALSE()),W$5 &lt; VLOOKUP($P422,Member_Tab,7,FALSE())),1,0))</f>
        <v>0</v>
      </c>
      <c r="X524" s="184" t="n">
        <f aca="false">IF(ISERROR(VLOOKUP($P422,Member_Tab,5,FALSE())),0,VLOOKUP($P422,Member_Tab,5,FALSE())*IF(AND(X$5 &gt; VLOOKUP($P422,Member_Tab,6,FALSE()),X$5 &lt; VLOOKUP($P422,Member_Tab,7,FALSE())),1,0))</f>
        <v>0</v>
      </c>
      <c r="Y524" s="184" t="n">
        <f aca="false">IF(ISERROR(VLOOKUP($P422,Member_Tab,5,FALSE())),0,VLOOKUP($P422,Member_Tab,5,FALSE())*IF(AND(Y$5 &gt; VLOOKUP($P422,Member_Tab,6,FALSE()),Y$5 &lt; VLOOKUP($P422,Member_Tab,7,FALSE())),1,0))</f>
        <v>0</v>
      </c>
      <c r="Z524" s="184" t="n">
        <f aca="false">IF(ISERROR(VLOOKUP($P422,Member_Tab,5,FALSE())),0,VLOOKUP($P422,Member_Tab,5,FALSE())*IF(AND(Z$5 &gt; VLOOKUP($P422,Member_Tab,6,FALSE()),Z$5 &lt; VLOOKUP($P422,Member_Tab,7,FALSE())),1,0))</f>
        <v>0</v>
      </c>
      <c r="AA524" s="184" t="n">
        <f aca="false">IF(ISERROR(VLOOKUP($P422,Member_Tab,5,FALSE())),0,VLOOKUP($P422,Member_Tab,5,FALSE())*IF(AND(AA$5 &gt; VLOOKUP($P422,Member_Tab,6,FALSE()),AA$5 &lt; VLOOKUP($P422,Member_Tab,7,FALSE())),1,0))</f>
        <v>0</v>
      </c>
      <c r="AB524" s="184" t="n">
        <f aca="false">IF(ISERROR(VLOOKUP($P422,Member_Tab,5,FALSE())),0,VLOOKUP($P422,Member_Tab,5,FALSE())*IF(AND(AB$5 &gt; VLOOKUP($P422,Member_Tab,6,FALSE()),AB$5 &lt; VLOOKUP($P422,Member_Tab,7,FALSE())),1,0))</f>
        <v>0</v>
      </c>
      <c r="AC524" s="184" t="n">
        <f aca="false">IF(ISERROR(VLOOKUP($P422,Member_Tab,5,FALSE())),0,VLOOKUP($P422,Member_Tab,5,FALSE())*IF(AND(AC$5 &gt; VLOOKUP($P422,Member_Tab,6,FALSE()),AC$5 &lt; VLOOKUP($P422,Member_Tab,7,FALSE())),1,0))</f>
        <v>0</v>
      </c>
      <c r="AD524" s="184" t="n">
        <f aca="false">IF(ISERROR(VLOOKUP($P422,Member_Tab,5,FALSE())),0,VLOOKUP($P422,Member_Tab,5,FALSE())*IF(AND(AD$5 &gt; VLOOKUP($P422,Member_Tab,6,FALSE()),AD$5 &lt; VLOOKUP($P422,Member_Tab,7,FALSE())),1,0))</f>
        <v>0</v>
      </c>
      <c r="AE524" s="184" t="n">
        <f aca="false">IF(ISERROR(VLOOKUP($P422,Member_Tab,5,FALSE())),0,VLOOKUP($P422,Member_Tab,5,FALSE())*IF(AND(AE$5 &gt; VLOOKUP($P422,Member_Tab,6,FALSE()),AE$5 &lt; VLOOKUP($P422,Member_Tab,7,FALSE())),1,0))</f>
        <v>0</v>
      </c>
      <c r="AF524" s="184" t="n">
        <f aca="false">IF(ISERROR(VLOOKUP($P422,Member_Tab,5,FALSE())),0,VLOOKUP($P422,Member_Tab,5,FALSE())*IF(AND(AF$5 &gt; VLOOKUP($P422,Member_Tab,6,FALSE()),AF$5 &lt; VLOOKUP($P422,Member_Tab,7,FALSE())),1,0))</f>
        <v>0</v>
      </c>
      <c r="AG524" s="184" t="n">
        <f aca="false">IF(ISERROR(VLOOKUP($P422,Member_Tab,5,FALSE())),0,VLOOKUP($P422,Member_Tab,5,FALSE())*IF(AND(AG$5 &gt; VLOOKUP($P422,Member_Tab,6,FALSE()),AG$5 &lt; VLOOKUP($P422,Member_Tab,7,FALSE())),1,0))</f>
        <v>0</v>
      </c>
      <c r="AH524" s="184" t="n">
        <f aca="false">IF(ISERROR(VLOOKUP($P422,Member_Tab,5,FALSE())),0,VLOOKUP($P422,Member_Tab,5,FALSE())*IF(AND(AH$5 &gt; VLOOKUP($P422,Member_Tab,6,FALSE()),AH$5 &lt; VLOOKUP($P422,Member_Tab,7,FALSE())),1,0))</f>
        <v>0</v>
      </c>
      <c r="AI524" s="184" t="n">
        <f aca="false">IF(ISERROR(VLOOKUP($P422,Member_Tab,5,FALSE())),0,VLOOKUP($P422,Member_Tab,5,FALSE())*IF(AND(AI$5 &gt; VLOOKUP($P422,Member_Tab,6,FALSE()),AI$5 &lt; VLOOKUP($P422,Member_Tab,7,FALSE())),1,0))</f>
        <v>0</v>
      </c>
      <c r="AJ524" s="184" t="n">
        <f aca="false">IF(ISERROR(VLOOKUP($P422,Member_Tab,5,FALSE())),0,VLOOKUP($P422,Member_Tab,5,FALSE())*IF(AND(AJ$5 &gt; VLOOKUP($P422,Member_Tab,6,FALSE()),AJ$5 &lt; VLOOKUP($P422,Member_Tab,7,FALSE())),1,0))</f>
        <v>0</v>
      </c>
      <c r="AK524" s="184" t="n">
        <f aca="false">IF(ISERROR(VLOOKUP($P422,Member_Tab,5,FALSE())),0,VLOOKUP($P422,Member_Tab,5,FALSE())*IF(AND(AK$5 &gt; VLOOKUP($P422,Member_Tab,6,FALSE()),AK$5 &lt; VLOOKUP($P422,Member_Tab,7,FALSE())),1,0))</f>
        <v>0</v>
      </c>
      <c r="AL524" s="184" t="n">
        <f aca="false">IF(ISERROR(VLOOKUP($P422,Member_Tab,5,FALSE())),0,VLOOKUP($P422,Member_Tab,5,FALSE())*IF(AND(AL$5 &gt; VLOOKUP($P422,Member_Tab,6,FALSE()),AL$5 &lt; VLOOKUP($P422,Member_Tab,7,FALSE())),1,0))</f>
        <v>0</v>
      </c>
      <c r="AM524" s="184" t="n">
        <f aca="false">IF(ISERROR(VLOOKUP($P422,Member_Tab,5,FALSE())),0,VLOOKUP($P422,Member_Tab,5,FALSE())*IF(AND(AM$5 &gt; VLOOKUP($P422,Member_Tab,6,FALSE()),AM$5 &lt; VLOOKUP($P422,Member_Tab,7,FALSE())),1,0))</f>
        <v>0</v>
      </c>
      <c r="AN524" s="184" t="n">
        <f aca="false">IF(ISERROR(VLOOKUP($P422,Member_Tab,5,FALSE())),0,VLOOKUP($P422,Member_Tab,5,FALSE())*IF(AND(AN$5 &gt; VLOOKUP($P422,Member_Tab,6,FALSE()),AN$5 &lt; VLOOKUP($P422,Member_Tab,7,FALSE())),1,0))</f>
        <v>0</v>
      </c>
      <c r="AO524" s="184" t="n">
        <f aca="false">IF(ISERROR(VLOOKUP($P422,Member_Tab,5,FALSE())),0,VLOOKUP($P422,Member_Tab,5,FALSE())*IF(AND(AO$5 &gt; VLOOKUP($P422,Member_Tab,6,FALSE()),AO$5 &lt; VLOOKUP($P422,Member_Tab,7,FALSE())),1,0))</f>
        <v>0</v>
      </c>
      <c r="AP524" s="184" t="n">
        <f aca="false">IF(ISERROR(VLOOKUP($P422,Member_Tab,5,FALSE())),0,VLOOKUP($P422,Member_Tab,5,FALSE())*IF(AND(AP$5 &gt; VLOOKUP($P422,Member_Tab,6,FALSE()),AP$5 &lt; VLOOKUP($P422,Member_Tab,7,FALSE())),1,0))</f>
        <v>0</v>
      </c>
      <c r="AQ524" s="184" t="n">
        <f aca="false">IF(ISERROR(VLOOKUP($P422,Member_Tab,5,FALSE())),0,VLOOKUP($P422,Member_Tab,5,FALSE())*IF(AND(AQ$5 &gt; VLOOKUP($P422,Member_Tab,6,FALSE()),AQ$5 &lt; VLOOKUP($P422,Member_Tab,7,FALSE())),1,0))</f>
        <v>0</v>
      </c>
      <c r="AR524" s="184" t="n">
        <f aca="false">IF(ISERROR(VLOOKUP($P422,Member_Tab,5,FALSE())),0,VLOOKUP($P422,Member_Tab,5,FALSE())*IF(AND(AR$5 &gt; VLOOKUP($P422,Member_Tab,6,FALSE()),AR$5 &lt; VLOOKUP($P422,Member_Tab,7,FALSE())),1,0))</f>
        <v>0</v>
      </c>
      <c r="AS524" s="184" t="n">
        <f aca="false">IF(ISERROR(VLOOKUP($P422,Member_Tab,5,FALSE())),0,VLOOKUP($P422,Member_Tab,5,FALSE())*IF(AND(AS$5 &gt; VLOOKUP($P422,Member_Tab,6,FALSE()),AS$5 &lt; VLOOKUP($P422,Member_Tab,7,FALSE())),1,0))</f>
        <v>0</v>
      </c>
      <c r="AT524" s="184" t="n">
        <f aca="false">IF(ISERROR(VLOOKUP($P422,Member_Tab,5,FALSE())),0,VLOOKUP($P422,Member_Tab,5,FALSE())*IF(AND(AT$5 &gt; VLOOKUP($P422,Member_Tab,6,FALSE()),AT$5 &lt; VLOOKUP($P422,Member_Tab,7,FALSE())),1,0))</f>
        <v>0</v>
      </c>
      <c r="AU524" s="184" t="n">
        <f aca="false">IF(ISERROR(VLOOKUP($P422,Member_Tab,5,FALSE())),0,VLOOKUP($P422,Member_Tab,5,FALSE())*IF(AND(AU$5 &gt; VLOOKUP($P422,Member_Tab,6,FALSE()),AU$5 &lt; VLOOKUP($P422,Member_Tab,7,FALSE())),1,0))</f>
        <v>0</v>
      </c>
      <c r="AV524" s="184" t="n">
        <f aca="false">IF(ISERROR(VLOOKUP($P422,Member_Tab,5,FALSE())),0,VLOOKUP($P422,Member_Tab,5,FALSE())*IF(AND(AV$5 &gt; VLOOKUP($P422,Member_Tab,6,FALSE()),AV$5 &lt; VLOOKUP($P422,Member_Tab,7,FALSE())),1,0))</f>
        <v>0</v>
      </c>
      <c r="AW524" s="184" t="n">
        <f aca="false">IF(ISERROR(VLOOKUP($P422,Member_Tab,5,FALSE())),0,VLOOKUP($P422,Member_Tab,5,FALSE())*IF(AND(AW$5 &gt; VLOOKUP($P422,Member_Tab,6,FALSE()),AW$5 &lt; VLOOKUP($P422,Member_Tab,7,FALSE())),1,0))</f>
        <v>0</v>
      </c>
      <c r="AX524" s="184" t="n">
        <f aca="false">IF(ISERROR(VLOOKUP($P422,Member_Tab,5,FALSE())),0,VLOOKUP($P422,Member_Tab,5,FALSE())*IF(AND(AX$5 &gt; VLOOKUP($P422,Member_Tab,6,FALSE()),AX$5 &lt; VLOOKUP($P422,Member_Tab,7,FALSE())),1,0))</f>
        <v>0</v>
      </c>
      <c r="AY524" s="184" t="n">
        <f aca="false">IF(ISERROR(VLOOKUP($P422,Member_Tab,5,FALSE())),0,VLOOKUP($P422,Member_Tab,5,FALSE())*IF(AND(AY$5 &gt; VLOOKUP($P422,Member_Tab,6,FALSE()),AY$5 &lt; VLOOKUP($P422,Member_Tab,7,FALSE())),1,0))</f>
        <v>0</v>
      </c>
      <c r="AZ524" s="184" t="n">
        <f aca="false">IF(ISERROR(VLOOKUP($P422,Member_Tab,5,FALSE())),0,VLOOKUP($P422,Member_Tab,5,FALSE())*IF(AND(AZ$5 &gt; VLOOKUP($P422,Member_Tab,6,FALSE()),AZ$5 &lt; VLOOKUP($P422,Member_Tab,7,FALSE())),1,0))</f>
        <v>0</v>
      </c>
      <c r="BA524" s="184" t="n">
        <f aca="false">IF(ISERROR(VLOOKUP($P422,Member_Tab,5,FALSE())),0,VLOOKUP($P422,Member_Tab,5,FALSE())*IF(AND(BA$5 &gt; VLOOKUP($P422,Member_Tab,6,FALSE()),BA$5 &lt; VLOOKUP($P422,Member_Tab,7,FALSE())),1,0))</f>
        <v>0</v>
      </c>
      <c r="BB524" s="184" t="n">
        <f aca="false">IF(ISERROR(VLOOKUP($P422,Member_Tab,5,FALSE())),0,VLOOKUP($P422,Member_Tab,5,FALSE())*IF(AND(BB$5 &gt; VLOOKUP($P422,Member_Tab,6,FALSE()),BB$5 &lt; VLOOKUP($P422,Member_Tab,7,FALSE())),1,0))</f>
        <v>0</v>
      </c>
    </row>
    <row r="525" s="173" customFormat="true" ht="15.75" hidden="true" customHeight="false" outlineLevel="1" collapsed="false">
      <c r="E525" s="40"/>
      <c r="K525" s="40"/>
      <c r="L525" s="40"/>
      <c r="M525" s="40"/>
      <c r="N525" s="40"/>
      <c r="P525" s="183" t="n">
        <f aca="false">P423</f>
        <v>0</v>
      </c>
      <c r="Q525" s="40"/>
      <c r="R525" s="182"/>
      <c r="S525" s="184" t="n">
        <f aca="false">IF(ISERROR(VLOOKUP($P423,Member_Tab,5,FALSE())),0,VLOOKUP($P423,Member_Tab,5,FALSE())*IF(AND(S$5 &gt; VLOOKUP($P423,Member_Tab,6,FALSE()),S$5 &lt; VLOOKUP($P423,Member_Tab,7,FALSE())),1,0))</f>
        <v>0</v>
      </c>
      <c r="T525" s="184" t="n">
        <f aca="false">IF(ISERROR(VLOOKUP($P423,Member_Tab,5,FALSE())),0,VLOOKUP($P423,Member_Tab,5,FALSE())*IF(AND(T$5 &gt; VLOOKUP($P423,Member_Tab,6,FALSE()),T$5 &lt; VLOOKUP($P423,Member_Tab,7,FALSE())),1,0))</f>
        <v>0</v>
      </c>
      <c r="U525" s="184" t="n">
        <f aca="false">IF(ISERROR(VLOOKUP($P423,Member_Tab,5,FALSE())),0,VLOOKUP($P423,Member_Tab,5,FALSE())*IF(AND(U$5 &gt; VLOOKUP($P423,Member_Tab,6,FALSE()),U$5 &lt; VLOOKUP($P423,Member_Tab,7,FALSE())),1,0))</f>
        <v>0</v>
      </c>
      <c r="V525" s="184" t="n">
        <f aca="false">IF(ISERROR(VLOOKUP($P423,Member_Tab,5,FALSE())),0,VLOOKUP($P423,Member_Tab,5,FALSE())*IF(AND(V$5 &gt; VLOOKUP($P423,Member_Tab,6,FALSE()),V$5 &lt; VLOOKUP($P423,Member_Tab,7,FALSE())),1,0))</f>
        <v>0</v>
      </c>
      <c r="W525" s="184" t="n">
        <f aca="false">IF(ISERROR(VLOOKUP($P423,Member_Tab,5,FALSE())),0,VLOOKUP($P423,Member_Tab,5,FALSE())*IF(AND(W$5 &gt; VLOOKUP($P423,Member_Tab,6,FALSE()),W$5 &lt; VLOOKUP($P423,Member_Tab,7,FALSE())),1,0))</f>
        <v>0</v>
      </c>
      <c r="X525" s="184" t="n">
        <f aca="false">IF(ISERROR(VLOOKUP($P423,Member_Tab,5,FALSE())),0,VLOOKUP($P423,Member_Tab,5,FALSE())*IF(AND(X$5 &gt; VLOOKUP($P423,Member_Tab,6,FALSE()),X$5 &lt; VLOOKUP($P423,Member_Tab,7,FALSE())),1,0))</f>
        <v>0</v>
      </c>
      <c r="Y525" s="184" t="n">
        <f aca="false">IF(ISERROR(VLOOKUP($P423,Member_Tab,5,FALSE())),0,VLOOKUP($P423,Member_Tab,5,FALSE())*IF(AND(Y$5 &gt; VLOOKUP($P423,Member_Tab,6,FALSE()),Y$5 &lt; VLOOKUP($P423,Member_Tab,7,FALSE())),1,0))</f>
        <v>0</v>
      </c>
      <c r="Z525" s="184" t="n">
        <f aca="false">IF(ISERROR(VLOOKUP($P423,Member_Tab,5,FALSE())),0,VLOOKUP($P423,Member_Tab,5,FALSE())*IF(AND(Z$5 &gt; VLOOKUP($P423,Member_Tab,6,FALSE()),Z$5 &lt; VLOOKUP($P423,Member_Tab,7,FALSE())),1,0))</f>
        <v>0</v>
      </c>
      <c r="AA525" s="184" t="n">
        <f aca="false">IF(ISERROR(VLOOKUP($P423,Member_Tab,5,FALSE())),0,VLOOKUP($P423,Member_Tab,5,FALSE())*IF(AND(AA$5 &gt; VLOOKUP($P423,Member_Tab,6,FALSE()),AA$5 &lt; VLOOKUP($P423,Member_Tab,7,FALSE())),1,0))</f>
        <v>0</v>
      </c>
      <c r="AB525" s="184" t="n">
        <f aca="false">IF(ISERROR(VLOOKUP($P423,Member_Tab,5,FALSE())),0,VLOOKUP($P423,Member_Tab,5,FALSE())*IF(AND(AB$5 &gt; VLOOKUP($P423,Member_Tab,6,FALSE()),AB$5 &lt; VLOOKUP($P423,Member_Tab,7,FALSE())),1,0))</f>
        <v>0</v>
      </c>
      <c r="AC525" s="184" t="n">
        <f aca="false">IF(ISERROR(VLOOKUP($P423,Member_Tab,5,FALSE())),0,VLOOKUP($P423,Member_Tab,5,FALSE())*IF(AND(AC$5 &gt; VLOOKUP($P423,Member_Tab,6,FALSE()),AC$5 &lt; VLOOKUP($P423,Member_Tab,7,FALSE())),1,0))</f>
        <v>0</v>
      </c>
      <c r="AD525" s="184" t="n">
        <f aca="false">IF(ISERROR(VLOOKUP($P423,Member_Tab,5,FALSE())),0,VLOOKUP($P423,Member_Tab,5,FALSE())*IF(AND(AD$5 &gt; VLOOKUP($P423,Member_Tab,6,FALSE()),AD$5 &lt; VLOOKUP($P423,Member_Tab,7,FALSE())),1,0))</f>
        <v>0</v>
      </c>
      <c r="AE525" s="184" t="n">
        <f aca="false">IF(ISERROR(VLOOKUP($P423,Member_Tab,5,FALSE())),0,VLOOKUP($P423,Member_Tab,5,FALSE())*IF(AND(AE$5 &gt; VLOOKUP($P423,Member_Tab,6,FALSE()),AE$5 &lt; VLOOKUP($P423,Member_Tab,7,FALSE())),1,0))</f>
        <v>0</v>
      </c>
      <c r="AF525" s="184" t="n">
        <f aca="false">IF(ISERROR(VLOOKUP($P423,Member_Tab,5,FALSE())),0,VLOOKUP($P423,Member_Tab,5,FALSE())*IF(AND(AF$5 &gt; VLOOKUP($P423,Member_Tab,6,FALSE()),AF$5 &lt; VLOOKUP($P423,Member_Tab,7,FALSE())),1,0))</f>
        <v>0</v>
      </c>
      <c r="AG525" s="184" t="n">
        <f aca="false">IF(ISERROR(VLOOKUP($P423,Member_Tab,5,FALSE())),0,VLOOKUP($P423,Member_Tab,5,FALSE())*IF(AND(AG$5 &gt; VLOOKUP($P423,Member_Tab,6,FALSE()),AG$5 &lt; VLOOKUP($P423,Member_Tab,7,FALSE())),1,0))</f>
        <v>0</v>
      </c>
      <c r="AH525" s="184" t="n">
        <f aca="false">IF(ISERROR(VLOOKUP($P423,Member_Tab,5,FALSE())),0,VLOOKUP($P423,Member_Tab,5,FALSE())*IF(AND(AH$5 &gt; VLOOKUP($P423,Member_Tab,6,FALSE()),AH$5 &lt; VLOOKUP($P423,Member_Tab,7,FALSE())),1,0))</f>
        <v>0</v>
      </c>
      <c r="AI525" s="184" t="n">
        <f aca="false">IF(ISERROR(VLOOKUP($P423,Member_Tab,5,FALSE())),0,VLOOKUP($P423,Member_Tab,5,FALSE())*IF(AND(AI$5 &gt; VLOOKUP($P423,Member_Tab,6,FALSE()),AI$5 &lt; VLOOKUP($P423,Member_Tab,7,FALSE())),1,0))</f>
        <v>0</v>
      </c>
      <c r="AJ525" s="184" t="n">
        <f aca="false">IF(ISERROR(VLOOKUP($P423,Member_Tab,5,FALSE())),0,VLOOKUP($P423,Member_Tab,5,FALSE())*IF(AND(AJ$5 &gt; VLOOKUP($P423,Member_Tab,6,FALSE()),AJ$5 &lt; VLOOKUP($P423,Member_Tab,7,FALSE())),1,0))</f>
        <v>0</v>
      </c>
      <c r="AK525" s="184" t="n">
        <f aca="false">IF(ISERROR(VLOOKUP($P423,Member_Tab,5,FALSE())),0,VLOOKUP($P423,Member_Tab,5,FALSE())*IF(AND(AK$5 &gt; VLOOKUP($P423,Member_Tab,6,FALSE()),AK$5 &lt; VLOOKUP($P423,Member_Tab,7,FALSE())),1,0))</f>
        <v>0</v>
      </c>
      <c r="AL525" s="184" t="n">
        <f aca="false">IF(ISERROR(VLOOKUP($P423,Member_Tab,5,FALSE())),0,VLOOKUP($P423,Member_Tab,5,FALSE())*IF(AND(AL$5 &gt; VLOOKUP($P423,Member_Tab,6,FALSE()),AL$5 &lt; VLOOKUP($P423,Member_Tab,7,FALSE())),1,0))</f>
        <v>0</v>
      </c>
      <c r="AM525" s="184" t="n">
        <f aca="false">IF(ISERROR(VLOOKUP($P423,Member_Tab,5,FALSE())),0,VLOOKUP($P423,Member_Tab,5,FALSE())*IF(AND(AM$5 &gt; VLOOKUP($P423,Member_Tab,6,FALSE()),AM$5 &lt; VLOOKUP($P423,Member_Tab,7,FALSE())),1,0))</f>
        <v>0</v>
      </c>
      <c r="AN525" s="184" t="n">
        <f aca="false">IF(ISERROR(VLOOKUP($P423,Member_Tab,5,FALSE())),0,VLOOKUP($P423,Member_Tab,5,FALSE())*IF(AND(AN$5 &gt; VLOOKUP($P423,Member_Tab,6,FALSE()),AN$5 &lt; VLOOKUP($P423,Member_Tab,7,FALSE())),1,0))</f>
        <v>0</v>
      </c>
      <c r="AO525" s="184" t="n">
        <f aca="false">IF(ISERROR(VLOOKUP($P423,Member_Tab,5,FALSE())),0,VLOOKUP($P423,Member_Tab,5,FALSE())*IF(AND(AO$5 &gt; VLOOKUP($P423,Member_Tab,6,FALSE()),AO$5 &lt; VLOOKUP($P423,Member_Tab,7,FALSE())),1,0))</f>
        <v>0</v>
      </c>
      <c r="AP525" s="184" t="n">
        <f aca="false">IF(ISERROR(VLOOKUP($P423,Member_Tab,5,FALSE())),0,VLOOKUP($P423,Member_Tab,5,FALSE())*IF(AND(AP$5 &gt; VLOOKUP($P423,Member_Tab,6,FALSE()),AP$5 &lt; VLOOKUP($P423,Member_Tab,7,FALSE())),1,0))</f>
        <v>0</v>
      </c>
      <c r="AQ525" s="184" t="n">
        <f aca="false">IF(ISERROR(VLOOKUP($P423,Member_Tab,5,FALSE())),0,VLOOKUP($P423,Member_Tab,5,FALSE())*IF(AND(AQ$5 &gt; VLOOKUP($P423,Member_Tab,6,FALSE()),AQ$5 &lt; VLOOKUP($P423,Member_Tab,7,FALSE())),1,0))</f>
        <v>0</v>
      </c>
      <c r="AR525" s="184" t="n">
        <f aca="false">IF(ISERROR(VLOOKUP($P423,Member_Tab,5,FALSE())),0,VLOOKUP($P423,Member_Tab,5,FALSE())*IF(AND(AR$5 &gt; VLOOKUP($P423,Member_Tab,6,FALSE()),AR$5 &lt; VLOOKUP($P423,Member_Tab,7,FALSE())),1,0))</f>
        <v>0</v>
      </c>
      <c r="AS525" s="184" t="n">
        <f aca="false">IF(ISERROR(VLOOKUP($P423,Member_Tab,5,FALSE())),0,VLOOKUP($P423,Member_Tab,5,FALSE())*IF(AND(AS$5 &gt; VLOOKUP($P423,Member_Tab,6,FALSE()),AS$5 &lt; VLOOKUP($P423,Member_Tab,7,FALSE())),1,0))</f>
        <v>0</v>
      </c>
      <c r="AT525" s="184" t="n">
        <f aca="false">IF(ISERROR(VLOOKUP($P423,Member_Tab,5,FALSE())),0,VLOOKUP($P423,Member_Tab,5,FALSE())*IF(AND(AT$5 &gt; VLOOKUP($P423,Member_Tab,6,FALSE()),AT$5 &lt; VLOOKUP($P423,Member_Tab,7,FALSE())),1,0))</f>
        <v>0</v>
      </c>
      <c r="AU525" s="184" t="n">
        <f aca="false">IF(ISERROR(VLOOKUP($P423,Member_Tab,5,FALSE())),0,VLOOKUP($P423,Member_Tab,5,FALSE())*IF(AND(AU$5 &gt; VLOOKUP($P423,Member_Tab,6,FALSE()),AU$5 &lt; VLOOKUP($P423,Member_Tab,7,FALSE())),1,0))</f>
        <v>0</v>
      </c>
      <c r="AV525" s="184" t="n">
        <f aca="false">IF(ISERROR(VLOOKUP($P423,Member_Tab,5,FALSE())),0,VLOOKUP($P423,Member_Tab,5,FALSE())*IF(AND(AV$5 &gt; VLOOKUP($P423,Member_Tab,6,FALSE()),AV$5 &lt; VLOOKUP($P423,Member_Tab,7,FALSE())),1,0))</f>
        <v>0</v>
      </c>
      <c r="AW525" s="184" t="n">
        <f aca="false">IF(ISERROR(VLOOKUP($P423,Member_Tab,5,FALSE())),0,VLOOKUP($P423,Member_Tab,5,FALSE())*IF(AND(AW$5 &gt; VLOOKUP($P423,Member_Tab,6,FALSE()),AW$5 &lt; VLOOKUP($P423,Member_Tab,7,FALSE())),1,0))</f>
        <v>0</v>
      </c>
      <c r="AX525" s="184" t="n">
        <f aca="false">IF(ISERROR(VLOOKUP($P423,Member_Tab,5,FALSE())),0,VLOOKUP($P423,Member_Tab,5,FALSE())*IF(AND(AX$5 &gt; VLOOKUP($P423,Member_Tab,6,FALSE()),AX$5 &lt; VLOOKUP($P423,Member_Tab,7,FALSE())),1,0))</f>
        <v>0</v>
      </c>
      <c r="AY525" s="184" t="n">
        <f aca="false">IF(ISERROR(VLOOKUP($P423,Member_Tab,5,FALSE())),0,VLOOKUP($P423,Member_Tab,5,FALSE())*IF(AND(AY$5 &gt; VLOOKUP($P423,Member_Tab,6,FALSE()),AY$5 &lt; VLOOKUP($P423,Member_Tab,7,FALSE())),1,0))</f>
        <v>0</v>
      </c>
      <c r="AZ525" s="184" t="n">
        <f aca="false">IF(ISERROR(VLOOKUP($P423,Member_Tab,5,FALSE())),0,VLOOKUP($P423,Member_Tab,5,FALSE())*IF(AND(AZ$5 &gt; VLOOKUP($P423,Member_Tab,6,FALSE()),AZ$5 &lt; VLOOKUP($P423,Member_Tab,7,FALSE())),1,0))</f>
        <v>0</v>
      </c>
      <c r="BA525" s="184" t="n">
        <f aca="false">IF(ISERROR(VLOOKUP($P423,Member_Tab,5,FALSE())),0,VLOOKUP($P423,Member_Tab,5,FALSE())*IF(AND(BA$5 &gt; VLOOKUP($P423,Member_Tab,6,FALSE()),BA$5 &lt; VLOOKUP($P423,Member_Tab,7,FALSE())),1,0))</f>
        <v>0</v>
      </c>
      <c r="BB525" s="184" t="n">
        <f aca="false">IF(ISERROR(VLOOKUP($P423,Member_Tab,5,FALSE())),0,VLOOKUP($P423,Member_Tab,5,FALSE())*IF(AND(BB$5 &gt; VLOOKUP($P423,Member_Tab,6,FALSE()),BB$5 &lt; VLOOKUP($P423,Member_Tab,7,FALSE())),1,0))</f>
        <v>0</v>
      </c>
    </row>
    <row r="526" s="173" customFormat="true" ht="15.75" hidden="true" customHeight="false" outlineLevel="1" collapsed="false">
      <c r="E526" s="40"/>
      <c r="K526" s="40"/>
      <c r="L526" s="40"/>
      <c r="M526" s="40"/>
      <c r="N526" s="40"/>
      <c r="P526" s="183" t="n">
        <f aca="false">P424</f>
        <v>0</v>
      </c>
      <c r="Q526" s="40"/>
      <c r="R526" s="182"/>
      <c r="S526" s="184" t="n">
        <f aca="false">IF(ISERROR(VLOOKUP($P424,Member_Tab,5,FALSE())),0,VLOOKUP($P424,Member_Tab,5,FALSE())*IF(AND(S$5 &gt; VLOOKUP($P424,Member_Tab,6,FALSE()),S$5 &lt; VLOOKUP($P424,Member_Tab,7,FALSE())),1,0))</f>
        <v>0</v>
      </c>
      <c r="T526" s="184" t="n">
        <f aca="false">IF(ISERROR(VLOOKUP($P424,Member_Tab,5,FALSE())),0,VLOOKUP($P424,Member_Tab,5,FALSE())*IF(AND(T$5 &gt; VLOOKUP($P424,Member_Tab,6,FALSE()),T$5 &lt; VLOOKUP($P424,Member_Tab,7,FALSE())),1,0))</f>
        <v>0</v>
      </c>
      <c r="U526" s="184" t="n">
        <f aca="false">IF(ISERROR(VLOOKUP($P424,Member_Tab,5,FALSE())),0,VLOOKUP($P424,Member_Tab,5,FALSE())*IF(AND(U$5 &gt; VLOOKUP($P424,Member_Tab,6,FALSE()),U$5 &lt; VLOOKUP($P424,Member_Tab,7,FALSE())),1,0))</f>
        <v>0</v>
      </c>
      <c r="V526" s="184" t="n">
        <f aca="false">IF(ISERROR(VLOOKUP($P424,Member_Tab,5,FALSE())),0,VLOOKUP($P424,Member_Tab,5,FALSE())*IF(AND(V$5 &gt; VLOOKUP($P424,Member_Tab,6,FALSE()),V$5 &lt; VLOOKUP($P424,Member_Tab,7,FALSE())),1,0))</f>
        <v>0</v>
      </c>
      <c r="W526" s="184" t="n">
        <f aca="false">IF(ISERROR(VLOOKUP($P424,Member_Tab,5,FALSE())),0,VLOOKUP($P424,Member_Tab,5,FALSE())*IF(AND(W$5 &gt; VLOOKUP($P424,Member_Tab,6,FALSE()),W$5 &lt; VLOOKUP($P424,Member_Tab,7,FALSE())),1,0))</f>
        <v>0</v>
      </c>
      <c r="X526" s="184" t="n">
        <f aca="false">IF(ISERROR(VLOOKUP($P424,Member_Tab,5,FALSE())),0,VLOOKUP($P424,Member_Tab,5,FALSE())*IF(AND(X$5 &gt; VLOOKUP($P424,Member_Tab,6,FALSE()),X$5 &lt; VLOOKUP($P424,Member_Tab,7,FALSE())),1,0))</f>
        <v>0</v>
      </c>
      <c r="Y526" s="184" t="n">
        <f aca="false">IF(ISERROR(VLOOKUP($P424,Member_Tab,5,FALSE())),0,VLOOKUP($P424,Member_Tab,5,FALSE())*IF(AND(Y$5 &gt; VLOOKUP($P424,Member_Tab,6,FALSE()),Y$5 &lt; VLOOKUP($P424,Member_Tab,7,FALSE())),1,0))</f>
        <v>0</v>
      </c>
      <c r="Z526" s="184" t="n">
        <f aca="false">IF(ISERROR(VLOOKUP($P424,Member_Tab,5,FALSE())),0,VLOOKUP($P424,Member_Tab,5,FALSE())*IF(AND(Z$5 &gt; VLOOKUP($P424,Member_Tab,6,FALSE()),Z$5 &lt; VLOOKUP($P424,Member_Tab,7,FALSE())),1,0))</f>
        <v>0</v>
      </c>
      <c r="AA526" s="184" t="n">
        <f aca="false">IF(ISERROR(VLOOKUP($P424,Member_Tab,5,FALSE())),0,VLOOKUP($P424,Member_Tab,5,FALSE())*IF(AND(AA$5 &gt; VLOOKUP($P424,Member_Tab,6,FALSE()),AA$5 &lt; VLOOKUP($P424,Member_Tab,7,FALSE())),1,0))</f>
        <v>0</v>
      </c>
      <c r="AB526" s="184" t="n">
        <f aca="false">IF(ISERROR(VLOOKUP($P424,Member_Tab,5,FALSE())),0,VLOOKUP($P424,Member_Tab,5,FALSE())*IF(AND(AB$5 &gt; VLOOKUP($P424,Member_Tab,6,FALSE()),AB$5 &lt; VLOOKUP($P424,Member_Tab,7,FALSE())),1,0))</f>
        <v>0</v>
      </c>
      <c r="AC526" s="184" t="n">
        <f aca="false">IF(ISERROR(VLOOKUP($P424,Member_Tab,5,FALSE())),0,VLOOKUP($P424,Member_Tab,5,FALSE())*IF(AND(AC$5 &gt; VLOOKUP($P424,Member_Tab,6,FALSE()),AC$5 &lt; VLOOKUP($P424,Member_Tab,7,FALSE())),1,0))</f>
        <v>0</v>
      </c>
      <c r="AD526" s="184" t="n">
        <f aca="false">IF(ISERROR(VLOOKUP($P424,Member_Tab,5,FALSE())),0,VLOOKUP($P424,Member_Tab,5,FALSE())*IF(AND(AD$5 &gt; VLOOKUP($P424,Member_Tab,6,FALSE()),AD$5 &lt; VLOOKUP($P424,Member_Tab,7,FALSE())),1,0))</f>
        <v>0</v>
      </c>
      <c r="AE526" s="184" t="n">
        <f aca="false">IF(ISERROR(VLOOKUP($P424,Member_Tab,5,FALSE())),0,VLOOKUP($P424,Member_Tab,5,FALSE())*IF(AND(AE$5 &gt; VLOOKUP($P424,Member_Tab,6,FALSE()),AE$5 &lt; VLOOKUP($P424,Member_Tab,7,FALSE())),1,0))</f>
        <v>0</v>
      </c>
      <c r="AF526" s="184" t="n">
        <f aca="false">IF(ISERROR(VLOOKUP($P424,Member_Tab,5,FALSE())),0,VLOOKUP($P424,Member_Tab,5,FALSE())*IF(AND(AF$5 &gt; VLOOKUP($P424,Member_Tab,6,FALSE()),AF$5 &lt; VLOOKUP($P424,Member_Tab,7,FALSE())),1,0))</f>
        <v>0</v>
      </c>
      <c r="AG526" s="184" t="n">
        <f aca="false">IF(ISERROR(VLOOKUP($P424,Member_Tab,5,FALSE())),0,VLOOKUP($P424,Member_Tab,5,FALSE())*IF(AND(AG$5 &gt; VLOOKUP($P424,Member_Tab,6,FALSE()),AG$5 &lt; VLOOKUP($P424,Member_Tab,7,FALSE())),1,0))</f>
        <v>0</v>
      </c>
      <c r="AH526" s="184" t="n">
        <f aca="false">IF(ISERROR(VLOOKUP($P424,Member_Tab,5,FALSE())),0,VLOOKUP($P424,Member_Tab,5,FALSE())*IF(AND(AH$5 &gt; VLOOKUP($P424,Member_Tab,6,FALSE()),AH$5 &lt; VLOOKUP($P424,Member_Tab,7,FALSE())),1,0))</f>
        <v>0</v>
      </c>
      <c r="AI526" s="184" t="n">
        <f aca="false">IF(ISERROR(VLOOKUP($P424,Member_Tab,5,FALSE())),0,VLOOKUP($P424,Member_Tab,5,FALSE())*IF(AND(AI$5 &gt; VLOOKUP($P424,Member_Tab,6,FALSE()),AI$5 &lt; VLOOKUP($P424,Member_Tab,7,FALSE())),1,0))</f>
        <v>0</v>
      </c>
      <c r="AJ526" s="184" t="n">
        <f aca="false">IF(ISERROR(VLOOKUP($P424,Member_Tab,5,FALSE())),0,VLOOKUP($P424,Member_Tab,5,FALSE())*IF(AND(AJ$5 &gt; VLOOKUP($P424,Member_Tab,6,FALSE()),AJ$5 &lt; VLOOKUP($P424,Member_Tab,7,FALSE())),1,0))</f>
        <v>0</v>
      </c>
      <c r="AK526" s="184" t="n">
        <f aca="false">IF(ISERROR(VLOOKUP($P424,Member_Tab,5,FALSE())),0,VLOOKUP($P424,Member_Tab,5,FALSE())*IF(AND(AK$5 &gt; VLOOKUP($P424,Member_Tab,6,FALSE()),AK$5 &lt; VLOOKUP($P424,Member_Tab,7,FALSE())),1,0))</f>
        <v>0</v>
      </c>
      <c r="AL526" s="184" t="n">
        <f aca="false">IF(ISERROR(VLOOKUP($P424,Member_Tab,5,FALSE())),0,VLOOKUP($P424,Member_Tab,5,FALSE())*IF(AND(AL$5 &gt; VLOOKUP($P424,Member_Tab,6,FALSE()),AL$5 &lt; VLOOKUP($P424,Member_Tab,7,FALSE())),1,0))</f>
        <v>0</v>
      </c>
      <c r="AM526" s="184" t="n">
        <f aca="false">IF(ISERROR(VLOOKUP($P424,Member_Tab,5,FALSE())),0,VLOOKUP($P424,Member_Tab,5,FALSE())*IF(AND(AM$5 &gt; VLOOKUP($P424,Member_Tab,6,FALSE()),AM$5 &lt; VLOOKUP($P424,Member_Tab,7,FALSE())),1,0))</f>
        <v>0</v>
      </c>
      <c r="AN526" s="184" t="n">
        <f aca="false">IF(ISERROR(VLOOKUP($P424,Member_Tab,5,FALSE())),0,VLOOKUP($P424,Member_Tab,5,FALSE())*IF(AND(AN$5 &gt; VLOOKUP($P424,Member_Tab,6,FALSE()),AN$5 &lt; VLOOKUP($P424,Member_Tab,7,FALSE())),1,0))</f>
        <v>0</v>
      </c>
      <c r="AO526" s="184" t="n">
        <f aca="false">IF(ISERROR(VLOOKUP($P424,Member_Tab,5,FALSE())),0,VLOOKUP($P424,Member_Tab,5,FALSE())*IF(AND(AO$5 &gt; VLOOKUP($P424,Member_Tab,6,FALSE()),AO$5 &lt; VLOOKUP($P424,Member_Tab,7,FALSE())),1,0))</f>
        <v>0</v>
      </c>
      <c r="AP526" s="184" t="n">
        <f aca="false">IF(ISERROR(VLOOKUP($P424,Member_Tab,5,FALSE())),0,VLOOKUP($P424,Member_Tab,5,FALSE())*IF(AND(AP$5 &gt; VLOOKUP($P424,Member_Tab,6,FALSE()),AP$5 &lt; VLOOKUP($P424,Member_Tab,7,FALSE())),1,0))</f>
        <v>0</v>
      </c>
      <c r="AQ526" s="184" t="n">
        <f aca="false">IF(ISERROR(VLOOKUP($P424,Member_Tab,5,FALSE())),0,VLOOKUP($P424,Member_Tab,5,FALSE())*IF(AND(AQ$5 &gt; VLOOKUP($P424,Member_Tab,6,FALSE()),AQ$5 &lt; VLOOKUP($P424,Member_Tab,7,FALSE())),1,0))</f>
        <v>0</v>
      </c>
      <c r="AR526" s="184" t="n">
        <f aca="false">IF(ISERROR(VLOOKUP($P424,Member_Tab,5,FALSE())),0,VLOOKUP($P424,Member_Tab,5,FALSE())*IF(AND(AR$5 &gt; VLOOKUP($P424,Member_Tab,6,FALSE()),AR$5 &lt; VLOOKUP($P424,Member_Tab,7,FALSE())),1,0))</f>
        <v>0</v>
      </c>
      <c r="AS526" s="184" t="n">
        <f aca="false">IF(ISERROR(VLOOKUP($P424,Member_Tab,5,FALSE())),0,VLOOKUP($P424,Member_Tab,5,FALSE())*IF(AND(AS$5 &gt; VLOOKUP($P424,Member_Tab,6,FALSE()),AS$5 &lt; VLOOKUP($P424,Member_Tab,7,FALSE())),1,0))</f>
        <v>0</v>
      </c>
      <c r="AT526" s="184" t="n">
        <f aca="false">IF(ISERROR(VLOOKUP($P424,Member_Tab,5,FALSE())),0,VLOOKUP($P424,Member_Tab,5,FALSE())*IF(AND(AT$5 &gt; VLOOKUP($P424,Member_Tab,6,FALSE()),AT$5 &lt; VLOOKUP($P424,Member_Tab,7,FALSE())),1,0))</f>
        <v>0</v>
      </c>
      <c r="AU526" s="184" t="n">
        <f aca="false">IF(ISERROR(VLOOKUP($P424,Member_Tab,5,FALSE())),0,VLOOKUP($P424,Member_Tab,5,FALSE())*IF(AND(AU$5 &gt; VLOOKUP($P424,Member_Tab,6,FALSE()),AU$5 &lt; VLOOKUP($P424,Member_Tab,7,FALSE())),1,0))</f>
        <v>0</v>
      </c>
      <c r="AV526" s="184" t="n">
        <f aca="false">IF(ISERROR(VLOOKUP($P424,Member_Tab,5,FALSE())),0,VLOOKUP($P424,Member_Tab,5,FALSE())*IF(AND(AV$5 &gt; VLOOKUP($P424,Member_Tab,6,FALSE()),AV$5 &lt; VLOOKUP($P424,Member_Tab,7,FALSE())),1,0))</f>
        <v>0</v>
      </c>
      <c r="AW526" s="184" t="n">
        <f aca="false">IF(ISERROR(VLOOKUP($P424,Member_Tab,5,FALSE())),0,VLOOKUP($P424,Member_Tab,5,FALSE())*IF(AND(AW$5 &gt; VLOOKUP($P424,Member_Tab,6,FALSE()),AW$5 &lt; VLOOKUP($P424,Member_Tab,7,FALSE())),1,0))</f>
        <v>0</v>
      </c>
      <c r="AX526" s="184" t="n">
        <f aca="false">IF(ISERROR(VLOOKUP($P424,Member_Tab,5,FALSE())),0,VLOOKUP($P424,Member_Tab,5,FALSE())*IF(AND(AX$5 &gt; VLOOKUP($P424,Member_Tab,6,FALSE()),AX$5 &lt; VLOOKUP($P424,Member_Tab,7,FALSE())),1,0))</f>
        <v>0</v>
      </c>
      <c r="AY526" s="184" t="n">
        <f aca="false">IF(ISERROR(VLOOKUP($P424,Member_Tab,5,FALSE())),0,VLOOKUP($P424,Member_Tab,5,FALSE())*IF(AND(AY$5 &gt; VLOOKUP($P424,Member_Tab,6,FALSE()),AY$5 &lt; VLOOKUP($P424,Member_Tab,7,FALSE())),1,0))</f>
        <v>0</v>
      </c>
      <c r="AZ526" s="184" t="n">
        <f aca="false">IF(ISERROR(VLOOKUP($P424,Member_Tab,5,FALSE())),0,VLOOKUP($P424,Member_Tab,5,FALSE())*IF(AND(AZ$5 &gt; VLOOKUP($P424,Member_Tab,6,FALSE()),AZ$5 &lt; VLOOKUP($P424,Member_Tab,7,FALSE())),1,0))</f>
        <v>0</v>
      </c>
      <c r="BA526" s="184" t="n">
        <f aca="false">IF(ISERROR(VLOOKUP($P424,Member_Tab,5,FALSE())),0,VLOOKUP($P424,Member_Tab,5,FALSE())*IF(AND(BA$5 &gt; VLOOKUP($P424,Member_Tab,6,FALSE()),BA$5 &lt; VLOOKUP($P424,Member_Tab,7,FALSE())),1,0))</f>
        <v>0</v>
      </c>
      <c r="BB526" s="184" t="n">
        <f aca="false">IF(ISERROR(VLOOKUP($P424,Member_Tab,5,FALSE())),0,VLOOKUP($P424,Member_Tab,5,FALSE())*IF(AND(BB$5 &gt; VLOOKUP($P424,Member_Tab,6,FALSE()),BB$5 &lt; VLOOKUP($P424,Member_Tab,7,FALSE())),1,0))</f>
        <v>0</v>
      </c>
    </row>
    <row r="527" s="173" customFormat="true" ht="15.75" hidden="true" customHeight="false" outlineLevel="1" collapsed="false">
      <c r="E527" s="40"/>
      <c r="K527" s="40"/>
      <c r="L527" s="40"/>
      <c r="M527" s="40"/>
      <c r="N527" s="40"/>
      <c r="P527" s="183" t="n">
        <f aca="false">P425</f>
        <v>0</v>
      </c>
      <c r="Q527" s="40"/>
      <c r="R527" s="182"/>
      <c r="S527" s="184" t="n">
        <f aca="false">IF(ISERROR(VLOOKUP($P425,Member_Tab,5,FALSE())),0,VLOOKUP($P425,Member_Tab,5,FALSE())*IF(AND(S$5 &gt; VLOOKUP($P425,Member_Tab,6,FALSE()),S$5 &lt; VLOOKUP($P425,Member_Tab,7,FALSE())),1,0))</f>
        <v>0</v>
      </c>
      <c r="T527" s="184" t="n">
        <f aca="false">IF(ISERROR(VLOOKUP($P425,Member_Tab,5,FALSE())),0,VLOOKUP($P425,Member_Tab,5,FALSE())*IF(AND(T$5 &gt; VLOOKUP($P425,Member_Tab,6,FALSE()),T$5 &lt; VLOOKUP($P425,Member_Tab,7,FALSE())),1,0))</f>
        <v>0</v>
      </c>
      <c r="U527" s="184" t="n">
        <f aca="false">IF(ISERROR(VLOOKUP($P425,Member_Tab,5,FALSE())),0,VLOOKUP($P425,Member_Tab,5,FALSE())*IF(AND(U$5 &gt; VLOOKUP($P425,Member_Tab,6,FALSE()),U$5 &lt; VLOOKUP($P425,Member_Tab,7,FALSE())),1,0))</f>
        <v>0</v>
      </c>
      <c r="V527" s="184" t="n">
        <f aca="false">IF(ISERROR(VLOOKUP($P425,Member_Tab,5,FALSE())),0,VLOOKUP($P425,Member_Tab,5,FALSE())*IF(AND(V$5 &gt; VLOOKUP($P425,Member_Tab,6,FALSE()),V$5 &lt; VLOOKUP($P425,Member_Tab,7,FALSE())),1,0))</f>
        <v>0</v>
      </c>
      <c r="W527" s="184" t="n">
        <f aca="false">IF(ISERROR(VLOOKUP($P425,Member_Tab,5,FALSE())),0,VLOOKUP($P425,Member_Tab,5,FALSE())*IF(AND(W$5 &gt; VLOOKUP($P425,Member_Tab,6,FALSE()),W$5 &lt; VLOOKUP($P425,Member_Tab,7,FALSE())),1,0))</f>
        <v>0</v>
      </c>
      <c r="X527" s="184" t="n">
        <f aca="false">IF(ISERROR(VLOOKUP($P425,Member_Tab,5,FALSE())),0,VLOOKUP($P425,Member_Tab,5,FALSE())*IF(AND(X$5 &gt; VLOOKUP($P425,Member_Tab,6,FALSE()),X$5 &lt; VLOOKUP($P425,Member_Tab,7,FALSE())),1,0))</f>
        <v>0</v>
      </c>
      <c r="Y527" s="184" t="n">
        <f aca="false">IF(ISERROR(VLOOKUP($P425,Member_Tab,5,FALSE())),0,VLOOKUP($P425,Member_Tab,5,FALSE())*IF(AND(Y$5 &gt; VLOOKUP($P425,Member_Tab,6,FALSE()),Y$5 &lt; VLOOKUP($P425,Member_Tab,7,FALSE())),1,0))</f>
        <v>0</v>
      </c>
      <c r="Z527" s="184" t="n">
        <f aca="false">IF(ISERROR(VLOOKUP($P425,Member_Tab,5,FALSE())),0,VLOOKUP($P425,Member_Tab,5,FALSE())*IF(AND(Z$5 &gt; VLOOKUP($P425,Member_Tab,6,FALSE()),Z$5 &lt; VLOOKUP($P425,Member_Tab,7,FALSE())),1,0))</f>
        <v>0</v>
      </c>
      <c r="AA527" s="184" t="n">
        <f aca="false">IF(ISERROR(VLOOKUP($P425,Member_Tab,5,FALSE())),0,VLOOKUP($P425,Member_Tab,5,FALSE())*IF(AND(AA$5 &gt; VLOOKUP($P425,Member_Tab,6,FALSE()),AA$5 &lt; VLOOKUP($P425,Member_Tab,7,FALSE())),1,0))</f>
        <v>0</v>
      </c>
      <c r="AB527" s="184" t="n">
        <f aca="false">IF(ISERROR(VLOOKUP($P425,Member_Tab,5,FALSE())),0,VLOOKUP($P425,Member_Tab,5,FALSE())*IF(AND(AB$5 &gt; VLOOKUP($P425,Member_Tab,6,FALSE()),AB$5 &lt; VLOOKUP($P425,Member_Tab,7,FALSE())),1,0))</f>
        <v>0</v>
      </c>
      <c r="AC527" s="184" t="n">
        <f aca="false">IF(ISERROR(VLOOKUP($P425,Member_Tab,5,FALSE())),0,VLOOKUP($P425,Member_Tab,5,FALSE())*IF(AND(AC$5 &gt; VLOOKUP($P425,Member_Tab,6,FALSE()),AC$5 &lt; VLOOKUP($P425,Member_Tab,7,FALSE())),1,0))</f>
        <v>0</v>
      </c>
      <c r="AD527" s="184" t="n">
        <f aca="false">IF(ISERROR(VLOOKUP($P425,Member_Tab,5,FALSE())),0,VLOOKUP($P425,Member_Tab,5,FALSE())*IF(AND(AD$5 &gt; VLOOKUP($P425,Member_Tab,6,FALSE()),AD$5 &lt; VLOOKUP($P425,Member_Tab,7,FALSE())),1,0))</f>
        <v>0</v>
      </c>
      <c r="AE527" s="184" t="n">
        <f aca="false">IF(ISERROR(VLOOKUP($P425,Member_Tab,5,FALSE())),0,VLOOKUP($P425,Member_Tab,5,FALSE())*IF(AND(AE$5 &gt; VLOOKUP($P425,Member_Tab,6,FALSE()),AE$5 &lt; VLOOKUP($P425,Member_Tab,7,FALSE())),1,0))</f>
        <v>0</v>
      </c>
      <c r="AF527" s="184" t="n">
        <f aca="false">IF(ISERROR(VLOOKUP($P425,Member_Tab,5,FALSE())),0,VLOOKUP($P425,Member_Tab,5,FALSE())*IF(AND(AF$5 &gt; VLOOKUP($P425,Member_Tab,6,FALSE()),AF$5 &lt; VLOOKUP($P425,Member_Tab,7,FALSE())),1,0))</f>
        <v>0</v>
      </c>
      <c r="AG527" s="184" t="n">
        <f aca="false">IF(ISERROR(VLOOKUP($P425,Member_Tab,5,FALSE())),0,VLOOKUP($P425,Member_Tab,5,FALSE())*IF(AND(AG$5 &gt; VLOOKUP($P425,Member_Tab,6,FALSE()),AG$5 &lt; VLOOKUP($P425,Member_Tab,7,FALSE())),1,0))</f>
        <v>0</v>
      </c>
      <c r="AH527" s="184" t="n">
        <f aca="false">IF(ISERROR(VLOOKUP($P425,Member_Tab,5,FALSE())),0,VLOOKUP($P425,Member_Tab,5,FALSE())*IF(AND(AH$5 &gt; VLOOKUP($P425,Member_Tab,6,FALSE()),AH$5 &lt; VLOOKUP($P425,Member_Tab,7,FALSE())),1,0))</f>
        <v>0</v>
      </c>
      <c r="AI527" s="184" t="n">
        <f aca="false">IF(ISERROR(VLOOKUP($P425,Member_Tab,5,FALSE())),0,VLOOKUP($P425,Member_Tab,5,FALSE())*IF(AND(AI$5 &gt; VLOOKUP($P425,Member_Tab,6,FALSE()),AI$5 &lt; VLOOKUP($P425,Member_Tab,7,FALSE())),1,0))</f>
        <v>0</v>
      </c>
      <c r="AJ527" s="184" t="n">
        <f aca="false">IF(ISERROR(VLOOKUP($P425,Member_Tab,5,FALSE())),0,VLOOKUP($P425,Member_Tab,5,FALSE())*IF(AND(AJ$5 &gt; VLOOKUP($P425,Member_Tab,6,FALSE()),AJ$5 &lt; VLOOKUP($P425,Member_Tab,7,FALSE())),1,0))</f>
        <v>0</v>
      </c>
      <c r="AK527" s="184" t="n">
        <f aca="false">IF(ISERROR(VLOOKUP($P425,Member_Tab,5,FALSE())),0,VLOOKUP($P425,Member_Tab,5,FALSE())*IF(AND(AK$5 &gt; VLOOKUP($P425,Member_Tab,6,FALSE()),AK$5 &lt; VLOOKUP($P425,Member_Tab,7,FALSE())),1,0))</f>
        <v>0</v>
      </c>
      <c r="AL527" s="184" t="n">
        <f aca="false">IF(ISERROR(VLOOKUP($P425,Member_Tab,5,FALSE())),0,VLOOKUP($P425,Member_Tab,5,FALSE())*IF(AND(AL$5 &gt; VLOOKUP($P425,Member_Tab,6,FALSE()),AL$5 &lt; VLOOKUP($P425,Member_Tab,7,FALSE())),1,0))</f>
        <v>0</v>
      </c>
      <c r="AM527" s="184" t="n">
        <f aca="false">IF(ISERROR(VLOOKUP($P425,Member_Tab,5,FALSE())),0,VLOOKUP($P425,Member_Tab,5,FALSE())*IF(AND(AM$5 &gt; VLOOKUP($P425,Member_Tab,6,FALSE()),AM$5 &lt; VLOOKUP($P425,Member_Tab,7,FALSE())),1,0))</f>
        <v>0</v>
      </c>
      <c r="AN527" s="184" t="n">
        <f aca="false">IF(ISERROR(VLOOKUP($P425,Member_Tab,5,FALSE())),0,VLOOKUP($P425,Member_Tab,5,FALSE())*IF(AND(AN$5 &gt; VLOOKUP($P425,Member_Tab,6,FALSE()),AN$5 &lt; VLOOKUP($P425,Member_Tab,7,FALSE())),1,0))</f>
        <v>0</v>
      </c>
      <c r="AO527" s="184" t="n">
        <f aca="false">IF(ISERROR(VLOOKUP($P425,Member_Tab,5,FALSE())),0,VLOOKUP($P425,Member_Tab,5,FALSE())*IF(AND(AO$5 &gt; VLOOKUP($P425,Member_Tab,6,FALSE()),AO$5 &lt; VLOOKUP($P425,Member_Tab,7,FALSE())),1,0))</f>
        <v>0</v>
      </c>
      <c r="AP527" s="184" t="n">
        <f aca="false">IF(ISERROR(VLOOKUP($P425,Member_Tab,5,FALSE())),0,VLOOKUP($P425,Member_Tab,5,FALSE())*IF(AND(AP$5 &gt; VLOOKUP($P425,Member_Tab,6,FALSE()),AP$5 &lt; VLOOKUP($P425,Member_Tab,7,FALSE())),1,0))</f>
        <v>0</v>
      </c>
      <c r="AQ527" s="184" t="n">
        <f aca="false">IF(ISERROR(VLOOKUP($P425,Member_Tab,5,FALSE())),0,VLOOKUP($P425,Member_Tab,5,FALSE())*IF(AND(AQ$5 &gt; VLOOKUP($P425,Member_Tab,6,FALSE()),AQ$5 &lt; VLOOKUP($P425,Member_Tab,7,FALSE())),1,0))</f>
        <v>0</v>
      </c>
      <c r="AR527" s="184" t="n">
        <f aca="false">IF(ISERROR(VLOOKUP($P425,Member_Tab,5,FALSE())),0,VLOOKUP($P425,Member_Tab,5,FALSE())*IF(AND(AR$5 &gt; VLOOKUP($P425,Member_Tab,6,FALSE()),AR$5 &lt; VLOOKUP($P425,Member_Tab,7,FALSE())),1,0))</f>
        <v>0</v>
      </c>
      <c r="AS527" s="184" t="n">
        <f aca="false">IF(ISERROR(VLOOKUP($P425,Member_Tab,5,FALSE())),0,VLOOKUP($P425,Member_Tab,5,FALSE())*IF(AND(AS$5 &gt; VLOOKUP($P425,Member_Tab,6,FALSE()),AS$5 &lt; VLOOKUP($P425,Member_Tab,7,FALSE())),1,0))</f>
        <v>0</v>
      </c>
      <c r="AT527" s="184" t="n">
        <f aca="false">IF(ISERROR(VLOOKUP($P425,Member_Tab,5,FALSE())),0,VLOOKUP($P425,Member_Tab,5,FALSE())*IF(AND(AT$5 &gt; VLOOKUP($P425,Member_Tab,6,FALSE()),AT$5 &lt; VLOOKUP($P425,Member_Tab,7,FALSE())),1,0))</f>
        <v>0</v>
      </c>
      <c r="AU527" s="184" t="n">
        <f aca="false">IF(ISERROR(VLOOKUP($P425,Member_Tab,5,FALSE())),0,VLOOKUP($P425,Member_Tab,5,FALSE())*IF(AND(AU$5 &gt; VLOOKUP($P425,Member_Tab,6,FALSE()),AU$5 &lt; VLOOKUP($P425,Member_Tab,7,FALSE())),1,0))</f>
        <v>0</v>
      </c>
      <c r="AV527" s="184" t="n">
        <f aca="false">IF(ISERROR(VLOOKUP($P425,Member_Tab,5,FALSE())),0,VLOOKUP($P425,Member_Tab,5,FALSE())*IF(AND(AV$5 &gt; VLOOKUP($P425,Member_Tab,6,FALSE()),AV$5 &lt; VLOOKUP($P425,Member_Tab,7,FALSE())),1,0))</f>
        <v>0</v>
      </c>
      <c r="AW527" s="184" t="n">
        <f aca="false">IF(ISERROR(VLOOKUP($P425,Member_Tab,5,FALSE())),0,VLOOKUP($P425,Member_Tab,5,FALSE())*IF(AND(AW$5 &gt; VLOOKUP($P425,Member_Tab,6,FALSE()),AW$5 &lt; VLOOKUP($P425,Member_Tab,7,FALSE())),1,0))</f>
        <v>0</v>
      </c>
      <c r="AX527" s="184" t="n">
        <f aca="false">IF(ISERROR(VLOOKUP($P425,Member_Tab,5,FALSE())),0,VLOOKUP($P425,Member_Tab,5,FALSE())*IF(AND(AX$5 &gt; VLOOKUP($P425,Member_Tab,6,FALSE()),AX$5 &lt; VLOOKUP($P425,Member_Tab,7,FALSE())),1,0))</f>
        <v>0</v>
      </c>
      <c r="AY527" s="184" t="n">
        <f aca="false">IF(ISERROR(VLOOKUP($P425,Member_Tab,5,FALSE())),0,VLOOKUP($P425,Member_Tab,5,FALSE())*IF(AND(AY$5 &gt; VLOOKUP($P425,Member_Tab,6,FALSE()),AY$5 &lt; VLOOKUP($P425,Member_Tab,7,FALSE())),1,0))</f>
        <v>0</v>
      </c>
      <c r="AZ527" s="184" t="n">
        <f aca="false">IF(ISERROR(VLOOKUP($P425,Member_Tab,5,FALSE())),0,VLOOKUP($P425,Member_Tab,5,FALSE())*IF(AND(AZ$5 &gt; VLOOKUP($P425,Member_Tab,6,FALSE()),AZ$5 &lt; VLOOKUP($P425,Member_Tab,7,FALSE())),1,0))</f>
        <v>0</v>
      </c>
      <c r="BA527" s="184" t="n">
        <f aca="false">IF(ISERROR(VLOOKUP($P425,Member_Tab,5,FALSE())),0,VLOOKUP($P425,Member_Tab,5,FALSE())*IF(AND(BA$5 &gt; VLOOKUP($P425,Member_Tab,6,FALSE()),BA$5 &lt; VLOOKUP($P425,Member_Tab,7,FALSE())),1,0))</f>
        <v>0</v>
      </c>
      <c r="BB527" s="184" t="n">
        <f aca="false">IF(ISERROR(VLOOKUP($P425,Member_Tab,5,FALSE())),0,VLOOKUP($P425,Member_Tab,5,FALSE())*IF(AND(BB$5 &gt; VLOOKUP($P425,Member_Tab,6,FALSE()),BB$5 &lt; VLOOKUP($P425,Member_Tab,7,FALSE())),1,0))</f>
        <v>0</v>
      </c>
    </row>
    <row r="528" s="173" customFormat="true" ht="15.75" hidden="true" customHeight="false" outlineLevel="1" collapsed="false">
      <c r="E528" s="40"/>
      <c r="K528" s="40"/>
      <c r="L528" s="40"/>
      <c r="M528" s="40"/>
      <c r="N528" s="40"/>
      <c r="P528" s="183" t="n">
        <f aca="false">P426</f>
        <v>0</v>
      </c>
      <c r="Q528" s="40"/>
      <c r="R528" s="182"/>
      <c r="S528" s="184" t="n">
        <f aca="false">IF(ISERROR(VLOOKUP($P426,Member_Tab,5,FALSE())),0,VLOOKUP($P426,Member_Tab,5,FALSE())*IF(AND(S$5 &gt; VLOOKUP($P426,Member_Tab,6,FALSE()),S$5 &lt; VLOOKUP($P426,Member_Tab,7,FALSE())),1,0))</f>
        <v>0</v>
      </c>
      <c r="T528" s="184" t="n">
        <f aca="false">IF(ISERROR(VLOOKUP($P426,Member_Tab,5,FALSE())),0,VLOOKUP($P426,Member_Tab,5,FALSE())*IF(AND(T$5 &gt; VLOOKUP($P426,Member_Tab,6,FALSE()),T$5 &lt; VLOOKUP($P426,Member_Tab,7,FALSE())),1,0))</f>
        <v>0</v>
      </c>
      <c r="U528" s="184" t="n">
        <f aca="false">IF(ISERROR(VLOOKUP($P426,Member_Tab,5,FALSE())),0,VLOOKUP($P426,Member_Tab,5,FALSE())*IF(AND(U$5 &gt; VLOOKUP($P426,Member_Tab,6,FALSE()),U$5 &lt; VLOOKUP($P426,Member_Tab,7,FALSE())),1,0))</f>
        <v>0</v>
      </c>
      <c r="V528" s="184" t="n">
        <f aca="false">IF(ISERROR(VLOOKUP($P426,Member_Tab,5,FALSE())),0,VLOOKUP($P426,Member_Tab,5,FALSE())*IF(AND(V$5 &gt; VLOOKUP($P426,Member_Tab,6,FALSE()),V$5 &lt; VLOOKUP($P426,Member_Tab,7,FALSE())),1,0))</f>
        <v>0</v>
      </c>
      <c r="W528" s="184" t="n">
        <f aca="false">IF(ISERROR(VLOOKUP($P426,Member_Tab,5,FALSE())),0,VLOOKUP($P426,Member_Tab,5,FALSE())*IF(AND(W$5 &gt; VLOOKUP($P426,Member_Tab,6,FALSE()),W$5 &lt; VLOOKUP($P426,Member_Tab,7,FALSE())),1,0))</f>
        <v>0</v>
      </c>
      <c r="X528" s="184" t="n">
        <f aca="false">IF(ISERROR(VLOOKUP($P426,Member_Tab,5,FALSE())),0,VLOOKUP($P426,Member_Tab,5,FALSE())*IF(AND(X$5 &gt; VLOOKUP($P426,Member_Tab,6,FALSE()),X$5 &lt; VLOOKUP($P426,Member_Tab,7,FALSE())),1,0))</f>
        <v>0</v>
      </c>
      <c r="Y528" s="184" t="n">
        <f aca="false">IF(ISERROR(VLOOKUP($P426,Member_Tab,5,FALSE())),0,VLOOKUP($P426,Member_Tab,5,FALSE())*IF(AND(Y$5 &gt; VLOOKUP($P426,Member_Tab,6,FALSE()),Y$5 &lt; VLOOKUP($P426,Member_Tab,7,FALSE())),1,0))</f>
        <v>0</v>
      </c>
      <c r="Z528" s="184" t="n">
        <f aca="false">IF(ISERROR(VLOOKUP($P426,Member_Tab,5,FALSE())),0,VLOOKUP($P426,Member_Tab,5,FALSE())*IF(AND(Z$5 &gt; VLOOKUP($P426,Member_Tab,6,FALSE()),Z$5 &lt; VLOOKUP($P426,Member_Tab,7,FALSE())),1,0))</f>
        <v>0</v>
      </c>
      <c r="AA528" s="184" t="n">
        <f aca="false">IF(ISERROR(VLOOKUP($P426,Member_Tab,5,FALSE())),0,VLOOKUP($P426,Member_Tab,5,FALSE())*IF(AND(AA$5 &gt; VLOOKUP($P426,Member_Tab,6,FALSE()),AA$5 &lt; VLOOKUP($P426,Member_Tab,7,FALSE())),1,0))</f>
        <v>0</v>
      </c>
      <c r="AB528" s="184" t="n">
        <f aca="false">IF(ISERROR(VLOOKUP($P426,Member_Tab,5,FALSE())),0,VLOOKUP($P426,Member_Tab,5,FALSE())*IF(AND(AB$5 &gt; VLOOKUP($P426,Member_Tab,6,FALSE()),AB$5 &lt; VLOOKUP($P426,Member_Tab,7,FALSE())),1,0))</f>
        <v>0</v>
      </c>
      <c r="AC528" s="184" t="n">
        <f aca="false">IF(ISERROR(VLOOKUP($P426,Member_Tab,5,FALSE())),0,VLOOKUP($P426,Member_Tab,5,FALSE())*IF(AND(AC$5 &gt; VLOOKUP($P426,Member_Tab,6,FALSE()),AC$5 &lt; VLOOKUP($P426,Member_Tab,7,FALSE())),1,0))</f>
        <v>0</v>
      </c>
      <c r="AD528" s="184" t="n">
        <f aca="false">IF(ISERROR(VLOOKUP($P426,Member_Tab,5,FALSE())),0,VLOOKUP($P426,Member_Tab,5,FALSE())*IF(AND(AD$5 &gt; VLOOKUP($P426,Member_Tab,6,FALSE()),AD$5 &lt; VLOOKUP($P426,Member_Tab,7,FALSE())),1,0))</f>
        <v>0</v>
      </c>
      <c r="AE528" s="184" t="n">
        <f aca="false">IF(ISERROR(VLOOKUP($P426,Member_Tab,5,FALSE())),0,VLOOKUP($P426,Member_Tab,5,FALSE())*IF(AND(AE$5 &gt; VLOOKUP($P426,Member_Tab,6,FALSE()),AE$5 &lt; VLOOKUP($P426,Member_Tab,7,FALSE())),1,0))</f>
        <v>0</v>
      </c>
      <c r="AF528" s="184" t="n">
        <f aca="false">IF(ISERROR(VLOOKUP($P426,Member_Tab,5,FALSE())),0,VLOOKUP($P426,Member_Tab,5,FALSE())*IF(AND(AF$5 &gt; VLOOKUP($P426,Member_Tab,6,FALSE()),AF$5 &lt; VLOOKUP($P426,Member_Tab,7,FALSE())),1,0))</f>
        <v>0</v>
      </c>
      <c r="AG528" s="184" t="n">
        <f aca="false">IF(ISERROR(VLOOKUP($P426,Member_Tab,5,FALSE())),0,VLOOKUP($P426,Member_Tab,5,FALSE())*IF(AND(AG$5 &gt; VLOOKUP($P426,Member_Tab,6,FALSE()),AG$5 &lt; VLOOKUP($P426,Member_Tab,7,FALSE())),1,0))</f>
        <v>0</v>
      </c>
      <c r="AH528" s="184" t="n">
        <f aca="false">IF(ISERROR(VLOOKUP($P426,Member_Tab,5,FALSE())),0,VLOOKUP($P426,Member_Tab,5,FALSE())*IF(AND(AH$5 &gt; VLOOKUP($P426,Member_Tab,6,FALSE()),AH$5 &lt; VLOOKUP($P426,Member_Tab,7,FALSE())),1,0))</f>
        <v>0</v>
      </c>
      <c r="AI528" s="184" t="n">
        <f aca="false">IF(ISERROR(VLOOKUP($P426,Member_Tab,5,FALSE())),0,VLOOKUP($P426,Member_Tab,5,FALSE())*IF(AND(AI$5 &gt; VLOOKUP($P426,Member_Tab,6,FALSE()),AI$5 &lt; VLOOKUP($P426,Member_Tab,7,FALSE())),1,0))</f>
        <v>0</v>
      </c>
      <c r="AJ528" s="184" t="n">
        <f aca="false">IF(ISERROR(VLOOKUP($P426,Member_Tab,5,FALSE())),0,VLOOKUP($P426,Member_Tab,5,FALSE())*IF(AND(AJ$5 &gt; VLOOKUP($P426,Member_Tab,6,FALSE()),AJ$5 &lt; VLOOKUP($P426,Member_Tab,7,FALSE())),1,0))</f>
        <v>0</v>
      </c>
      <c r="AK528" s="184" t="n">
        <f aca="false">IF(ISERROR(VLOOKUP($P426,Member_Tab,5,FALSE())),0,VLOOKUP($P426,Member_Tab,5,FALSE())*IF(AND(AK$5 &gt; VLOOKUP($P426,Member_Tab,6,FALSE()),AK$5 &lt; VLOOKUP($P426,Member_Tab,7,FALSE())),1,0))</f>
        <v>0</v>
      </c>
      <c r="AL528" s="184" t="n">
        <f aca="false">IF(ISERROR(VLOOKUP($P426,Member_Tab,5,FALSE())),0,VLOOKUP($P426,Member_Tab,5,FALSE())*IF(AND(AL$5 &gt; VLOOKUP($P426,Member_Tab,6,FALSE()),AL$5 &lt; VLOOKUP($P426,Member_Tab,7,FALSE())),1,0))</f>
        <v>0</v>
      </c>
      <c r="AM528" s="184" t="n">
        <f aca="false">IF(ISERROR(VLOOKUP($P426,Member_Tab,5,FALSE())),0,VLOOKUP($P426,Member_Tab,5,FALSE())*IF(AND(AM$5 &gt; VLOOKUP($P426,Member_Tab,6,FALSE()),AM$5 &lt; VLOOKUP($P426,Member_Tab,7,FALSE())),1,0))</f>
        <v>0</v>
      </c>
      <c r="AN528" s="184" t="n">
        <f aca="false">IF(ISERROR(VLOOKUP($P426,Member_Tab,5,FALSE())),0,VLOOKUP($P426,Member_Tab,5,FALSE())*IF(AND(AN$5 &gt; VLOOKUP($P426,Member_Tab,6,FALSE()),AN$5 &lt; VLOOKUP($P426,Member_Tab,7,FALSE())),1,0))</f>
        <v>0</v>
      </c>
      <c r="AO528" s="184" t="n">
        <f aca="false">IF(ISERROR(VLOOKUP($P426,Member_Tab,5,FALSE())),0,VLOOKUP($P426,Member_Tab,5,FALSE())*IF(AND(AO$5 &gt; VLOOKUP($P426,Member_Tab,6,FALSE()),AO$5 &lt; VLOOKUP($P426,Member_Tab,7,FALSE())),1,0))</f>
        <v>0</v>
      </c>
      <c r="AP528" s="184" t="n">
        <f aca="false">IF(ISERROR(VLOOKUP($P426,Member_Tab,5,FALSE())),0,VLOOKUP($P426,Member_Tab,5,FALSE())*IF(AND(AP$5 &gt; VLOOKUP($P426,Member_Tab,6,FALSE()),AP$5 &lt; VLOOKUP($P426,Member_Tab,7,FALSE())),1,0))</f>
        <v>0</v>
      </c>
      <c r="AQ528" s="184" t="n">
        <f aca="false">IF(ISERROR(VLOOKUP($P426,Member_Tab,5,FALSE())),0,VLOOKUP($P426,Member_Tab,5,FALSE())*IF(AND(AQ$5 &gt; VLOOKUP($P426,Member_Tab,6,FALSE()),AQ$5 &lt; VLOOKUP($P426,Member_Tab,7,FALSE())),1,0))</f>
        <v>0</v>
      </c>
      <c r="AR528" s="184" t="n">
        <f aca="false">IF(ISERROR(VLOOKUP($P426,Member_Tab,5,FALSE())),0,VLOOKUP($P426,Member_Tab,5,FALSE())*IF(AND(AR$5 &gt; VLOOKUP($P426,Member_Tab,6,FALSE()),AR$5 &lt; VLOOKUP($P426,Member_Tab,7,FALSE())),1,0))</f>
        <v>0</v>
      </c>
      <c r="AS528" s="184" t="n">
        <f aca="false">IF(ISERROR(VLOOKUP($P426,Member_Tab,5,FALSE())),0,VLOOKUP($P426,Member_Tab,5,FALSE())*IF(AND(AS$5 &gt; VLOOKUP($P426,Member_Tab,6,FALSE()),AS$5 &lt; VLOOKUP($P426,Member_Tab,7,FALSE())),1,0))</f>
        <v>0</v>
      </c>
      <c r="AT528" s="184" t="n">
        <f aca="false">IF(ISERROR(VLOOKUP($P426,Member_Tab,5,FALSE())),0,VLOOKUP($P426,Member_Tab,5,FALSE())*IF(AND(AT$5 &gt; VLOOKUP($P426,Member_Tab,6,FALSE()),AT$5 &lt; VLOOKUP($P426,Member_Tab,7,FALSE())),1,0))</f>
        <v>0</v>
      </c>
      <c r="AU528" s="184" t="n">
        <f aca="false">IF(ISERROR(VLOOKUP($P426,Member_Tab,5,FALSE())),0,VLOOKUP($P426,Member_Tab,5,FALSE())*IF(AND(AU$5 &gt; VLOOKUP($P426,Member_Tab,6,FALSE()),AU$5 &lt; VLOOKUP($P426,Member_Tab,7,FALSE())),1,0))</f>
        <v>0</v>
      </c>
      <c r="AV528" s="184" t="n">
        <f aca="false">IF(ISERROR(VLOOKUP($P426,Member_Tab,5,FALSE())),0,VLOOKUP($P426,Member_Tab,5,FALSE())*IF(AND(AV$5 &gt; VLOOKUP($P426,Member_Tab,6,FALSE()),AV$5 &lt; VLOOKUP($P426,Member_Tab,7,FALSE())),1,0))</f>
        <v>0</v>
      </c>
      <c r="AW528" s="184" t="n">
        <f aca="false">IF(ISERROR(VLOOKUP($P426,Member_Tab,5,FALSE())),0,VLOOKUP($P426,Member_Tab,5,FALSE())*IF(AND(AW$5 &gt; VLOOKUP($P426,Member_Tab,6,FALSE()),AW$5 &lt; VLOOKUP($P426,Member_Tab,7,FALSE())),1,0))</f>
        <v>0</v>
      </c>
      <c r="AX528" s="184" t="n">
        <f aca="false">IF(ISERROR(VLOOKUP($P426,Member_Tab,5,FALSE())),0,VLOOKUP($P426,Member_Tab,5,FALSE())*IF(AND(AX$5 &gt; VLOOKUP($P426,Member_Tab,6,FALSE()),AX$5 &lt; VLOOKUP($P426,Member_Tab,7,FALSE())),1,0))</f>
        <v>0</v>
      </c>
      <c r="AY528" s="184" t="n">
        <f aca="false">IF(ISERROR(VLOOKUP($P426,Member_Tab,5,FALSE())),0,VLOOKUP($P426,Member_Tab,5,FALSE())*IF(AND(AY$5 &gt; VLOOKUP($P426,Member_Tab,6,FALSE()),AY$5 &lt; VLOOKUP($P426,Member_Tab,7,FALSE())),1,0))</f>
        <v>0</v>
      </c>
      <c r="AZ528" s="184" t="n">
        <f aca="false">IF(ISERROR(VLOOKUP($P426,Member_Tab,5,FALSE())),0,VLOOKUP($P426,Member_Tab,5,FALSE())*IF(AND(AZ$5 &gt; VLOOKUP($P426,Member_Tab,6,FALSE()),AZ$5 &lt; VLOOKUP($P426,Member_Tab,7,FALSE())),1,0))</f>
        <v>0</v>
      </c>
      <c r="BA528" s="184" t="n">
        <f aca="false">IF(ISERROR(VLOOKUP($P426,Member_Tab,5,FALSE())),0,VLOOKUP($P426,Member_Tab,5,FALSE())*IF(AND(BA$5 &gt; VLOOKUP($P426,Member_Tab,6,FALSE()),BA$5 &lt; VLOOKUP($P426,Member_Tab,7,FALSE())),1,0))</f>
        <v>0</v>
      </c>
      <c r="BB528" s="184" t="n">
        <f aca="false">IF(ISERROR(VLOOKUP($P426,Member_Tab,5,FALSE())),0,VLOOKUP($P426,Member_Tab,5,FALSE())*IF(AND(BB$5 &gt; VLOOKUP($P426,Member_Tab,6,FALSE()),BB$5 &lt; VLOOKUP($P426,Member_Tab,7,FALSE())),1,0))</f>
        <v>0</v>
      </c>
    </row>
    <row r="529" s="173" customFormat="true" ht="15.75" hidden="true" customHeight="false" outlineLevel="1" collapsed="false">
      <c r="E529" s="40"/>
      <c r="K529" s="40"/>
      <c r="L529" s="40"/>
      <c r="M529" s="40"/>
      <c r="N529" s="40"/>
      <c r="P529" s="183" t="n">
        <f aca="false">P427</f>
        <v>0</v>
      </c>
      <c r="Q529" s="40"/>
      <c r="R529" s="182"/>
      <c r="S529" s="184" t="n">
        <f aca="false">IF(ISERROR(VLOOKUP($P427,Member_Tab,5,FALSE())),0,VLOOKUP($P427,Member_Tab,5,FALSE())*IF(AND(S$5 &gt; VLOOKUP($P427,Member_Tab,6,FALSE()),S$5 &lt; VLOOKUP($P427,Member_Tab,7,FALSE())),1,0))</f>
        <v>0</v>
      </c>
      <c r="T529" s="184" t="n">
        <f aca="false">IF(ISERROR(VLOOKUP($P427,Member_Tab,5,FALSE())),0,VLOOKUP($P427,Member_Tab,5,FALSE())*IF(AND(T$5 &gt; VLOOKUP($P427,Member_Tab,6,FALSE()),T$5 &lt; VLOOKUP($P427,Member_Tab,7,FALSE())),1,0))</f>
        <v>0</v>
      </c>
      <c r="U529" s="184" t="n">
        <f aca="false">IF(ISERROR(VLOOKUP($P427,Member_Tab,5,FALSE())),0,VLOOKUP($P427,Member_Tab,5,FALSE())*IF(AND(U$5 &gt; VLOOKUP($P427,Member_Tab,6,FALSE()),U$5 &lt; VLOOKUP($P427,Member_Tab,7,FALSE())),1,0))</f>
        <v>0</v>
      </c>
      <c r="V529" s="184" t="n">
        <f aca="false">IF(ISERROR(VLOOKUP($P427,Member_Tab,5,FALSE())),0,VLOOKUP($P427,Member_Tab,5,FALSE())*IF(AND(V$5 &gt; VLOOKUP($P427,Member_Tab,6,FALSE()),V$5 &lt; VLOOKUP($P427,Member_Tab,7,FALSE())),1,0))</f>
        <v>0</v>
      </c>
      <c r="W529" s="184" t="n">
        <f aca="false">IF(ISERROR(VLOOKUP($P427,Member_Tab,5,FALSE())),0,VLOOKUP($P427,Member_Tab,5,FALSE())*IF(AND(W$5 &gt; VLOOKUP($P427,Member_Tab,6,FALSE()),W$5 &lt; VLOOKUP($P427,Member_Tab,7,FALSE())),1,0))</f>
        <v>0</v>
      </c>
      <c r="X529" s="184" t="n">
        <f aca="false">IF(ISERROR(VLOOKUP($P427,Member_Tab,5,FALSE())),0,VLOOKUP($P427,Member_Tab,5,FALSE())*IF(AND(X$5 &gt; VLOOKUP($P427,Member_Tab,6,FALSE()),X$5 &lt; VLOOKUP($P427,Member_Tab,7,FALSE())),1,0))</f>
        <v>0</v>
      </c>
      <c r="Y529" s="184" t="n">
        <f aca="false">IF(ISERROR(VLOOKUP($P427,Member_Tab,5,FALSE())),0,VLOOKUP($P427,Member_Tab,5,FALSE())*IF(AND(Y$5 &gt; VLOOKUP($P427,Member_Tab,6,FALSE()),Y$5 &lt; VLOOKUP($P427,Member_Tab,7,FALSE())),1,0))</f>
        <v>0</v>
      </c>
      <c r="Z529" s="184" t="n">
        <f aca="false">IF(ISERROR(VLOOKUP($P427,Member_Tab,5,FALSE())),0,VLOOKUP($P427,Member_Tab,5,FALSE())*IF(AND(Z$5 &gt; VLOOKUP($P427,Member_Tab,6,FALSE()),Z$5 &lt; VLOOKUP($P427,Member_Tab,7,FALSE())),1,0))</f>
        <v>0</v>
      </c>
      <c r="AA529" s="184" t="n">
        <f aca="false">IF(ISERROR(VLOOKUP($P427,Member_Tab,5,FALSE())),0,VLOOKUP($P427,Member_Tab,5,FALSE())*IF(AND(AA$5 &gt; VLOOKUP($P427,Member_Tab,6,FALSE()),AA$5 &lt; VLOOKUP($P427,Member_Tab,7,FALSE())),1,0))</f>
        <v>0</v>
      </c>
      <c r="AB529" s="184" t="n">
        <f aca="false">IF(ISERROR(VLOOKUP($P427,Member_Tab,5,FALSE())),0,VLOOKUP($P427,Member_Tab,5,FALSE())*IF(AND(AB$5 &gt; VLOOKUP($P427,Member_Tab,6,FALSE()),AB$5 &lt; VLOOKUP($P427,Member_Tab,7,FALSE())),1,0))</f>
        <v>0</v>
      </c>
      <c r="AC529" s="184" t="n">
        <f aca="false">IF(ISERROR(VLOOKUP($P427,Member_Tab,5,FALSE())),0,VLOOKUP($P427,Member_Tab,5,FALSE())*IF(AND(AC$5 &gt; VLOOKUP($P427,Member_Tab,6,FALSE()),AC$5 &lt; VLOOKUP($P427,Member_Tab,7,FALSE())),1,0))</f>
        <v>0</v>
      </c>
      <c r="AD529" s="184" t="n">
        <f aca="false">IF(ISERROR(VLOOKUP($P427,Member_Tab,5,FALSE())),0,VLOOKUP($P427,Member_Tab,5,FALSE())*IF(AND(AD$5 &gt; VLOOKUP($P427,Member_Tab,6,FALSE()),AD$5 &lt; VLOOKUP($P427,Member_Tab,7,FALSE())),1,0))</f>
        <v>0</v>
      </c>
      <c r="AE529" s="184" t="n">
        <f aca="false">IF(ISERROR(VLOOKUP($P427,Member_Tab,5,FALSE())),0,VLOOKUP($P427,Member_Tab,5,FALSE())*IF(AND(AE$5 &gt; VLOOKUP($P427,Member_Tab,6,FALSE()),AE$5 &lt; VLOOKUP($P427,Member_Tab,7,FALSE())),1,0))</f>
        <v>0</v>
      </c>
      <c r="AF529" s="184" t="n">
        <f aca="false">IF(ISERROR(VLOOKUP($P427,Member_Tab,5,FALSE())),0,VLOOKUP($P427,Member_Tab,5,FALSE())*IF(AND(AF$5 &gt; VLOOKUP($P427,Member_Tab,6,FALSE()),AF$5 &lt; VLOOKUP($P427,Member_Tab,7,FALSE())),1,0))</f>
        <v>0</v>
      </c>
      <c r="AG529" s="184" t="n">
        <f aca="false">IF(ISERROR(VLOOKUP($P427,Member_Tab,5,FALSE())),0,VLOOKUP($P427,Member_Tab,5,FALSE())*IF(AND(AG$5 &gt; VLOOKUP($P427,Member_Tab,6,FALSE()),AG$5 &lt; VLOOKUP($P427,Member_Tab,7,FALSE())),1,0))</f>
        <v>0</v>
      </c>
      <c r="AH529" s="184" t="n">
        <f aca="false">IF(ISERROR(VLOOKUP($P427,Member_Tab,5,FALSE())),0,VLOOKUP($P427,Member_Tab,5,FALSE())*IF(AND(AH$5 &gt; VLOOKUP($P427,Member_Tab,6,FALSE()),AH$5 &lt; VLOOKUP($P427,Member_Tab,7,FALSE())),1,0))</f>
        <v>0</v>
      </c>
      <c r="AI529" s="184" t="n">
        <f aca="false">IF(ISERROR(VLOOKUP($P427,Member_Tab,5,FALSE())),0,VLOOKUP($P427,Member_Tab,5,FALSE())*IF(AND(AI$5 &gt; VLOOKUP($P427,Member_Tab,6,FALSE()),AI$5 &lt; VLOOKUP($P427,Member_Tab,7,FALSE())),1,0))</f>
        <v>0</v>
      </c>
      <c r="AJ529" s="184" t="n">
        <f aca="false">IF(ISERROR(VLOOKUP($P427,Member_Tab,5,FALSE())),0,VLOOKUP($P427,Member_Tab,5,FALSE())*IF(AND(AJ$5 &gt; VLOOKUP($P427,Member_Tab,6,FALSE()),AJ$5 &lt; VLOOKUP($P427,Member_Tab,7,FALSE())),1,0))</f>
        <v>0</v>
      </c>
      <c r="AK529" s="184" t="n">
        <f aca="false">IF(ISERROR(VLOOKUP($P427,Member_Tab,5,FALSE())),0,VLOOKUP($P427,Member_Tab,5,FALSE())*IF(AND(AK$5 &gt; VLOOKUP($P427,Member_Tab,6,FALSE()),AK$5 &lt; VLOOKUP($P427,Member_Tab,7,FALSE())),1,0))</f>
        <v>0</v>
      </c>
      <c r="AL529" s="184" t="n">
        <f aca="false">IF(ISERROR(VLOOKUP($P427,Member_Tab,5,FALSE())),0,VLOOKUP($P427,Member_Tab,5,FALSE())*IF(AND(AL$5 &gt; VLOOKUP($P427,Member_Tab,6,FALSE()),AL$5 &lt; VLOOKUP($P427,Member_Tab,7,FALSE())),1,0))</f>
        <v>0</v>
      </c>
      <c r="AM529" s="184" t="n">
        <f aca="false">IF(ISERROR(VLOOKUP($P427,Member_Tab,5,FALSE())),0,VLOOKUP($P427,Member_Tab,5,FALSE())*IF(AND(AM$5 &gt; VLOOKUP($P427,Member_Tab,6,FALSE()),AM$5 &lt; VLOOKUP($P427,Member_Tab,7,FALSE())),1,0))</f>
        <v>0</v>
      </c>
      <c r="AN529" s="184" t="n">
        <f aca="false">IF(ISERROR(VLOOKUP($P427,Member_Tab,5,FALSE())),0,VLOOKUP($P427,Member_Tab,5,FALSE())*IF(AND(AN$5 &gt; VLOOKUP($P427,Member_Tab,6,FALSE()),AN$5 &lt; VLOOKUP($P427,Member_Tab,7,FALSE())),1,0))</f>
        <v>0</v>
      </c>
      <c r="AO529" s="184" t="n">
        <f aca="false">IF(ISERROR(VLOOKUP($P427,Member_Tab,5,FALSE())),0,VLOOKUP($P427,Member_Tab,5,FALSE())*IF(AND(AO$5 &gt; VLOOKUP($P427,Member_Tab,6,FALSE()),AO$5 &lt; VLOOKUP($P427,Member_Tab,7,FALSE())),1,0))</f>
        <v>0</v>
      </c>
      <c r="AP529" s="184" t="n">
        <f aca="false">IF(ISERROR(VLOOKUP($P427,Member_Tab,5,FALSE())),0,VLOOKUP($P427,Member_Tab,5,FALSE())*IF(AND(AP$5 &gt; VLOOKUP($P427,Member_Tab,6,FALSE()),AP$5 &lt; VLOOKUP($P427,Member_Tab,7,FALSE())),1,0))</f>
        <v>0</v>
      </c>
      <c r="AQ529" s="184" t="n">
        <f aca="false">IF(ISERROR(VLOOKUP($P427,Member_Tab,5,FALSE())),0,VLOOKUP($P427,Member_Tab,5,FALSE())*IF(AND(AQ$5 &gt; VLOOKUP($P427,Member_Tab,6,FALSE()),AQ$5 &lt; VLOOKUP($P427,Member_Tab,7,FALSE())),1,0))</f>
        <v>0</v>
      </c>
      <c r="AR529" s="184" t="n">
        <f aca="false">IF(ISERROR(VLOOKUP($P427,Member_Tab,5,FALSE())),0,VLOOKUP($P427,Member_Tab,5,FALSE())*IF(AND(AR$5 &gt; VLOOKUP($P427,Member_Tab,6,FALSE()),AR$5 &lt; VLOOKUP($P427,Member_Tab,7,FALSE())),1,0))</f>
        <v>0</v>
      </c>
      <c r="AS529" s="184" t="n">
        <f aca="false">IF(ISERROR(VLOOKUP($P427,Member_Tab,5,FALSE())),0,VLOOKUP($P427,Member_Tab,5,FALSE())*IF(AND(AS$5 &gt; VLOOKUP($P427,Member_Tab,6,FALSE()),AS$5 &lt; VLOOKUP($P427,Member_Tab,7,FALSE())),1,0))</f>
        <v>0</v>
      </c>
      <c r="AT529" s="184" t="n">
        <f aca="false">IF(ISERROR(VLOOKUP($P427,Member_Tab,5,FALSE())),0,VLOOKUP($P427,Member_Tab,5,FALSE())*IF(AND(AT$5 &gt; VLOOKUP($P427,Member_Tab,6,FALSE()),AT$5 &lt; VLOOKUP($P427,Member_Tab,7,FALSE())),1,0))</f>
        <v>0</v>
      </c>
      <c r="AU529" s="184" t="n">
        <f aca="false">IF(ISERROR(VLOOKUP($P427,Member_Tab,5,FALSE())),0,VLOOKUP($P427,Member_Tab,5,FALSE())*IF(AND(AU$5 &gt; VLOOKUP($P427,Member_Tab,6,FALSE()),AU$5 &lt; VLOOKUP($P427,Member_Tab,7,FALSE())),1,0))</f>
        <v>0</v>
      </c>
      <c r="AV529" s="184" t="n">
        <f aca="false">IF(ISERROR(VLOOKUP($P427,Member_Tab,5,FALSE())),0,VLOOKUP($P427,Member_Tab,5,FALSE())*IF(AND(AV$5 &gt; VLOOKUP($P427,Member_Tab,6,FALSE()),AV$5 &lt; VLOOKUP($P427,Member_Tab,7,FALSE())),1,0))</f>
        <v>0</v>
      </c>
      <c r="AW529" s="184" t="n">
        <f aca="false">IF(ISERROR(VLOOKUP($P427,Member_Tab,5,FALSE())),0,VLOOKUP($P427,Member_Tab,5,FALSE())*IF(AND(AW$5 &gt; VLOOKUP($P427,Member_Tab,6,FALSE()),AW$5 &lt; VLOOKUP($P427,Member_Tab,7,FALSE())),1,0))</f>
        <v>0</v>
      </c>
      <c r="AX529" s="184" t="n">
        <f aca="false">IF(ISERROR(VLOOKUP($P427,Member_Tab,5,FALSE())),0,VLOOKUP($P427,Member_Tab,5,FALSE())*IF(AND(AX$5 &gt; VLOOKUP($P427,Member_Tab,6,FALSE()),AX$5 &lt; VLOOKUP($P427,Member_Tab,7,FALSE())),1,0))</f>
        <v>0</v>
      </c>
      <c r="AY529" s="184" t="n">
        <f aca="false">IF(ISERROR(VLOOKUP($P427,Member_Tab,5,FALSE())),0,VLOOKUP($P427,Member_Tab,5,FALSE())*IF(AND(AY$5 &gt; VLOOKUP($P427,Member_Tab,6,FALSE()),AY$5 &lt; VLOOKUP($P427,Member_Tab,7,FALSE())),1,0))</f>
        <v>0</v>
      </c>
      <c r="AZ529" s="184" t="n">
        <f aca="false">IF(ISERROR(VLOOKUP($P427,Member_Tab,5,FALSE())),0,VLOOKUP($P427,Member_Tab,5,FALSE())*IF(AND(AZ$5 &gt; VLOOKUP($P427,Member_Tab,6,FALSE()),AZ$5 &lt; VLOOKUP($P427,Member_Tab,7,FALSE())),1,0))</f>
        <v>0</v>
      </c>
      <c r="BA529" s="184" t="n">
        <f aca="false">IF(ISERROR(VLOOKUP($P427,Member_Tab,5,FALSE())),0,VLOOKUP($P427,Member_Tab,5,FALSE())*IF(AND(BA$5 &gt; VLOOKUP($P427,Member_Tab,6,FALSE()),BA$5 &lt; VLOOKUP($P427,Member_Tab,7,FALSE())),1,0))</f>
        <v>0</v>
      </c>
      <c r="BB529" s="184" t="n">
        <f aca="false">IF(ISERROR(VLOOKUP($P427,Member_Tab,5,FALSE())),0,VLOOKUP($P427,Member_Tab,5,FALSE())*IF(AND(BB$5 &gt; VLOOKUP($P427,Member_Tab,6,FALSE()),BB$5 &lt; VLOOKUP($P427,Member_Tab,7,FALSE())),1,0))</f>
        <v>0</v>
      </c>
    </row>
    <row r="530" s="173" customFormat="true" ht="15.75" hidden="true" customHeight="false" outlineLevel="1" collapsed="false">
      <c r="E530" s="40"/>
      <c r="K530" s="40"/>
      <c r="L530" s="40"/>
      <c r="M530" s="40"/>
      <c r="N530" s="40"/>
      <c r="P530" s="183" t="n">
        <f aca="false">P428</f>
        <v>0</v>
      </c>
      <c r="Q530" s="40"/>
      <c r="R530" s="182"/>
      <c r="S530" s="184" t="n">
        <f aca="false">IF(ISERROR(VLOOKUP($P428,Member_Tab,5,FALSE())),0,VLOOKUP($P428,Member_Tab,5,FALSE())*IF(AND(S$5 &gt; VLOOKUP($P428,Member_Tab,6,FALSE()),S$5 &lt; VLOOKUP($P428,Member_Tab,7,FALSE())),1,0))</f>
        <v>0</v>
      </c>
      <c r="T530" s="184" t="n">
        <f aca="false">IF(ISERROR(VLOOKUP($P428,Member_Tab,5,FALSE())),0,VLOOKUP($P428,Member_Tab,5,FALSE())*IF(AND(T$5 &gt; VLOOKUP($P428,Member_Tab,6,FALSE()),T$5 &lt; VLOOKUP($P428,Member_Tab,7,FALSE())),1,0))</f>
        <v>0</v>
      </c>
      <c r="U530" s="184" t="n">
        <f aca="false">IF(ISERROR(VLOOKUP($P428,Member_Tab,5,FALSE())),0,VLOOKUP($P428,Member_Tab,5,FALSE())*IF(AND(U$5 &gt; VLOOKUP($P428,Member_Tab,6,FALSE()),U$5 &lt; VLOOKUP($P428,Member_Tab,7,FALSE())),1,0))</f>
        <v>0</v>
      </c>
      <c r="V530" s="184" t="n">
        <f aca="false">IF(ISERROR(VLOOKUP($P428,Member_Tab,5,FALSE())),0,VLOOKUP($P428,Member_Tab,5,FALSE())*IF(AND(V$5 &gt; VLOOKUP($P428,Member_Tab,6,FALSE()),V$5 &lt; VLOOKUP($P428,Member_Tab,7,FALSE())),1,0))</f>
        <v>0</v>
      </c>
      <c r="W530" s="184" t="n">
        <f aca="false">IF(ISERROR(VLOOKUP($P428,Member_Tab,5,FALSE())),0,VLOOKUP($P428,Member_Tab,5,FALSE())*IF(AND(W$5 &gt; VLOOKUP($P428,Member_Tab,6,FALSE()),W$5 &lt; VLOOKUP($P428,Member_Tab,7,FALSE())),1,0))</f>
        <v>0</v>
      </c>
      <c r="X530" s="184" t="n">
        <f aca="false">IF(ISERROR(VLOOKUP($P428,Member_Tab,5,FALSE())),0,VLOOKUP($P428,Member_Tab,5,FALSE())*IF(AND(X$5 &gt; VLOOKUP($P428,Member_Tab,6,FALSE()),X$5 &lt; VLOOKUP($P428,Member_Tab,7,FALSE())),1,0))</f>
        <v>0</v>
      </c>
      <c r="Y530" s="184" t="n">
        <f aca="false">IF(ISERROR(VLOOKUP($P428,Member_Tab,5,FALSE())),0,VLOOKUP($P428,Member_Tab,5,FALSE())*IF(AND(Y$5 &gt; VLOOKUP($P428,Member_Tab,6,FALSE()),Y$5 &lt; VLOOKUP($P428,Member_Tab,7,FALSE())),1,0))</f>
        <v>0</v>
      </c>
      <c r="Z530" s="184" t="n">
        <f aca="false">IF(ISERROR(VLOOKUP($P428,Member_Tab,5,FALSE())),0,VLOOKUP($P428,Member_Tab,5,FALSE())*IF(AND(Z$5 &gt; VLOOKUP($P428,Member_Tab,6,FALSE()),Z$5 &lt; VLOOKUP($P428,Member_Tab,7,FALSE())),1,0))</f>
        <v>0</v>
      </c>
      <c r="AA530" s="184" t="n">
        <f aca="false">IF(ISERROR(VLOOKUP($P428,Member_Tab,5,FALSE())),0,VLOOKUP($P428,Member_Tab,5,FALSE())*IF(AND(AA$5 &gt; VLOOKUP($P428,Member_Tab,6,FALSE()),AA$5 &lt; VLOOKUP($P428,Member_Tab,7,FALSE())),1,0))</f>
        <v>0</v>
      </c>
      <c r="AB530" s="184" t="n">
        <f aca="false">IF(ISERROR(VLOOKUP($P428,Member_Tab,5,FALSE())),0,VLOOKUP($P428,Member_Tab,5,FALSE())*IF(AND(AB$5 &gt; VLOOKUP($P428,Member_Tab,6,FALSE()),AB$5 &lt; VLOOKUP($P428,Member_Tab,7,FALSE())),1,0))</f>
        <v>0</v>
      </c>
      <c r="AC530" s="184" t="n">
        <f aca="false">IF(ISERROR(VLOOKUP($P428,Member_Tab,5,FALSE())),0,VLOOKUP($P428,Member_Tab,5,FALSE())*IF(AND(AC$5 &gt; VLOOKUP($P428,Member_Tab,6,FALSE()),AC$5 &lt; VLOOKUP($P428,Member_Tab,7,FALSE())),1,0))</f>
        <v>0</v>
      </c>
      <c r="AD530" s="184" t="n">
        <f aca="false">IF(ISERROR(VLOOKUP($P428,Member_Tab,5,FALSE())),0,VLOOKUP($P428,Member_Tab,5,FALSE())*IF(AND(AD$5 &gt; VLOOKUP($P428,Member_Tab,6,FALSE()),AD$5 &lt; VLOOKUP($P428,Member_Tab,7,FALSE())),1,0))</f>
        <v>0</v>
      </c>
      <c r="AE530" s="184" t="n">
        <f aca="false">IF(ISERROR(VLOOKUP($P428,Member_Tab,5,FALSE())),0,VLOOKUP($P428,Member_Tab,5,FALSE())*IF(AND(AE$5 &gt; VLOOKUP($P428,Member_Tab,6,FALSE()),AE$5 &lt; VLOOKUP($P428,Member_Tab,7,FALSE())),1,0))</f>
        <v>0</v>
      </c>
      <c r="AF530" s="184" t="n">
        <f aca="false">IF(ISERROR(VLOOKUP($P428,Member_Tab,5,FALSE())),0,VLOOKUP($P428,Member_Tab,5,FALSE())*IF(AND(AF$5 &gt; VLOOKUP($P428,Member_Tab,6,FALSE()),AF$5 &lt; VLOOKUP($P428,Member_Tab,7,FALSE())),1,0))</f>
        <v>0</v>
      </c>
      <c r="AG530" s="184" t="n">
        <f aca="false">IF(ISERROR(VLOOKUP($P428,Member_Tab,5,FALSE())),0,VLOOKUP($P428,Member_Tab,5,FALSE())*IF(AND(AG$5 &gt; VLOOKUP($P428,Member_Tab,6,FALSE()),AG$5 &lt; VLOOKUP($P428,Member_Tab,7,FALSE())),1,0))</f>
        <v>0</v>
      </c>
      <c r="AH530" s="184" t="n">
        <f aca="false">IF(ISERROR(VLOOKUP($P428,Member_Tab,5,FALSE())),0,VLOOKUP($P428,Member_Tab,5,FALSE())*IF(AND(AH$5 &gt; VLOOKUP($P428,Member_Tab,6,FALSE()),AH$5 &lt; VLOOKUP($P428,Member_Tab,7,FALSE())),1,0))</f>
        <v>0</v>
      </c>
      <c r="AI530" s="184" t="n">
        <f aca="false">IF(ISERROR(VLOOKUP($P428,Member_Tab,5,FALSE())),0,VLOOKUP($P428,Member_Tab,5,FALSE())*IF(AND(AI$5 &gt; VLOOKUP($P428,Member_Tab,6,FALSE()),AI$5 &lt; VLOOKUP($P428,Member_Tab,7,FALSE())),1,0))</f>
        <v>0</v>
      </c>
      <c r="AJ530" s="184" t="n">
        <f aca="false">IF(ISERROR(VLOOKUP($P428,Member_Tab,5,FALSE())),0,VLOOKUP($P428,Member_Tab,5,FALSE())*IF(AND(AJ$5 &gt; VLOOKUP($P428,Member_Tab,6,FALSE()),AJ$5 &lt; VLOOKUP($P428,Member_Tab,7,FALSE())),1,0))</f>
        <v>0</v>
      </c>
      <c r="AK530" s="184" t="n">
        <f aca="false">IF(ISERROR(VLOOKUP($P428,Member_Tab,5,FALSE())),0,VLOOKUP($P428,Member_Tab,5,FALSE())*IF(AND(AK$5 &gt; VLOOKUP($P428,Member_Tab,6,FALSE()),AK$5 &lt; VLOOKUP($P428,Member_Tab,7,FALSE())),1,0))</f>
        <v>0</v>
      </c>
      <c r="AL530" s="184" t="n">
        <f aca="false">IF(ISERROR(VLOOKUP($P428,Member_Tab,5,FALSE())),0,VLOOKUP($P428,Member_Tab,5,FALSE())*IF(AND(AL$5 &gt; VLOOKUP($P428,Member_Tab,6,FALSE()),AL$5 &lt; VLOOKUP($P428,Member_Tab,7,FALSE())),1,0))</f>
        <v>0</v>
      </c>
      <c r="AM530" s="184" t="n">
        <f aca="false">IF(ISERROR(VLOOKUP($P428,Member_Tab,5,FALSE())),0,VLOOKUP($P428,Member_Tab,5,FALSE())*IF(AND(AM$5 &gt; VLOOKUP($P428,Member_Tab,6,FALSE()),AM$5 &lt; VLOOKUP($P428,Member_Tab,7,FALSE())),1,0))</f>
        <v>0</v>
      </c>
      <c r="AN530" s="184" t="n">
        <f aca="false">IF(ISERROR(VLOOKUP($P428,Member_Tab,5,FALSE())),0,VLOOKUP($P428,Member_Tab,5,FALSE())*IF(AND(AN$5 &gt; VLOOKUP($P428,Member_Tab,6,FALSE()),AN$5 &lt; VLOOKUP($P428,Member_Tab,7,FALSE())),1,0))</f>
        <v>0</v>
      </c>
      <c r="AO530" s="184" t="n">
        <f aca="false">IF(ISERROR(VLOOKUP($P428,Member_Tab,5,FALSE())),0,VLOOKUP($P428,Member_Tab,5,FALSE())*IF(AND(AO$5 &gt; VLOOKUP($P428,Member_Tab,6,FALSE()),AO$5 &lt; VLOOKUP($P428,Member_Tab,7,FALSE())),1,0))</f>
        <v>0</v>
      </c>
      <c r="AP530" s="184" t="n">
        <f aca="false">IF(ISERROR(VLOOKUP($P428,Member_Tab,5,FALSE())),0,VLOOKUP($P428,Member_Tab,5,FALSE())*IF(AND(AP$5 &gt; VLOOKUP($P428,Member_Tab,6,FALSE()),AP$5 &lt; VLOOKUP($P428,Member_Tab,7,FALSE())),1,0))</f>
        <v>0</v>
      </c>
      <c r="AQ530" s="184" t="n">
        <f aca="false">IF(ISERROR(VLOOKUP($P428,Member_Tab,5,FALSE())),0,VLOOKUP($P428,Member_Tab,5,FALSE())*IF(AND(AQ$5 &gt; VLOOKUP($P428,Member_Tab,6,FALSE()),AQ$5 &lt; VLOOKUP($P428,Member_Tab,7,FALSE())),1,0))</f>
        <v>0</v>
      </c>
      <c r="AR530" s="184" t="n">
        <f aca="false">IF(ISERROR(VLOOKUP($P428,Member_Tab,5,FALSE())),0,VLOOKUP($P428,Member_Tab,5,FALSE())*IF(AND(AR$5 &gt; VLOOKUP($P428,Member_Tab,6,FALSE()),AR$5 &lt; VLOOKUP($P428,Member_Tab,7,FALSE())),1,0))</f>
        <v>0</v>
      </c>
      <c r="AS530" s="184" t="n">
        <f aca="false">IF(ISERROR(VLOOKUP($P428,Member_Tab,5,FALSE())),0,VLOOKUP($P428,Member_Tab,5,FALSE())*IF(AND(AS$5 &gt; VLOOKUP($P428,Member_Tab,6,FALSE()),AS$5 &lt; VLOOKUP($P428,Member_Tab,7,FALSE())),1,0))</f>
        <v>0</v>
      </c>
      <c r="AT530" s="184" t="n">
        <f aca="false">IF(ISERROR(VLOOKUP($P428,Member_Tab,5,FALSE())),0,VLOOKUP($P428,Member_Tab,5,FALSE())*IF(AND(AT$5 &gt; VLOOKUP($P428,Member_Tab,6,FALSE()),AT$5 &lt; VLOOKUP($P428,Member_Tab,7,FALSE())),1,0))</f>
        <v>0</v>
      </c>
      <c r="AU530" s="184" t="n">
        <f aca="false">IF(ISERROR(VLOOKUP($P428,Member_Tab,5,FALSE())),0,VLOOKUP($P428,Member_Tab,5,FALSE())*IF(AND(AU$5 &gt; VLOOKUP($P428,Member_Tab,6,FALSE()),AU$5 &lt; VLOOKUP($P428,Member_Tab,7,FALSE())),1,0))</f>
        <v>0</v>
      </c>
      <c r="AV530" s="184" t="n">
        <f aca="false">IF(ISERROR(VLOOKUP($P428,Member_Tab,5,FALSE())),0,VLOOKUP($P428,Member_Tab,5,FALSE())*IF(AND(AV$5 &gt; VLOOKUP($P428,Member_Tab,6,FALSE()),AV$5 &lt; VLOOKUP($P428,Member_Tab,7,FALSE())),1,0))</f>
        <v>0</v>
      </c>
      <c r="AW530" s="184" t="n">
        <f aca="false">IF(ISERROR(VLOOKUP($P428,Member_Tab,5,FALSE())),0,VLOOKUP($P428,Member_Tab,5,FALSE())*IF(AND(AW$5 &gt; VLOOKUP($P428,Member_Tab,6,FALSE()),AW$5 &lt; VLOOKUP($P428,Member_Tab,7,FALSE())),1,0))</f>
        <v>0</v>
      </c>
      <c r="AX530" s="184" t="n">
        <f aca="false">IF(ISERROR(VLOOKUP($P428,Member_Tab,5,FALSE())),0,VLOOKUP($P428,Member_Tab,5,FALSE())*IF(AND(AX$5 &gt; VLOOKUP($P428,Member_Tab,6,FALSE()),AX$5 &lt; VLOOKUP($P428,Member_Tab,7,FALSE())),1,0))</f>
        <v>0</v>
      </c>
      <c r="AY530" s="184" t="n">
        <f aca="false">IF(ISERROR(VLOOKUP($P428,Member_Tab,5,FALSE())),0,VLOOKUP($P428,Member_Tab,5,FALSE())*IF(AND(AY$5 &gt; VLOOKUP($P428,Member_Tab,6,FALSE()),AY$5 &lt; VLOOKUP($P428,Member_Tab,7,FALSE())),1,0))</f>
        <v>0</v>
      </c>
      <c r="AZ530" s="184" t="n">
        <f aca="false">IF(ISERROR(VLOOKUP($P428,Member_Tab,5,FALSE())),0,VLOOKUP($P428,Member_Tab,5,FALSE())*IF(AND(AZ$5 &gt; VLOOKUP($P428,Member_Tab,6,FALSE()),AZ$5 &lt; VLOOKUP($P428,Member_Tab,7,FALSE())),1,0))</f>
        <v>0</v>
      </c>
      <c r="BA530" s="184" t="n">
        <f aca="false">IF(ISERROR(VLOOKUP($P428,Member_Tab,5,FALSE())),0,VLOOKUP($P428,Member_Tab,5,FALSE())*IF(AND(BA$5 &gt; VLOOKUP($P428,Member_Tab,6,FALSE()),BA$5 &lt; VLOOKUP($P428,Member_Tab,7,FALSE())),1,0))</f>
        <v>0</v>
      </c>
      <c r="BB530" s="184" t="n">
        <f aca="false">IF(ISERROR(VLOOKUP($P428,Member_Tab,5,FALSE())),0,VLOOKUP($P428,Member_Tab,5,FALSE())*IF(AND(BB$5 &gt; VLOOKUP($P428,Member_Tab,6,FALSE()),BB$5 &lt; VLOOKUP($P428,Member_Tab,7,FALSE())),1,0))</f>
        <v>0</v>
      </c>
    </row>
    <row r="531" s="173" customFormat="true" ht="15.75" hidden="true" customHeight="false" outlineLevel="1" collapsed="false">
      <c r="E531" s="40"/>
      <c r="K531" s="40"/>
      <c r="L531" s="40"/>
      <c r="M531" s="40"/>
      <c r="N531" s="40"/>
      <c r="P531" s="183" t="n">
        <f aca="false">P429</f>
        <v>0</v>
      </c>
      <c r="Q531" s="40"/>
      <c r="R531" s="182"/>
      <c r="S531" s="184" t="n">
        <f aca="false">IF(ISERROR(VLOOKUP($P429,Member_Tab,5,FALSE())),0,VLOOKUP($P429,Member_Tab,5,FALSE())*IF(AND(S$5 &gt; VLOOKUP($P429,Member_Tab,6,FALSE()),S$5 &lt; VLOOKUP($P429,Member_Tab,7,FALSE())),1,0))</f>
        <v>0</v>
      </c>
      <c r="T531" s="184" t="n">
        <f aca="false">IF(ISERROR(VLOOKUP($P429,Member_Tab,5,FALSE())),0,VLOOKUP($P429,Member_Tab,5,FALSE())*IF(AND(T$5 &gt; VLOOKUP($P429,Member_Tab,6,FALSE()),T$5 &lt; VLOOKUP($P429,Member_Tab,7,FALSE())),1,0))</f>
        <v>0</v>
      </c>
      <c r="U531" s="184" t="n">
        <f aca="false">IF(ISERROR(VLOOKUP($P429,Member_Tab,5,FALSE())),0,VLOOKUP($P429,Member_Tab,5,FALSE())*IF(AND(U$5 &gt; VLOOKUP($P429,Member_Tab,6,FALSE()),U$5 &lt; VLOOKUP($P429,Member_Tab,7,FALSE())),1,0))</f>
        <v>0</v>
      </c>
      <c r="V531" s="184" t="n">
        <f aca="false">IF(ISERROR(VLOOKUP($P429,Member_Tab,5,FALSE())),0,VLOOKUP($P429,Member_Tab,5,FALSE())*IF(AND(V$5 &gt; VLOOKUP($P429,Member_Tab,6,FALSE()),V$5 &lt; VLOOKUP($P429,Member_Tab,7,FALSE())),1,0))</f>
        <v>0</v>
      </c>
      <c r="W531" s="184" t="n">
        <f aca="false">IF(ISERROR(VLOOKUP($P429,Member_Tab,5,FALSE())),0,VLOOKUP($P429,Member_Tab,5,FALSE())*IF(AND(W$5 &gt; VLOOKUP($P429,Member_Tab,6,FALSE()),W$5 &lt; VLOOKUP($P429,Member_Tab,7,FALSE())),1,0))</f>
        <v>0</v>
      </c>
      <c r="X531" s="184" t="n">
        <f aca="false">IF(ISERROR(VLOOKUP($P429,Member_Tab,5,FALSE())),0,VLOOKUP($P429,Member_Tab,5,FALSE())*IF(AND(X$5 &gt; VLOOKUP($P429,Member_Tab,6,FALSE()),X$5 &lt; VLOOKUP($P429,Member_Tab,7,FALSE())),1,0))</f>
        <v>0</v>
      </c>
      <c r="Y531" s="184" t="n">
        <f aca="false">IF(ISERROR(VLOOKUP($P429,Member_Tab,5,FALSE())),0,VLOOKUP($P429,Member_Tab,5,FALSE())*IF(AND(Y$5 &gt; VLOOKUP($P429,Member_Tab,6,FALSE()),Y$5 &lt; VLOOKUP($P429,Member_Tab,7,FALSE())),1,0))</f>
        <v>0</v>
      </c>
      <c r="Z531" s="184" t="n">
        <f aca="false">IF(ISERROR(VLOOKUP($P429,Member_Tab,5,FALSE())),0,VLOOKUP($P429,Member_Tab,5,FALSE())*IF(AND(Z$5 &gt; VLOOKUP($P429,Member_Tab,6,FALSE()),Z$5 &lt; VLOOKUP($P429,Member_Tab,7,FALSE())),1,0))</f>
        <v>0</v>
      </c>
      <c r="AA531" s="184" t="n">
        <f aca="false">IF(ISERROR(VLOOKUP($P429,Member_Tab,5,FALSE())),0,VLOOKUP($P429,Member_Tab,5,FALSE())*IF(AND(AA$5 &gt; VLOOKUP($P429,Member_Tab,6,FALSE()),AA$5 &lt; VLOOKUP($P429,Member_Tab,7,FALSE())),1,0))</f>
        <v>0</v>
      </c>
      <c r="AB531" s="184" t="n">
        <f aca="false">IF(ISERROR(VLOOKUP($P429,Member_Tab,5,FALSE())),0,VLOOKUP($P429,Member_Tab,5,FALSE())*IF(AND(AB$5 &gt; VLOOKUP($P429,Member_Tab,6,FALSE()),AB$5 &lt; VLOOKUP($P429,Member_Tab,7,FALSE())),1,0))</f>
        <v>0</v>
      </c>
      <c r="AC531" s="184" t="n">
        <f aca="false">IF(ISERROR(VLOOKUP($P429,Member_Tab,5,FALSE())),0,VLOOKUP($P429,Member_Tab,5,FALSE())*IF(AND(AC$5 &gt; VLOOKUP($P429,Member_Tab,6,FALSE()),AC$5 &lt; VLOOKUP($P429,Member_Tab,7,FALSE())),1,0))</f>
        <v>0</v>
      </c>
      <c r="AD531" s="184" t="n">
        <f aca="false">IF(ISERROR(VLOOKUP($P429,Member_Tab,5,FALSE())),0,VLOOKUP($P429,Member_Tab,5,FALSE())*IF(AND(AD$5 &gt; VLOOKUP($P429,Member_Tab,6,FALSE()),AD$5 &lt; VLOOKUP($P429,Member_Tab,7,FALSE())),1,0))</f>
        <v>0</v>
      </c>
      <c r="AE531" s="184" t="n">
        <f aca="false">IF(ISERROR(VLOOKUP($P429,Member_Tab,5,FALSE())),0,VLOOKUP($P429,Member_Tab,5,FALSE())*IF(AND(AE$5 &gt; VLOOKUP($P429,Member_Tab,6,FALSE()),AE$5 &lt; VLOOKUP($P429,Member_Tab,7,FALSE())),1,0))</f>
        <v>0</v>
      </c>
      <c r="AF531" s="184" t="n">
        <f aca="false">IF(ISERROR(VLOOKUP($P429,Member_Tab,5,FALSE())),0,VLOOKUP($P429,Member_Tab,5,FALSE())*IF(AND(AF$5 &gt; VLOOKUP($P429,Member_Tab,6,FALSE()),AF$5 &lt; VLOOKUP($P429,Member_Tab,7,FALSE())),1,0))</f>
        <v>0</v>
      </c>
      <c r="AG531" s="184" t="n">
        <f aca="false">IF(ISERROR(VLOOKUP($P429,Member_Tab,5,FALSE())),0,VLOOKUP($P429,Member_Tab,5,FALSE())*IF(AND(AG$5 &gt; VLOOKUP($P429,Member_Tab,6,FALSE()),AG$5 &lt; VLOOKUP($P429,Member_Tab,7,FALSE())),1,0))</f>
        <v>0</v>
      </c>
      <c r="AH531" s="184" t="n">
        <f aca="false">IF(ISERROR(VLOOKUP($P429,Member_Tab,5,FALSE())),0,VLOOKUP($P429,Member_Tab,5,FALSE())*IF(AND(AH$5 &gt; VLOOKUP($P429,Member_Tab,6,FALSE()),AH$5 &lt; VLOOKUP($P429,Member_Tab,7,FALSE())),1,0))</f>
        <v>0</v>
      </c>
      <c r="AI531" s="184" t="n">
        <f aca="false">IF(ISERROR(VLOOKUP($P429,Member_Tab,5,FALSE())),0,VLOOKUP($P429,Member_Tab,5,FALSE())*IF(AND(AI$5 &gt; VLOOKUP($P429,Member_Tab,6,FALSE()),AI$5 &lt; VLOOKUP($P429,Member_Tab,7,FALSE())),1,0))</f>
        <v>0</v>
      </c>
      <c r="AJ531" s="184" t="n">
        <f aca="false">IF(ISERROR(VLOOKUP($P429,Member_Tab,5,FALSE())),0,VLOOKUP($P429,Member_Tab,5,FALSE())*IF(AND(AJ$5 &gt; VLOOKUP($P429,Member_Tab,6,FALSE()),AJ$5 &lt; VLOOKUP($P429,Member_Tab,7,FALSE())),1,0))</f>
        <v>0</v>
      </c>
      <c r="AK531" s="184" t="n">
        <f aca="false">IF(ISERROR(VLOOKUP($P429,Member_Tab,5,FALSE())),0,VLOOKUP($P429,Member_Tab,5,FALSE())*IF(AND(AK$5 &gt; VLOOKUP($P429,Member_Tab,6,FALSE()),AK$5 &lt; VLOOKUP($P429,Member_Tab,7,FALSE())),1,0))</f>
        <v>0</v>
      </c>
      <c r="AL531" s="184" t="n">
        <f aca="false">IF(ISERROR(VLOOKUP($P429,Member_Tab,5,FALSE())),0,VLOOKUP($P429,Member_Tab,5,FALSE())*IF(AND(AL$5 &gt; VLOOKUP($P429,Member_Tab,6,FALSE()),AL$5 &lt; VLOOKUP($P429,Member_Tab,7,FALSE())),1,0))</f>
        <v>0</v>
      </c>
      <c r="AM531" s="184" t="n">
        <f aca="false">IF(ISERROR(VLOOKUP($P429,Member_Tab,5,FALSE())),0,VLOOKUP($P429,Member_Tab,5,FALSE())*IF(AND(AM$5 &gt; VLOOKUP($P429,Member_Tab,6,FALSE()),AM$5 &lt; VLOOKUP($P429,Member_Tab,7,FALSE())),1,0))</f>
        <v>0</v>
      </c>
      <c r="AN531" s="184" t="n">
        <f aca="false">IF(ISERROR(VLOOKUP($P429,Member_Tab,5,FALSE())),0,VLOOKUP($P429,Member_Tab,5,FALSE())*IF(AND(AN$5 &gt; VLOOKUP($P429,Member_Tab,6,FALSE()),AN$5 &lt; VLOOKUP($P429,Member_Tab,7,FALSE())),1,0))</f>
        <v>0</v>
      </c>
      <c r="AO531" s="184" t="n">
        <f aca="false">IF(ISERROR(VLOOKUP($P429,Member_Tab,5,FALSE())),0,VLOOKUP($P429,Member_Tab,5,FALSE())*IF(AND(AO$5 &gt; VLOOKUP($P429,Member_Tab,6,FALSE()),AO$5 &lt; VLOOKUP($P429,Member_Tab,7,FALSE())),1,0))</f>
        <v>0</v>
      </c>
      <c r="AP531" s="184" t="n">
        <f aca="false">IF(ISERROR(VLOOKUP($P429,Member_Tab,5,FALSE())),0,VLOOKUP($P429,Member_Tab,5,FALSE())*IF(AND(AP$5 &gt; VLOOKUP($P429,Member_Tab,6,FALSE()),AP$5 &lt; VLOOKUP($P429,Member_Tab,7,FALSE())),1,0))</f>
        <v>0</v>
      </c>
      <c r="AQ531" s="184" t="n">
        <f aca="false">IF(ISERROR(VLOOKUP($P429,Member_Tab,5,FALSE())),0,VLOOKUP($P429,Member_Tab,5,FALSE())*IF(AND(AQ$5 &gt; VLOOKUP($P429,Member_Tab,6,FALSE()),AQ$5 &lt; VLOOKUP($P429,Member_Tab,7,FALSE())),1,0))</f>
        <v>0</v>
      </c>
      <c r="AR531" s="184" t="n">
        <f aca="false">IF(ISERROR(VLOOKUP($P429,Member_Tab,5,FALSE())),0,VLOOKUP($P429,Member_Tab,5,FALSE())*IF(AND(AR$5 &gt; VLOOKUP($P429,Member_Tab,6,FALSE()),AR$5 &lt; VLOOKUP($P429,Member_Tab,7,FALSE())),1,0))</f>
        <v>0</v>
      </c>
      <c r="AS531" s="184" t="n">
        <f aca="false">IF(ISERROR(VLOOKUP($P429,Member_Tab,5,FALSE())),0,VLOOKUP($P429,Member_Tab,5,FALSE())*IF(AND(AS$5 &gt; VLOOKUP($P429,Member_Tab,6,FALSE()),AS$5 &lt; VLOOKUP($P429,Member_Tab,7,FALSE())),1,0))</f>
        <v>0</v>
      </c>
      <c r="AT531" s="184" t="n">
        <f aca="false">IF(ISERROR(VLOOKUP($P429,Member_Tab,5,FALSE())),0,VLOOKUP($P429,Member_Tab,5,FALSE())*IF(AND(AT$5 &gt; VLOOKUP($P429,Member_Tab,6,FALSE()),AT$5 &lt; VLOOKUP($P429,Member_Tab,7,FALSE())),1,0))</f>
        <v>0</v>
      </c>
      <c r="AU531" s="184" t="n">
        <f aca="false">IF(ISERROR(VLOOKUP($P429,Member_Tab,5,FALSE())),0,VLOOKUP($P429,Member_Tab,5,FALSE())*IF(AND(AU$5 &gt; VLOOKUP($P429,Member_Tab,6,FALSE()),AU$5 &lt; VLOOKUP($P429,Member_Tab,7,FALSE())),1,0))</f>
        <v>0</v>
      </c>
      <c r="AV531" s="184" t="n">
        <f aca="false">IF(ISERROR(VLOOKUP($P429,Member_Tab,5,FALSE())),0,VLOOKUP($P429,Member_Tab,5,FALSE())*IF(AND(AV$5 &gt; VLOOKUP($P429,Member_Tab,6,FALSE()),AV$5 &lt; VLOOKUP($P429,Member_Tab,7,FALSE())),1,0))</f>
        <v>0</v>
      </c>
      <c r="AW531" s="184" t="n">
        <f aca="false">IF(ISERROR(VLOOKUP($P429,Member_Tab,5,FALSE())),0,VLOOKUP($P429,Member_Tab,5,FALSE())*IF(AND(AW$5 &gt; VLOOKUP($P429,Member_Tab,6,FALSE()),AW$5 &lt; VLOOKUP($P429,Member_Tab,7,FALSE())),1,0))</f>
        <v>0</v>
      </c>
      <c r="AX531" s="184" t="n">
        <f aca="false">IF(ISERROR(VLOOKUP($P429,Member_Tab,5,FALSE())),0,VLOOKUP($P429,Member_Tab,5,FALSE())*IF(AND(AX$5 &gt; VLOOKUP($P429,Member_Tab,6,FALSE()),AX$5 &lt; VLOOKUP($P429,Member_Tab,7,FALSE())),1,0))</f>
        <v>0</v>
      </c>
      <c r="AY531" s="184" t="n">
        <f aca="false">IF(ISERROR(VLOOKUP($P429,Member_Tab,5,FALSE())),0,VLOOKUP($P429,Member_Tab,5,FALSE())*IF(AND(AY$5 &gt; VLOOKUP($P429,Member_Tab,6,FALSE()),AY$5 &lt; VLOOKUP($P429,Member_Tab,7,FALSE())),1,0))</f>
        <v>0</v>
      </c>
      <c r="AZ531" s="184" t="n">
        <f aca="false">IF(ISERROR(VLOOKUP($P429,Member_Tab,5,FALSE())),0,VLOOKUP($P429,Member_Tab,5,FALSE())*IF(AND(AZ$5 &gt; VLOOKUP($P429,Member_Tab,6,FALSE()),AZ$5 &lt; VLOOKUP($P429,Member_Tab,7,FALSE())),1,0))</f>
        <v>0</v>
      </c>
      <c r="BA531" s="184" t="n">
        <f aca="false">IF(ISERROR(VLOOKUP($P429,Member_Tab,5,FALSE())),0,VLOOKUP($P429,Member_Tab,5,FALSE())*IF(AND(BA$5 &gt; VLOOKUP($P429,Member_Tab,6,FALSE()),BA$5 &lt; VLOOKUP($P429,Member_Tab,7,FALSE())),1,0))</f>
        <v>0</v>
      </c>
      <c r="BB531" s="184" t="n">
        <f aca="false">IF(ISERROR(VLOOKUP($P429,Member_Tab,5,FALSE())),0,VLOOKUP($P429,Member_Tab,5,FALSE())*IF(AND(BB$5 &gt; VLOOKUP($P429,Member_Tab,6,FALSE()),BB$5 &lt; VLOOKUP($P429,Member_Tab,7,FALSE())),1,0))</f>
        <v>0</v>
      </c>
    </row>
    <row r="532" s="173" customFormat="true" ht="15.75" hidden="true" customHeight="false" outlineLevel="1" collapsed="false">
      <c r="E532" s="40"/>
      <c r="K532" s="40"/>
      <c r="L532" s="40"/>
      <c r="M532" s="40"/>
      <c r="N532" s="40"/>
      <c r="P532" s="183" t="n">
        <f aca="false">P430</f>
        <v>0</v>
      </c>
      <c r="Q532" s="40"/>
      <c r="R532" s="182"/>
      <c r="S532" s="184" t="n">
        <f aca="false">IF(ISERROR(VLOOKUP($P430,Member_Tab,5,FALSE())),0,VLOOKUP($P430,Member_Tab,5,FALSE())*IF(AND(S$5 &gt; VLOOKUP($P430,Member_Tab,6,FALSE()),S$5 &lt; VLOOKUP($P430,Member_Tab,7,FALSE())),1,0))</f>
        <v>0</v>
      </c>
      <c r="T532" s="184" t="n">
        <f aca="false">IF(ISERROR(VLOOKUP($P430,Member_Tab,5,FALSE())),0,VLOOKUP($P430,Member_Tab,5,FALSE())*IF(AND(T$5 &gt; VLOOKUP($P430,Member_Tab,6,FALSE()),T$5 &lt; VLOOKUP($P430,Member_Tab,7,FALSE())),1,0))</f>
        <v>0</v>
      </c>
      <c r="U532" s="184" t="n">
        <f aca="false">IF(ISERROR(VLOOKUP($P430,Member_Tab,5,FALSE())),0,VLOOKUP($P430,Member_Tab,5,FALSE())*IF(AND(U$5 &gt; VLOOKUP($P430,Member_Tab,6,FALSE()),U$5 &lt; VLOOKUP($P430,Member_Tab,7,FALSE())),1,0))</f>
        <v>0</v>
      </c>
      <c r="V532" s="184" t="n">
        <f aca="false">IF(ISERROR(VLOOKUP($P430,Member_Tab,5,FALSE())),0,VLOOKUP($P430,Member_Tab,5,FALSE())*IF(AND(V$5 &gt; VLOOKUP($P430,Member_Tab,6,FALSE()),V$5 &lt; VLOOKUP($P430,Member_Tab,7,FALSE())),1,0))</f>
        <v>0</v>
      </c>
      <c r="W532" s="184" t="n">
        <f aca="false">IF(ISERROR(VLOOKUP($P430,Member_Tab,5,FALSE())),0,VLOOKUP($P430,Member_Tab,5,FALSE())*IF(AND(W$5 &gt; VLOOKUP($P430,Member_Tab,6,FALSE()),W$5 &lt; VLOOKUP($P430,Member_Tab,7,FALSE())),1,0))</f>
        <v>0</v>
      </c>
      <c r="X532" s="184" t="n">
        <f aca="false">IF(ISERROR(VLOOKUP($P430,Member_Tab,5,FALSE())),0,VLOOKUP($P430,Member_Tab,5,FALSE())*IF(AND(X$5 &gt; VLOOKUP($P430,Member_Tab,6,FALSE()),X$5 &lt; VLOOKUP($P430,Member_Tab,7,FALSE())),1,0))</f>
        <v>0</v>
      </c>
      <c r="Y532" s="184" t="n">
        <f aca="false">IF(ISERROR(VLOOKUP($P430,Member_Tab,5,FALSE())),0,VLOOKUP($P430,Member_Tab,5,FALSE())*IF(AND(Y$5 &gt; VLOOKUP($P430,Member_Tab,6,FALSE()),Y$5 &lt; VLOOKUP($P430,Member_Tab,7,FALSE())),1,0))</f>
        <v>0</v>
      </c>
      <c r="Z532" s="184" t="n">
        <f aca="false">IF(ISERROR(VLOOKUP($P430,Member_Tab,5,FALSE())),0,VLOOKUP($P430,Member_Tab,5,FALSE())*IF(AND(Z$5 &gt; VLOOKUP($P430,Member_Tab,6,FALSE()),Z$5 &lt; VLOOKUP($P430,Member_Tab,7,FALSE())),1,0))</f>
        <v>0</v>
      </c>
      <c r="AA532" s="184" t="n">
        <f aca="false">IF(ISERROR(VLOOKUP($P430,Member_Tab,5,FALSE())),0,VLOOKUP($P430,Member_Tab,5,FALSE())*IF(AND(AA$5 &gt; VLOOKUP($P430,Member_Tab,6,FALSE()),AA$5 &lt; VLOOKUP($P430,Member_Tab,7,FALSE())),1,0))</f>
        <v>0</v>
      </c>
      <c r="AB532" s="184" t="n">
        <f aca="false">IF(ISERROR(VLOOKUP($P430,Member_Tab,5,FALSE())),0,VLOOKUP($P430,Member_Tab,5,FALSE())*IF(AND(AB$5 &gt; VLOOKUP($P430,Member_Tab,6,FALSE()),AB$5 &lt; VLOOKUP($P430,Member_Tab,7,FALSE())),1,0))</f>
        <v>0</v>
      </c>
      <c r="AC532" s="184" t="n">
        <f aca="false">IF(ISERROR(VLOOKUP($P430,Member_Tab,5,FALSE())),0,VLOOKUP($P430,Member_Tab,5,FALSE())*IF(AND(AC$5 &gt; VLOOKUP($P430,Member_Tab,6,FALSE()),AC$5 &lt; VLOOKUP($P430,Member_Tab,7,FALSE())),1,0))</f>
        <v>0</v>
      </c>
      <c r="AD532" s="184" t="n">
        <f aca="false">IF(ISERROR(VLOOKUP($P430,Member_Tab,5,FALSE())),0,VLOOKUP($P430,Member_Tab,5,FALSE())*IF(AND(AD$5 &gt; VLOOKUP($P430,Member_Tab,6,FALSE()),AD$5 &lt; VLOOKUP($P430,Member_Tab,7,FALSE())),1,0))</f>
        <v>0</v>
      </c>
      <c r="AE532" s="184" t="n">
        <f aca="false">IF(ISERROR(VLOOKUP($P430,Member_Tab,5,FALSE())),0,VLOOKUP($P430,Member_Tab,5,FALSE())*IF(AND(AE$5 &gt; VLOOKUP($P430,Member_Tab,6,FALSE()),AE$5 &lt; VLOOKUP($P430,Member_Tab,7,FALSE())),1,0))</f>
        <v>0</v>
      </c>
      <c r="AF532" s="184" t="n">
        <f aca="false">IF(ISERROR(VLOOKUP($P430,Member_Tab,5,FALSE())),0,VLOOKUP($P430,Member_Tab,5,FALSE())*IF(AND(AF$5 &gt; VLOOKUP($P430,Member_Tab,6,FALSE()),AF$5 &lt; VLOOKUP($P430,Member_Tab,7,FALSE())),1,0))</f>
        <v>0</v>
      </c>
      <c r="AG532" s="184" t="n">
        <f aca="false">IF(ISERROR(VLOOKUP($P430,Member_Tab,5,FALSE())),0,VLOOKUP($P430,Member_Tab,5,FALSE())*IF(AND(AG$5 &gt; VLOOKUP($P430,Member_Tab,6,FALSE()),AG$5 &lt; VLOOKUP($P430,Member_Tab,7,FALSE())),1,0))</f>
        <v>0</v>
      </c>
      <c r="AH532" s="184" t="n">
        <f aca="false">IF(ISERROR(VLOOKUP($P430,Member_Tab,5,FALSE())),0,VLOOKUP($P430,Member_Tab,5,FALSE())*IF(AND(AH$5 &gt; VLOOKUP($P430,Member_Tab,6,FALSE()),AH$5 &lt; VLOOKUP($P430,Member_Tab,7,FALSE())),1,0))</f>
        <v>0</v>
      </c>
      <c r="AI532" s="184" t="n">
        <f aca="false">IF(ISERROR(VLOOKUP($P430,Member_Tab,5,FALSE())),0,VLOOKUP($P430,Member_Tab,5,FALSE())*IF(AND(AI$5 &gt; VLOOKUP($P430,Member_Tab,6,FALSE()),AI$5 &lt; VLOOKUP($P430,Member_Tab,7,FALSE())),1,0))</f>
        <v>0</v>
      </c>
      <c r="AJ532" s="184" t="n">
        <f aca="false">IF(ISERROR(VLOOKUP($P430,Member_Tab,5,FALSE())),0,VLOOKUP($P430,Member_Tab,5,FALSE())*IF(AND(AJ$5 &gt; VLOOKUP($P430,Member_Tab,6,FALSE()),AJ$5 &lt; VLOOKUP($P430,Member_Tab,7,FALSE())),1,0))</f>
        <v>0</v>
      </c>
      <c r="AK532" s="184" t="n">
        <f aca="false">IF(ISERROR(VLOOKUP($P430,Member_Tab,5,FALSE())),0,VLOOKUP($P430,Member_Tab,5,FALSE())*IF(AND(AK$5 &gt; VLOOKUP($P430,Member_Tab,6,FALSE()),AK$5 &lt; VLOOKUP($P430,Member_Tab,7,FALSE())),1,0))</f>
        <v>0</v>
      </c>
      <c r="AL532" s="184" t="n">
        <f aca="false">IF(ISERROR(VLOOKUP($P430,Member_Tab,5,FALSE())),0,VLOOKUP($P430,Member_Tab,5,FALSE())*IF(AND(AL$5 &gt; VLOOKUP($P430,Member_Tab,6,FALSE()),AL$5 &lt; VLOOKUP($P430,Member_Tab,7,FALSE())),1,0))</f>
        <v>0</v>
      </c>
      <c r="AM532" s="184" t="n">
        <f aca="false">IF(ISERROR(VLOOKUP($P430,Member_Tab,5,FALSE())),0,VLOOKUP($P430,Member_Tab,5,FALSE())*IF(AND(AM$5 &gt; VLOOKUP($P430,Member_Tab,6,FALSE()),AM$5 &lt; VLOOKUP($P430,Member_Tab,7,FALSE())),1,0))</f>
        <v>0</v>
      </c>
      <c r="AN532" s="184" t="n">
        <f aca="false">IF(ISERROR(VLOOKUP($P430,Member_Tab,5,FALSE())),0,VLOOKUP($P430,Member_Tab,5,FALSE())*IF(AND(AN$5 &gt; VLOOKUP($P430,Member_Tab,6,FALSE()),AN$5 &lt; VLOOKUP($P430,Member_Tab,7,FALSE())),1,0))</f>
        <v>0</v>
      </c>
      <c r="AO532" s="184" t="n">
        <f aca="false">IF(ISERROR(VLOOKUP($P430,Member_Tab,5,FALSE())),0,VLOOKUP($P430,Member_Tab,5,FALSE())*IF(AND(AO$5 &gt; VLOOKUP($P430,Member_Tab,6,FALSE()),AO$5 &lt; VLOOKUP($P430,Member_Tab,7,FALSE())),1,0))</f>
        <v>0</v>
      </c>
      <c r="AP532" s="184" t="n">
        <f aca="false">IF(ISERROR(VLOOKUP($P430,Member_Tab,5,FALSE())),0,VLOOKUP($P430,Member_Tab,5,FALSE())*IF(AND(AP$5 &gt; VLOOKUP($P430,Member_Tab,6,FALSE()),AP$5 &lt; VLOOKUP($P430,Member_Tab,7,FALSE())),1,0))</f>
        <v>0</v>
      </c>
      <c r="AQ532" s="184" t="n">
        <f aca="false">IF(ISERROR(VLOOKUP($P430,Member_Tab,5,FALSE())),0,VLOOKUP($P430,Member_Tab,5,FALSE())*IF(AND(AQ$5 &gt; VLOOKUP($P430,Member_Tab,6,FALSE()),AQ$5 &lt; VLOOKUP($P430,Member_Tab,7,FALSE())),1,0))</f>
        <v>0</v>
      </c>
      <c r="AR532" s="184" t="n">
        <f aca="false">IF(ISERROR(VLOOKUP($P430,Member_Tab,5,FALSE())),0,VLOOKUP($P430,Member_Tab,5,FALSE())*IF(AND(AR$5 &gt; VLOOKUP($P430,Member_Tab,6,FALSE()),AR$5 &lt; VLOOKUP($P430,Member_Tab,7,FALSE())),1,0))</f>
        <v>0</v>
      </c>
      <c r="AS532" s="184" t="n">
        <f aca="false">IF(ISERROR(VLOOKUP($P430,Member_Tab,5,FALSE())),0,VLOOKUP($P430,Member_Tab,5,FALSE())*IF(AND(AS$5 &gt; VLOOKUP($P430,Member_Tab,6,FALSE()),AS$5 &lt; VLOOKUP($P430,Member_Tab,7,FALSE())),1,0))</f>
        <v>0</v>
      </c>
      <c r="AT532" s="184" t="n">
        <f aca="false">IF(ISERROR(VLOOKUP($P430,Member_Tab,5,FALSE())),0,VLOOKUP($P430,Member_Tab,5,FALSE())*IF(AND(AT$5 &gt; VLOOKUP($P430,Member_Tab,6,FALSE()),AT$5 &lt; VLOOKUP($P430,Member_Tab,7,FALSE())),1,0))</f>
        <v>0</v>
      </c>
      <c r="AU532" s="184" t="n">
        <f aca="false">IF(ISERROR(VLOOKUP($P430,Member_Tab,5,FALSE())),0,VLOOKUP($P430,Member_Tab,5,FALSE())*IF(AND(AU$5 &gt; VLOOKUP($P430,Member_Tab,6,FALSE()),AU$5 &lt; VLOOKUP($P430,Member_Tab,7,FALSE())),1,0))</f>
        <v>0</v>
      </c>
      <c r="AV532" s="184" t="n">
        <f aca="false">IF(ISERROR(VLOOKUP($P430,Member_Tab,5,FALSE())),0,VLOOKUP($P430,Member_Tab,5,FALSE())*IF(AND(AV$5 &gt; VLOOKUP($P430,Member_Tab,6,FALSE()),AV$5 &lt; VLOOKUP($P430,Member_Tab,7,FALSE())),1,0))</f>
        <v>0</v>
      </c>
      <c r="AW532" s="184" t="n">
        <f aca="false">IF(ISERROR(VLOOKUP($P430,Member_Tab,5,FALSE())),0,VLOOKUP($P430,Member_Tab,5,FALSE())*IF(AND(AW$5 &gt; VLOOKUP($P430,Member_Tab,6,FALSE()),AW$5 &lt; VLOOKUP($P430,Member_Tab,7,FALSE())),1,0))</f>
        <v>0</v>
      </c>
      <c r="AX532" s="184" t="n">
        <f aca="false">IF(ISERROR(VLOOKUP($P430,Member_Tab,5,FALSE())),0,VLOOKUP($P430,Member_Tab,5,FALSE())*IF(AND(AX$5 &gt; VLOOKUP($P430,Member_Tab,6,FALSE()),AX$5 &lt; VLOOKUP($P430,Member_Tab,7,FALSE())),1,0))</f>
        <v>0</v>
      </c>
      <c r="AY532" s="184" t="n">
        <f aca="false">IF(ISERROR(VLOOKUP($P430,Member_Tab,5,FALSE())),0,VLOOKUP($P430,Member_Tab,5,FALSE())*IF(AND(AY$5 &gt; VLOOKUP($P430,Member_Tab,6,FALSE()),AY$5 &lt; VLOOKUP($P430,Member_Tab,7,FALSE())),1,0))</f>
        <v>0</v>
      </c>
      <c r="AZ532" s="184" t="n">
        <f aca="false">IF(ISERROR(VLOOKUP($P430,Member_Tab,5,FALSE())),0,VLOOKUP($P430,Member_Tab,5,FALSE())*IF(AND(AZ$5 &gt; VLOOKUP($P430,Member_Tab,6,FALSE()),AZ$5 &lt; VLOOKUP($P430,Member_Tab,7,FALSE())),1,0))</f>
        <v>0</v>
      </c>
      <c r="BA532" s="184" t="n">
        <f aca="false">IF(ISERROR(VLOOKUP($P430,Member_Tab,5,FALSE())),0,VLOOKUP($P430,Member_Tab,5,FALSE())*IF(AND(BA$5 &gt; VLOOKUP($P430,Member_Tab,6,FALSE()),BA$5 &lt; VLOOKUP($P430,Member_Tab,7,FALSE())),1,0))</f>
        <v>0</v>
      </c>
      <c r="BB532" s="184" t="n">
        <f aca="false">IF(ISERROR(VLOOKUP($P430,Member_Tab,5,FALSE())),0,VLOOKUP($P430,Member_Tab,5,FALSE())*IF(AND(BB$5 &gt; VLOOKUP($P430,Member_Tab,6,FALSE()),BB$5 &lt; VLOOKUP($P430,Member_Tab,7,FALSE())),1,0))</f>
        <v>0</v>
      </c>
    </row>
    <row r="533" s="173" customFormat="true" ht="15.75" hidden="true" customHeight="false" outlineLevel="1" collapsed="false">
      <c r="E533" s="40"/>
      <c r="K533" s="40"/>
      <c r="L533" s="40"/>
      <c r="M533" s="40"/>
      <c r="N533" s="40"/>
      <c r="P533" s="183" t="n">
        <f aca="false">P431</f>
        <v>0</v>
      </c>
      <c r="Q533" s="40"/>
      <c r="R533" s="182"/>
      <c r="S533" s="184" t="n">
        <f aca="false">IF(ISERROR(VLOOKUP($P431,Member_Tab,5,FALSE())),0,VLOOKUP($P431,Member_Tab,5,FALSE())*IF(AND(S$5 &gt; VLOOKUP($P431,Member_Tab,6,FALSE()),S$5 &lt; VLOOKUP($P431,Member_Tab,7,FALSE())),1,0))</f>
        <v>0</v>
      </c>
      <c r="T533" s="184" t="n">
        <f aca="false">IF(ISERROR(VLOOKUP($P431,Member_Tab,5,FALSE())),0,VLOOKUP($P431,Member_Tab,5,FALSE())*IF(AND(T$5 &gt; VLOOKUP($P431,Member_Tab,6,FALSE()),T$5 &lt; VLOOKUP($P431,Member_Tab,7,FALSE())),1,0))</f>
        <v>0</v>
      </c>
      <c r="U533" s="184" t="n">
        <f aca="false">IF(ISERROR(VLOOKUP($P431,Member_Tab,5,FALSE())),0,VLOOKUP($P431,Member_Tab,5,FALSE())*IF(AND(U$5 &gt; VLOOKUP($P431,Member_Tab,6,FALSE()),U$5 &lt; VLOOKUP($P431,Member_Tab,7,FALSE())),1,0))</f>
        <v>0</v>
      </c>
      <c r="V533" s="184" t="n">
        <f aca="false">IF(ISERROR(VLOOKUP($P431,Member_Tab,5,FALSE())),0,VLOOKUP($P431,Member_Tab,5,FALSE())*IF(AND(V$5 &gt; VLOOKUP($P431,Member_Tab,6,FALSE()),V$5 &lt; VLOOKUP($P431,Member_Tab,7,FALSE())),1,0))</f>
        <v>0</v>
      </c>
      <c r="W533" s="184" t="n">
        <f aca="false">IF(ISERROR(VLOOKUP($P431,Member_Tab,5,FALSE())),0,VLOOKUP($P431,Member_Tab,5,FALSE())*IF(AND(W$5 &gt; VLOOKUP($P431,Member_Tab,6,FALSE()),W$5 &lt; VLOOKUP($P431,Member_Tab,7,FALSE())),1,0))</f>
        <v>0</v>
      </c>
      <c r="X533" s="184" t="n">
        <f aca="false">IF(ISERROR(VLOOKUP($P431,Member_Tab,5,FALSE())),0,VLOOKUP($P431,Member_Tab,5,FALSE())*IF(AND(X$5 &gt; VLOOKUP($P431,Member_Tab,6,FALSE()),X$5 &lt; VLOOKUP($P431,Member_Tab,7,FALSE())),1,0))</f>
        <v>0</v>
      </c>
      <c r="Y533" s="184" t="n">
        <f aca="false">IF(ISERROR(VLOOKUP($P431,Member_Tab,5,FALSE())),0,VLOOKUP($P431,Member_Tab,5,FALSE())*IF(AND(Y$5 &gt; VLOOKUP($P431,Member_Tab,6,FALSE()),Y$5 &lt; VLOOKUP($P431,Member_Tab,7,FALSE())),1,0))</f>
        <v>0</v>
      </c>
      <c r="Z533" s="184" t="n">
        <f aca="false">IF(ISERROR(VLOOKUP($P431,Member_Tab,5,FALSE())),0,VLOOKUP($P431,Member_Tab,5,FALSE())*IF(AND(Z$5 &gt; VLOOKUP($P431,Member_Tab,6,FALSE()),Z$5 &lt; VLOOKUP($P431,Member_Tab,7,FALSE())),1,0))</f>
        <v>0</v>
      </c>
      <c r="AA533" s="184" t="n">
        <f aca="false">IF(ISERROR(VLOOKUP($P431,Member_Tab,5,FALSE())),0,VLOOKUP($P431,Member_Tab,5,FALSE())*IF(AND(AA$5 &gt; VLOOKUP($P431,Member_Tab,6,FALSE()),AA$5 &lt; VLOOKUP($P431,Member_Tab,7,FALSE())),1,0))</f>
        <v>0</v>
      </c>
      <c r="AB533" s="184" t="n">
        <f aca="false">IF(ISERROR(VLOOKUP($P431,Member_Tab,5,FALSE())),0,VLOOKUP($P431,Member_Tab,5,FALSE())*IF(AND(AB$5 &gt; VLOOKUP($P431,Member_Tab,6,FALSE()),AB$5 &lt; VLOOKUP($P431,Member_Tab,7,FALSE())),1,0))</f>
        <v>0</v>
      </c>
      <c r="AC533" s="184" t="n">
        <f aca="false">IF(ISERROR(VLOOKUP($P431,Member_Tab,5,FALSE())),0,VLOOKUP($P431,Member_Tab,5,FALSE())*IF(AND(AC$5 &gt; VLOOKUP($P431,Member_Tab,6,FALSE()),AC$5 &lt; VLOOKUP($P431,Member_Tab,7,FALSE())),1,0))</f>
        <v>0</v>
      </c>
      <c r="AD533" s="184" t="n">
        <f aca="false">IF(ISERROR(VLOOKUP($P431,Member_Tab,5,FALSE())),0,VLOOKUP($P431,Member_Tab,5,FALSE())*IF(AND(AD$5 &gt; VLOOKUP($P431,Member_Tab,6,FALSE()),AD$5 &lt; VLOOKUP($P431,Member_Tab,7,FALSE())),1,0))</f>
        <v>0</v>
      </c>
      <c r="AE533" s="184" t="n">
        <f aca="false">IF(ISERROR(VLOOKUP($P431,Member_Tab,5,FALSE())),0,VLOOKUP($P431,Member_Tab,5,FALSE())*IF(AND(AE$5 &gt; VLOOKUP($P431,Member_Tab,6,FALSE()),AE$5 &lt; VLOOKUP($P431,Member_Tab,7,FALSE())),1,0))</f>
        <v>0</v>
      </c>
      <c r="AF533" s="184" t="n">
        <f aca="false">IF(ISERROR(VLOOKUP($P431,Member_Tab,5,FALSE())),0,VLOOKUP($P431,Member_Tab,5,FALSE())*IF(AND(AF$5 &gt; VLOOKUP($P431,Member_Tab,6,FALSE()),AF$5 &lt; VLOOKUP($P431,Member_Tab,7,FALSE())),1,0))</f>
        <v>0</v>
      </c>
      <c r="AG533" s="184" t="n">
        <f aca="false">IF(ISERROR(VLOOKUP($P431,Member_Tab,5,FALSE())),0,VLOOKUP($P431,Member_Tab,5,FALSE())*IF(AND(AG$5 &gt; VLOOKUP($P431,Member_Tab,6,FALSE()),AG$5 &lt; VLOOKUP($P431,Member_Tab,7,FALSE())),1,0))</f>
        <v>0</v>
      </c>
      <c r="AH533" s="184" t="n">
        <f aca="false">IF(ISERROR(VLOOKUP($P431,Member_Tab,5,FALSE())),0,VLOOKUP($P431,Member_Tab,5,FALSE())*IF(AND(AH$5 &gt; VLOOKUP($P431,Member_Tab,6,FALSE()),AH$5 &lt; VLOOKUP($P431,Member_Tab,7,FALSE())),1,0))</f>
        <v>0</v>
      </c>
      <c r="AI533" s="184" t="n">
        <f aca="false">IF(ISERROR(VLOOKUP($P431,Member_Tab,5,FALSE())),0,VLOOKUP($P431,Member_Tab,5,FALSE())*IF(AND(AI$5 &gt; VLOOKUP($P431,Member_Tab,6,FALSE()),AI$5 &lt; VLOOKUP($P431,Member_Tab,7,FALSE())),1,0))</f>
        <v>0</v>
      </c>
      <c r="AJ533" s="184" t="n">
        <f aca="false">IF(ISERROR(VLOOKUP($P431,Member_Tab,5,FALSE())),0,VLOOKUP($P431,Member_Tab,5,FALSE())*IF(AND(AJ$5 &gt; VLOOKUP($P431,Member_Tab,6,FALSE()),AJ$5 &lt; VLOOKUP($P431,Member_Tab,7,FALSE())),1,0))</f>
        <v>0</v>
      </c>
      <c r="AK533" s="184" t="n">
        <f aca="false">IF(ISERROR(VLOOKUP($P431,Member_Tab,5,FALSE())),0,VLOOKUP($P431,Member_Tab,5,FALSE())*IF(AND(AK$5 &gt; VLOOKUP($P431,Member_Tab,6,FALSE()),AK$5 &lt; VLOOKUP($P431,Member_Tab,7,FALSE())),1,0))</f>
        <v>0</v>
      </c>
      <c r="AL533" s="184" t="n">
        <f aca="false">IF(ISERROR(VLOOKUP($P431,Member_Tab,5,FALSE())),0,VLOOKUP($P431,Member_Tab,5,FALSE())*IF(AND(AL$5 &gt; VLOOKUP($P431,Member_Tab,6,FALSE()),AL$5 &lt; VLOOKUP($P431,Member_Tab,7,FALSE())),1,0))</f>
        <v>0</v>
      </c>
      <c r="AM533" s="184" t="n">
        <f aca="false">IF(ISERROR(VLOOKUP($P431,Member_Tab,5,FALSE())),0,VLOOKUP($P431,Member_Tab,5,FALSE())*IF(AND(AM$5 &gt; VLOOKUP($P431,Member_Tab,6,FALSE()),AM$5 &lt; VLOOKUP($P431,Member_Tab,7,FALSE())),1,0))</f>
        <v>0</v>
      </c>
      <c r="AN533" s="184" t="n">
        <f aca="false">IF(ISERROR(VLOOKUP($P431,Member_Tab,5,FALSE())),0,VLOOKUP($P431,Member_Tab,5,FALSE())*IF(AND(AN$5 &gt; VLOOKUP($P431,Member_Tab,6,FALSE()),AN$5 &lt; VLOOKUP($P431,Member_Tab,7,FALSE())),1,0))</f>
        <v>0</v>
      </c>
      <c r="AO533" s="184" t="n">
        <f aca="false">IF(ISERROR(VLOOKUP($P431,Member_Tab,5,FALSE())),0,VLOOKUP($P431,Member_Tab,5,FALSE())*IF(AND(AO$5 &gt; VLOOKUP($P431,Member_Tab,6,FALSE()),AO$5 &lt; VLOOKUP($P431,Member_Tab,7,FALSE())),1,0))</f>
        <v>0</v>
      </c>
      <c r="AP533" s="184" t="n">
        <f aca="false">IF(ISERROR(VLOOKUP($P431,Member_Tab,5,FALSE())),0,VLOOKUP($P431,Member_Tab,5,FALSE())*IF(AND(AP$5 &gt; VLOOKUP($P431,Member_Tab,6,FALSE()),AP$5 &lt; VLOOKUP($P431,Member_Tab,7,FALSE())),1,0))</f>
        <v>0</v>
      </c>
      <c r="AQ533" s="184" t="n">
        <f aca="false">IF(ISERROR(VLOOKUP($P431,Member_Tab,5,FALSE())),0,VLOOKUP($P431,Member_Tab,5,FALSE())*IF(AND(AQ$5 &gt; VLOOKUP($P431,Member_Tab,6,FALSE()),AQ$5 &lt; VLOOKUP($P431,Member_Tab,7,FALSE())),1,0))</f>
        <v>0</v>
      </c>
      <c r="AR533" s="184" t="n">
        <f aca="false">IF(ISERROR(VLOOKUP($P431,Member_Tab,5,FALSE())),0,VLOOKUP($P431,Member_Tab,5,FALSE())*IF(AND(AR$5 &gt; VLOOKUP($P431,Member_Tab,6,FALSE()),AR$5 &lt; VLOOKUP($P431,Member_Tab,7,FALSE())),1,0))</f>
        <v>0</v>
      </c>
      <c r="AS533" s="184" t="n">
        <f aca="false">IF(ISERROR(VLOOKUP($P431,Member_Tab,5,FALSE())),0,VLOOKUP($P431,Member_Tab,5,FALSE())*IF(AND(AS$5 &gt; VLOOKUP($P431,Member_Tab,6,FALSE()),AS$5 &lt; VLOOKUP($P431,Member_Tab,7,FALSE())),1,0))</f>
        <v>0</v>
      </c>
      <c r="AT533" s="184" t="n">
        <f aca="false">IF(ISERROR(VLOOKUP($P431,Member_Tab,5,FALSE())),0,VLOOKUP($P431,Member_Tab,5,FALSE())*IF(AND(AT$5 &gt; VLOOKUP($P431,Member_Tab,6,FALSE()),AT$5 &lt; VLOOKUP($P431,Member_Tab,7,FALSE())),1,0))</f>
        <v>0</v>
      </c>
      <c r="AU533" s="184" t="n">
        <f aca="false">IF(ISERROR(VLOOKUP($P431,Member_Tab,5,FALSE())),0,VLOOKUP($P431,Member_Tab,5,FALSE())*IF(AND(AU$5 &gt; VLOOKUP($P431,Member_Tab,6,FALSE()),AU$5 &lt; VLOOKUP($P431,Member_Tab,7,FALSE())),1,0))</f>
        <v>0</v>
      </c>
      <c r="AV533" s="184" t="n">
        <f aca="false">IF(ISERROR(VLOOKUP($P431,Member_Tab,5,FALSE())),0,VLOOKUP($P431,Member_Tab,5,FALSE())*IF(AND(AV$5 &gt; VLOOKUP($P431,Member_Tab,6,FALSE()),AV$5 &lt; VLOOKUP($P431,Member_Tab,7,FALSE())),1,0))</f>
        <v>0</v>
      </c>
      <c r="AW533" s="184" t="n">
        <f aca="false">IF(ISERROR(VLOOKUP($P431,Member_Tab,5,FALSE())),0,VLOOKUP($P431,Member_Tab,5,FALSE())*IF(AND(AW$5 &gt; VLOOKUP($P431,Member_Tab,6,FALSE()),AW$5 &lt; VLOOKUP($P431,Member_Tab,7,FALSE())),1,0))</f>
        <v>0</v>
      </c>
      <c r="AX533" s="184" t="n">
        <f aca="false">IF(ISERROR(VLOOKUP($P431,Member_Tab,5,FALSE())),0,VLOOKUP($P431,Member_Tab,5,FALSE())*IF(AND(AX$5 &gt; VLOOKUP($P431,Member_Tab,6,FALSE()),AX$5 &lt; VLOOKUP($P431,Member_Tab,7,FALSE())),1,0))</f>
        <v>0</v>
      </c>
      <c r="AY533" s="184" t="n">
        <f aca="false">IF(ISERROR(VLOOKUP($P431,Member_Tab,5,FALSE())),0,VLOOKUP($P431,Member_Tab,5,FALSE())*IF(AND(AY$5 &gt; VLOOKUP($P431,Member_Tab,6,FALSE()),AY$5 &lt; VLOOKUP($P431,Member_Tab,7,FALSE())),1,0))</f>
        <v>0</v>
      </c>
      <c r="AZ533" s="184" t="n">
        <f aca="false">IF(ISERROR(VLOOKUP($P431,Member_Tab,5,FALSE())),0,VLOOKUP($P431,Member_Tab,5,FALSE())*IF(AND(AZ$5 &gt; VLOOKUP($P431,Member_Tab,6,FALSE()),AZ$5 &lt; VLOOKUP($P431,Member_Tab,7,FALSE())),1,0))</f>
        <v>0</v>
      </c>
      <c r="BA533" s="184" t="n">
        <f aca="false">IF(ISERROR(VLOOKUP($P431,Member_Tab,5,FALSE())),0,VLOOKUP($P431,Member_Tab,5,FALSE())*IF(AND(BA$5 &gt; VLOOKUP($P431,Member_Tab,6,FALSE()),BA$5 &lt; VLOOKUP($P431,Member_Tab,7,FALSE())),1,0))</f>
        <v>0</v>
      </c>
      <c r="BB533" s="184" t="n">
        <f aca="false">IF(ISERROR(VLOOKUP($P431,Member_Tab,5,FALSE())),0,VLOOKUP($P431,Member_Tab,5,FALSE())*IF(AND(BB$5 &gt; VLOOKUP($P431,Member_Tab,6,FALSE()),BB$5 &lt; VLOOKUP($P431,Member_Tab,7,FALSE())),1,0))</f>
        <v>0</v>
      </c>
    </row>
    <row r="534" s="173" customFormat="true" ht="15.75" hidden="true" customHeight="false" outlineLevel="1" collapsed="false">
      <c r="E534" s="40"/>
      <c r="K534" s="40"/>
      <c r="L534" s="40"/>
      <c r="M534" s="40"/>
      <c r="N534" s="40"/>
      <c r="P534" s="183" t="n">
        <f aca="false">P432</f>
        <v>0</v>
      </c>
      <c r="Q534" s="40"/>
      <c r="R534" s="182"/>
      <c r="S534" s="184" t="n">
        <f aca="false">IF(ISERROR(VLOOKUP($P432,Member_Tab,5,FALSE())),0,VLOOKUP($P432,Member_Tab,5,FALSE())*IF(AND(S$5 &gt; VLOOKUP($P432,Member_Tab,6,FALSE()),S$5 &lt; VLOOKUP($P432,Member_Tab,7,FALSE())),1,0))</f>
        <v>0</v>
      </c>
      <c r="T534" s="184" t="n">
        <f aca="false">IF(ISERROR(VLOOKUP($P432,Member_Tab,5,FALSE())),0,VLOOKUP($P432,Member_Tab,5,FALSE())*IF(AND(T$5 &gt; VLOOKUP($P432,Member_Tab,6,FALSE()),T$5 &lt; VLOOKUP($P432,Member_Tab,7,FALSE())),1,0))</f>
        <v>0</v>
      </c>
      <c r="U534" s="184" t="n">
        <f aca="false">IF(ISERROR(VLOOKUP($P432,Member_Tab,5,FALSE())),0,VLOOKUP($P432,Member_Tab,5,FALSE())*IF(AND(U$5 &gt; VLOOKUP($P432,Member_Tab,6,FALSE()),U$5 &lt; VLOOKUP($P432,Member_Tab,7,FALSE())),1,0))</f>
        <v>0</v>
      </c>
      <c r="V534" s="184" t="n">
        <f aca="false">IF(ISERROR(VLOOKUP($P432,Member_Tab,5,FALSE())),0,VLOOKUP($P432,Member_Tab,5,FALSE())*IF(AND(V$5 &gt; VLOOKUP($P432,Member_Tab,6,FALSE()),V$5 &lt; VLOOKUP($P432,Member_Tab,7,FALSE())),1,0))</f>
        <v>0</v>
      </c>
      <c r="W534" s="184" t="n">
        <f aca="false">IF(ISERROR(VLOOKUP($P432,Member_Tab,5,FALSE())),0,VLOOKUP($P432,Member_Tab,5,FALSE())*IF(AND(W$5 &gt; VLOOKUP($P432,Member_Tab,6,FALSE()),W$5 &lt; VLOOKUP($P432,Member_Tab,7,FALSE())),1,0))</f>
        <v>0</v>
      </c>
      <c r="X534" s="184" t="n">
        <f aca="false">IF(ISERROR(VLOOKUP($P432,Member_Tab,5,FALSE())),0,VLOOKUP($P432,Member_Tab,5,FALSE())*IF(AND(X$5 &gt; VLOOKUP($P432,Member_Tab,6,FALSE()),X$5 &lt; VLOOKUP($P432,Member_Tab,7,FALSE())),1,0))</f>
        <v>0</v>
      </c>
      <c r="Y534" s="184" t="n">
        <f aca="false">IF(ISERROR(VLOOKUP($P432,Member_Tab,5,FALSE())),0,VLOOKUP($P432,Member_Tab,5,FALSE())*IF(AND(Y$5 &gt; VLOOKUP($P432,Member_Tab,6,FALSE()),Y$5 &lt; VLOOKUP($P432,Member_Tab,7,FALSE())),1,0))</f>
        <v>0</v>
      </c>
      <c r="Z534" s="184" t="n">
        <f aca="false">IF(ISERROR(VLOOKUP($P432,Member_Tab,5,FALSE())),0,VLOOKUP($P432,Member_Tab,5,FALSE())*IF(AND(Z$5 &gt; VLOOKUP($P432,Member_Tab,6,FALSE()),Z$5 &lt; VLOOKUP($P432,Member_Tab,7,FALSE())),1,0))</f>
        <v>0</v>
      </c>
      <c r="AA534" s="184" t="n">
        <f aca="false">IF(ISERROR(VLOOKUP($P432,Member_Tab,5,FALSE())),0,VLOOKUP($P432,Member_Tab,5,FALSE())*IF(AND(AA$5 &gt; VLOOKUP($P432,Member_Tab,6,FALSE()),AA$5 &lt; VLOOKUP($P432,Member_Tab,7,FALSE())),1,0))</f>
        <v>0</v>
      </c>
      <c r="AB534" s="184" t="n">
        <f aca="false">IF(ISERROR(VLOOKUP($P432,Member_Tab,5,FALSE())),0,VLOOKUP($P432,Member_Tab,5,FALSE())*IF(AND(AB$5 &gt; VLOOKUP($P432,Member_Tab,6,FALSE()),AB$5 &lt; VLOOKUP($P432,Member_Tab,7,FALSE())),1,0))</f>
        <v>0</v>
      </c>
      <c r="AC534" s="184" t="n">
        <f aca="false">IF(ISERROR(VLOOKUP($P432,Member_Tab,5,FALSE())),0,VLOOKUP($P432,Member_Tab,5,FALSE())*IF(AND(AC$5 &gt; VLOOKUP($P432,Member_Tab,6,FALSE()),AC$5 &lt; VLOOKUP($P432,Member_Tab,7,FALSE())),1,0))</f>
        <v>0</v>
      </c>
      <c r="AD534" s="184" t="n">
        <f aca="false">IF(ISERROR(VLOOKUP($P432,Member_Tab,5,FALSE())),0,VLOOKUP($P432,Member_Tab,5,FALSE())*IF(AND(AD$5 &gt; VLOOKUP($P432,Member_Tab,6,FALSE()),AD$5 &lt; VLOOKUP($P432,Member_Tab,7,FALSE())),1,0))</f>
        <v>0</v>
      </c>
      <c r="AE534" s="184" t="n">
        <f aca="false">IF(ISERROR(VLOOKUP($P432,Member_Tab,5,FALSE())),0,VLOOKUP($P432,Member_Tab,5,FALSE())*IF(AND(AE$5 &gt; VLOOKUP($P432,Member_Tab,6,FALSE()),AE$5 &lt; VLOOKUP($P432,Member_Tab,7,FALSE())),1,0))</f>
        <v>0</v>
      </c>
      <c r="AF534" s="184" t="n">
        <f aca="false">IF(ISERROR(VLOOKUP($P432,Member_Tab,5,FALSE())),0,VLOOKUP($P432,Member_Tab,5,FALSE())*IF(AND(AF$5 &gt; VLOOKUP($P432,Member_Tab,6,FALSE()),AF$5 &lt; VLOOKUP($P432,Member_Tab,7,FALSE())),1,0))</f>
        <v>0</v>
      </c>
      <c r="AG534" s="184" t="n">
        <f aca="false">IF(ISERROR(VLOOKUP($P432,Member_Tab,5,FALSE())),0,VLOOKUP($P432,Member_Tab,5,FALSE())*IF(AND(AG$5 &gt; VLOOKUP($P432,Member_Tab,6,FALSE()),AG$5 &lt; VLOOKUP($P432,Member_Tab,7,FALSE())),1,0))</f>
        <v>0</v>
      </c>
      <c r="AH534" s="184" t="n">
        <f aca="false">IF(ISERROR(VLOOKUP($P432,Member_Tab,5,FALSE())),0,VLOOKUP($P432,Member_Tab,5,FALSE())*IF(AND(AH$5 &gt; VLOOKUP($P432,Member_Tab,6,FALSE()),AH$5 &lt; VLOOKUP($P432,Member_Tab,7,FALSE())),1,0))</f>
        <v>0</v>
      </c>
      <c r="AI534" s="184" t="n">
        <f aca="false">IF(ISERROR(VLOOKUP($P432,Member_Tab,5,FALSE())),0,VLOOKUP($P432,Member_Tab,5,FALSE())*IF(AND(AI$5 &gt; VLOOKUP($P432,Member_Tab,6,FALSE()),AI$5 &lt; VLOOKUP($P432,Member_Tab,7,FALSE())),1,0))</f>
        <v>0</v>
      </c>
      <c r="AJ534" s="184" t="n">
        <f aca="false">IF(ISERROR(VLOOKUP($P432,Member_Tab,5,FALSE())),0,VLOOKUP($P432,Member_Tab,5,FALSE())*IF(AND(AJ$5 &gt; VLOOKUP($P432,Member_Tab,6,FALSE()),AJ$5 &lt; VLOOKUP($P432,Member_Tab,7,FALSE())),1,0))</f>
        <v>0</v>
      </c>
      <c r="AK534" s="184" t="n">
        <f aca="false">IF(ISERROR(VLOOKUP($P432,Member_Tab,5,FALSE())),0,VLOOKUP($P432,Member_Tab,5,FALSE())*IF(AND(AK$5 &gt; VLOOKUP($P432,Member_Tab,6,FALSE()),AK$5 &lt; VLOOKUP($P432,Member_Tab,7,FALSE())),1,0))</f>
        <v>0</v>
      </c>
      <c r="AL534" s="184" t="n">
        <f aca="false">IF(ISERROR(VLOOKUP($P432,Member_Tab,5,FALSE())),0,VLOOKUP($P432,Member_Tab,5,FALSE())*IF(AND(AL$5 &gt; VLOOKUP($P432,Member_Tab,6,FALSE()),AL$5 &lt; VLOOKUP($P432,Member_Tab,7,FALSE())),1,0))</f>
        <v>0</v>
      </c>
      <c r="AM534" s="184" t="n">
        <f aca="false">IF(ISERROR(VLOOKUP($P432,Member_Tab,5,FALSE())),0,VLOOKUP($P432,Member_Tab,5,FALSE())*IF(AND(AM$5 &gt; VLOOKUP($P432,Member_Tab,6,FALSE()),AM$5 &lt; VLOOKUP($P432,Member_Tab,7,FALSE())),1,0))</f>
        <v>0</v>
      </c>
      <c r="AN534" s="184" t="n">
        <f aca="false">IF(ISERROR(VLOOKUP($P432,Member_Tab,5,FALSE())),0,VLOOKUP($P432,Member_Tab,5,FALSE())*IF(AND(AN$5 &gt; VLOOKUP($P432,Member_Tab,6,FALSE()),AN$5 &lt; VLOOKUP($P432,Member_Tab,7,FALSE())),1,0))</f>
        <v>0</v>
      </c>
      <c r="AO534" s="184" t="n">
        <f aca="false">IF(ISERROR(VLOOKUP($P432,Member_Tab,5,FALSE())),0,VLOOKUP($P432,Member_Tab,5,FALSE())*IF(AND(AO$5 &gt; VLOOKUP($P432,Member_Tab,6,FALSE()),AO$5 &lt; VLOOKUP($P432,Member_Tab,7,FALSE())),1,0))</f>
        <v>0</v>
      </c>
      <c r="AP534" s="184" t="n">
        <f aca="false">IF(ISERROR(VLOOKUP($P432,Member_Tab,5,FALSE())),0,VLOOKUP($P432,Member_Tab,5,FALSE())*IF(AND(AP$5 &gt; VLOOKUP($P432,Member_Tab,6,FALSE()),AP$5 &lt; VLOOKUP($P432,Member_Tab,7,FALSE())),1,0))</f>
        <v>0</v>
      </c>
      <c r="AQ534" s="184" t="n">
        <f aca="false">IF(ISERROR(VLOOKUP($P432,Member_Tab,5,FALSE())),0,VLOOKUP($P432,Member_Tab,5,FALSE())*IF(AND(AQ$5 &gt; VLOOKUP($P432,Member_Tab,6,FALSE()),AQ$5 &lt; VLOOKUP($P432,Member_Tab,7,FALSE())),1,0))</f>
        <v>0</v>
      </c>
      <c r="AR534" s="184" t="n">
        <f aca="false">IF(ISERROR(VLOOKUP($P432,Member_Tab,5,FALSE())),0,VLOOKUP($P432,Member_Tab,5,FALSE())*IF(AND(AR$5 &gt; VLOOKUP($P432,Member_Tab,6,FALSE()),AR$5 &lt; VLOOKUP($P432,Member_Tab,7,FALSE())),1,0))</f>
        <v>0</v>
      </c>
      <c r="AS534" s="184" t="n">
        <f aca="false">IF(ISERROR(VLOOKUP($P432,Member_Tab,5,FALSE())),0,VLOOKUP($P432,Member_Tab,5,FALSE())*IF(AND(AS$5 &gt; VLOOKUP($P432,Member_Tab,6,FALSE()),AS$5 &lt; VLOOKUP($P432,Member_Tab,7,FALSE())),1,0))</f>
        <v>0</v>
      </c>
      <c r="AT534" s="184" t="n">
        <f aca="false">IF(ISERROR(VLOOKUP($P432,Member_Tab,5,FALSE())),0,VLOOKUP($P432,Member_Tab,5,FALSE())*IF(AND(AT$5 &gt; VLOOKUP($P432,Member_Tab,6,FALSE()),AT$5 &lt; VLOOKUP($P432,Member_Tab,7,FALSE())),1,0))</f>
        <v>0</v>
      </c>
      <c r="AU534" s="184" t="n">
        <f aca="false">IF(ISERROR(VLOOKUP($P432,Member_Tab,5,FALSE())),0,VLOOKUP($P432,Member_Tab,5,FALSE())*IF(AND(AU$5 &gt; VLOOKUP($P432,Member_Tab,6,FALSE()),AU$5 &lt; VLOOKUP($P432,Member_Tab,7,FALSE())),1,0))</f>
        <v>0</v>
      </c>
      <c r="AV534" s="184" t="n">
        <f aca="false">IF(ISERROR(VLOOKUP($P432,Member_Tab,5,FALSE())),0,VLOOKUP($P432,Member_Tab,5,FALSE())*IF(AND(AV$5 &gt; VLOOKUP($P432,Member_Tab,6,FALSE()),AV$5 &lt; VLOOKUP($P432,Member_Tab,7,FALSE())),1,0))</f>
        <v>0</v>
      </c>
      <c r="AW534" s="184" t="n">
        <f aca="false">IF(ISERROR(VLOOKUP($P432,Member_Tab,5,FALSE())),0,VLOOKUP($P432,Member_Tab,5,FALSE())*IF(AND(AW$5 &gt; VLOOKUP($P432,Member_Tab,6,FALSE()),AW$5 &lt; VLOOKUP($P432,Member_Tab,7,FALSE())),1,0))</f>
        <v>0</v>
      </c>
      <c r="AX534" s="184" t="n">
        <f aca="false">IF(ISERROR(VLOOKUP($P432,Member_Tab,5,FALSE())),0,VLOOKUP($P432,Member_Tab,5,FALSE())*IF(AND(AX$5 &gt; VLOOKUP($P432,Member_Tab,6,FALSE()),AX$5 &lt; VLOOKUP($P432,Member_Tab,7,FALSE())),1,0))</f>
        <v>0</v>
      </c>
      <c r="AY534" s="184" t="n">
        <f aca="false">IF(ISERROR(VLOOKUP($P432,Member_Tab,5,FALSE())),0,VLOOKUP($P432,Member_Tab,5,FALSE())*IF(AND(AY$5 &gt; VLOOKUP($P432,Member_Tab,6,FALSE()),AY$5 &lt; VLOOKUP($P432,Member_Tab,7,FALSE())),1,0))</f>
        <v>0</v>
      </c>
      <c r="AZ534" s="184" t="n">
        <f aca="false">IF(ISERROR(VLOOKUP($P432,Member_Tab,5,FALSE())),0,VLOOKUP($P432,Member_Tab,5,FALSE())*IF(AND(AZ$5 &gt; VLOOKUP($P432,Member_Tab,6,FALSE()),AZ$5 &lt; VLOOKUP($P432,Member_Tab,7,FALSE())),1,0))</f>
        <v>0</v>
      </c>
      <c r="BA534" s="184" t="n">
        <f aca="false">IF(ISERROR(VLOOKUP($P432,Member_Tab,5,FALSE())),0,VLOOKUP($P432,Member_Tab,5,FALSE())*IF(AND(BA$5 &gt; VLOOKUP($P432,Member_Tab,6,FALSE()),BA$5 &lt; VLOOKUP($P432,Member_Tab,7,FALSE())),1,0))</f>
        <v>0</v>
      </c>
      <c r="BB534" s="184" t="n">
        <f aca="false">IF(ISERROR(VLOOKUP($P432,Member_Tab,5,FALSE())),0,VLOOKUP($P432,Member_Tab,5,FALSE())*IF(AND(BB$5 &gt; VLOOKUP($P432,Member_Tab,6,FALSE()),BB$5 &lt; VLOOKUP($P432,Member_Tab,7,FALSE())),1,0))</f>
        <v>0</v>
      </c>
    </row>
    <row r="535" s="173" customFormat="true" ht="15.75" hidden="true" customHeight="false" outlineLevel="1" collapsed="false">
      <c r="E535" s="40"/>
      <c r="K535" s="40"/>
      <c r="L535" s="40"/>
      <c r="M535" s="40"/>
      <c r="N535" s="40"/>
      <c r="P535" s="183" t="n">
        <f aca="false">P433</f>
        <v>0</v>
      </c>
      <c r="Q535" s="40"/>
      <c r="R535" s="182"/>
      <c r="S535" s="184" t="n">
        <f aca="false">IF(ISERROR(VLOOKUP($P433,Member_Tab,5,FALSE())),0,VLOOKUP($P433,Member_Tab,5,FALSE())*IF(AND(S$5 &gt; VLOOKUP($P433,Member_Tab,6,FALSE()),S$5 &lt; VLOOKUP($P433,Member_Tab,7,FALSE())),1,0))</f>
        <v>0</v>
      </c>
      <c r="T535" s="184" t="n">
        <f aca="false">IF(ISERROR(VLOOKUP($P433,Member_Tab,5,FALSE())),0,VLOOKUP($P433,Member_Tab,5,FALSE())*IF(AND(T$5 &gt; VLOOKUP($P433,Member_Tab,6,FALSE()),T$5 &lt; VLOOKUP($P433,Member_Tab,7,FALSE())),1,0))</f>
        <v>0</v>
      </c>
      <c r="U535" s="184" t="n">
        <f aca="false">IF(ISERROR(VLOOKUP($P433,Member_Tab,5,FALSE())),0,VLOOKUP($P433,Member_Tab,5,FALSE())*IF(AND(U$5 &gt; VLOOKUP($P433,Member_Tab,6,FALSE()),U$5 &lt; VLOOKUP($P433,Member_Tab,7,FALSE())),1,0))</f>
        <v>0</v>
      </c>
      <c r="V535" s="184" t="n">
        <f aca="false">IF(ISERROR(VLOOKUP($P433,Member_Tab,5,FALSE())),0,VLOOKUP($P433,Member_Tab,5,FALSE())*IF(AND(V$5 &gt; VLOOKUP($P433,Member_Tab,6,FALSE()),V$5 &lt; VLOOKUP($P433,Member_Tab,7,FALSE())),1,0))</f>
        <v>0</v>
      </c>
      <c r="W535" s="184" t="n">
        <f aca="false">IF(ISERROR(VLOOKUP($P433,Member_Tab,5,FALSE())),0,VLOOKUP($P433,Member_Tab,5,FALSE())*IF(AND(W$5 &gt; VLOOKUP($P433,Member_Tab,6,FALSE()),W$5 &lt; VLOOKUP($P433,Member_Tab,7,FALSE())),1,0))</f>
        <v>0</v>
      </c>
      <c r="X535" s="184" t="n">
        <f aca="false">IF(ISERROR(VLOOKUP($P433,Member_Tab,5,FALSE())),0,VLOOKUP($P433,Member_Tab,5,FALSE())*IF(AND(X$5 &gt; VLOOKUP($P433,Member_Tab,6,FALSE()),X$5 &lt; VLOOKUP($P433,Member_Tab,7,FALSE())),1,0))</f>
        <v>0</v>
      </c>
      <c r="Y535" s="184" t="n">
        <f aca="false">IF(ISERROR(VLOOKUP($P433,Member_Tab,5,FALSE())),0,VLOOKUP($P433,Member_Tab,5,FALSE())*IF(AND(Y$5 &gt; VLOOKUP($P433,Member_Tab,6,FALSE()),Y$5 &lt; VLOOKUP($P433,Member_Tab,7,FALSE())),1,0))</f>
        <v>0</v>
      </c>
      <c r="Z535" s="184" t="n">
        <f aca="false">IF(ISERROR(VLOOKUP($P433,Member_Tab,5,FALSE())),0,VLOOKUP($P433,Member_Tab,5,FALSE())*IF(AND(Z$5 &gt; VLOOKUP($P433,Member_Tab,6,FALSE()),Z$5 &lt; VLOOKUP($P433,Member_Tab,7,FALSE())),1,0))</f>
        <v>0</v>
      </c>
      <c r="AA535" s="184" t="n">
        <f aca="false">IF(ISERROR(VLOOKUP($P433,Member_Tab,5,FALSE())),0,VLOOKUP($P433,Member_Tab,5,FALSE())*IF(AND(AA$5 &gt; VLOOKUP($P433,Member_Tab,6,FALSE()),AA$5 &lt; VLOOKUP($P433,Member_Tab,7,FALSE())),1,0))</f>
        <v>0</v>
      </c>
      <c r="AB535" s="184" t="n">
        <f aca="false">IF(ISERROR(VLOOKUP($P433,Member_Tab,5,FALSE())),0,VLOOKUP($P433,Member_Tab,5,FALSE())*IF(AND(AB$5 &gt; VLOOKUP($P433,Member_Tab,6,FALSE()),AB$5 &lt; VLOOKUP($P433,Member_Tab,7,FALSE())),1,0))</f>
        <v>0</v>
      </c>
      <c r="AC535" s="184" t="n">
        <f aca="false">IF(ISERROR(VLOOKUP($P433,Member_Tab,5,FALSE())),0,VLOOKUP($P433,Member_Tab,5,FALSE())*IF(AND(AC$5 &gt; VLOOKUP($P433,Member_Tab,6,FALSE()),AC$5 &lt; VLOOKUP($P433,Member_Tab,7,FALSE())),1,0))</f>
        <v>0</v>
      </c>
      <c r="AD535" s="184" t="n">
        <f aca="false">IF(ISERROR(VLOOKUP($P433,Member_Tab,5,FALSE())),0,VLOOKUP($P433,Member_Tab,5,FALSE())*IF(AND(AD$5 &gt; VLOOKUP($P433,Member_Tab,6,FALSE()),AD$5 &lt; VLOOKUP($P433,Member_Tab,7,FALSE())),1,0))</f>
        <v>0</v>
      </c>
      <c r="AE535" s="184" t="n">
        <f aca="false">IF(ISERROR(VLOOKUP($P433,Member_Tab,5,FALSE())),0,VLOOKUP($P433,Member_Tab,5,FALSE())*IF(AND(AE$5 &gt; VLOOKUP($P433,Member_Tab,6,FALSE()),AE$5 &lt; VLOOKUP($P433,Member_Tab,7,FALSE())),1,0))</f>
        <v>0</v>
      </c>
      <c r="AF535" s="184" t="n">
        <f aca="false">IF(ISERROR(VLOOKUP($P433,Member_Tab,5,FALSE())),0,VLOOKUP($P433,Member_Tab,5,FALSE())*IF(AND(AF$5 &gt; VLOOKUP($P433,Member_Tab,6,FALSE()),AF$5 &lt; VLOOKUP($P433,Member_Tab,7,FALSE())),1,0))</f>
        <v>0</v>
      </c>
      <c r="AG535" s="184" t="n">
        <f aca="false">IF(ISERROR(VLOOKUP($P433,Member_Tab,5,FALSE())),0,VLOOKUP($P433,Member_Tab,5,FALSE())*IF(AND(AG$5 &gt; VLOOKUP($P433,Member_Tab,6,FALSE()),AG$5 &lt; VLOOKUP($P433,Member_Tab,7,FALSE())),1,0))</f>
        <v>0</v>
      </c>
      <c r="AH535" s="184" t="n">
        <f aca="false">IF(ISERROR(VLOOKUP($P433,Member_Tab,5,FALSE())),0,VLOOKUP($P433,Member_Tab,5,FALSE())*IF(AND(AH$5 &gt; VLOOKUP($P433,Member_Tab,6,FALSE()),AH$5 &lt; VLOOKUP($P433,Member_Tab,7,FALSE())),1,0))</f>
        <v>0</v>
      </c>
      <c r="AI535" s="184" t="n">
        <f aca="false">IF(ISERROR(VLOOKUP($P433,Member_Tab,5,FALSE())),0,VLOOKUP($P433,Member_Tab,5,FALSE())*IF(AND(AI$5 &gt; VLOOKUP($P433,Member_Tab,6,FALSE()),AI$5 &lt; VLOOKUP($P433,Member_Tab,7,FALSE())),1,0))</f>
        <v>0</v>
      </c>
      <c r="AJ535" s="184" t="n">
        <f aca="false">IF(ISERROR(VLOOKUP($P433,Member_Tab,5,FALSE())),0,VLOOKUP($P433,Member_Tab,5,FALSE())*IF(AND(AJ$5 &gt; VLOOKUP($P433,Member_Tab,6,FALSE()),AJ$5 &lt; VLOOKUP($P433,Member_Tab,7,FALSE())),1,0))</f>
        <v>0</v>
      </c>
      <c r="AK535" s="184" t="n">
        <f aca="false">IF(ISERROR(VLOOKUP($P433,Member_Tab,5,FALSE())),0,VLOOKUP($P433,Member_Tab,5,FALSE())*IF(AND(AK$5 &gt; VLOOKUP($P433,Member_Tab,6,FALSE()),AK$5 &lt; VLOOKUP($P433,Member_Tab,7,FALSE())),1,0))</f>
        <v>0</v>
      </c>
      <c r="AL535" s="184" t="n">
        <f aca="false">IF(ISERROR(VLOOKUP($P433,Member_Tab,5,FALSE())),0,VLOOKUP($P433,Member_Tab,5,FALSE())*IF(AND(AL$5 &gt; VLOOKUP($P433,Member_Tab,6,FALSE()),AL$5 &lt; VLOOKUP($P433,Member_Tab,7,FALSE())),1,0))</f>
        <v>0</v>
      </c>
      <c r="AM535" s="184" t="n">
        <f aca="false">IF(ISERROR(VLOOKUP($P433,Member_Tab,5,FALSE())),0,VLOOKUP($P433,Member_Tab,5,FALSE())*IF(AND(AM$5 &gt; VLOOKUP($P433,Member_Tab,6,FALSE()),AM$5 &lt; VLOOKUP($P433,Member_Tab,7,FALSE())),1,0))</f>
        <v>0</v>
      </c>
      <c r="AN535" s="184" t="n">
        <f aca="false">IF(ISERROR(VLOOKUP($P433,Member_Tab,5,FALSE())),0,VLOOKUP($P433,Member_Tab,5,FALSE())*IF(AND(AN$5 &gt; VLOOKUP($P433,Member_Tab,6,FALSE()),AN$5 &lt; VLOOKUP($P433,Member_Tab,7,FALSE())),1,0))</f>
        <v>0</v>
      </c>
      <c r="AO535" s="184" t="n">
        <f aca="false">IF(ISERROR(VLOOKUP($P433,Member_Tab,5,FALSE())),0,VLOOKUP($P433,Member_Tab,5,FALSE())*IF(AND(AO$5 &gt; VLOOKUP($P433,Member_Tab,6,FALSE()),AO$5 &lt; VLOOKUP($P433,Member_Tab,7,FALSE())),1,0))</f>
        <v>0</v>
      </c>
      <c r="AP535" s="184" t="n">
        <f aca="false">IF(ISERROR(VLOOKUP($P433,Member_Tab,5,FALSE())),0,VLOOKUP($P433,Member_Tab,5,FALSE())*IF(AND(AP$5 &gt; VLOOKUP($P433,Member_Tab,6,FALSE()),AP$5 &lt; VLOOKUP($P433,Member_Tab,7,FALSE())),1,0))</f>
        <v>0</v>
      </c>
      <c r="AQ535" s="184" t="n">
        <f aca="false">IF(ISERROR(VLOOKUP($P433,Member_Tab,5,FALSE())),0,VLOOKUP($P433,Member_Tab,5,FALSE())*IF(AND(AQ$5 &gt; VLOOKUP($P433,Member_Tab,6,FALSE()),AQ$5 &lt; VLOOKUP($P433,Member_Tab,7,FALSE())),1,0))</f>
        <v>0</v>
      </c>
      <c r="AR535" s="184" t="n">
        <f aca="false">IF(ISERROR(VLOOKUP($P433,Member_Tab,5,FALSE())),0,VLOOKUP($P433,Member_Tab,5,FALSE())*IF(AND(AR$5 &gt; VLOOKUP($P433,Member_Tab,6,FALSE()),AR$5 &lt; VLOOKUP($P433,Member_Tab,7,FALSE())),1,0))</f>
        <v>0</v>
      </c>
      <c r="AS535" s="184" t="n">
        <f aca="false">IF(ISERROR(VLOOKUP($P433,Member_Tab,5,FALSE())),0,VLOOKUP($P433,Member_Tab,5,FALSE())*IF(AND(AS$5 &gt; VLOOKUP($P433,Member_Tab,6,FALSE()),AS$5 &lt; VLOOKUP($P433,Member_Tab,7,FALSE())),1,0))</f>
        <v>0</v>
      </c>
      <c r="AT535" s="184" t="n">
        <f aca="false">IF(ISERROR(VLOOKUP($P433,Member_Tab,5,FALSE())),0,VLOOKUP($P433,Member_Tab,5,FALSE())*IF(AND(AT$5 &gt; VLOOKUP($P433,Member_Tab,6,FALSE()),AT$5 &lt; VLOOKUP($P433,Member_Tab,7,FALSE())),1,0))</f>
        <v>0</v>
      </c>
      <c r="AU535" s="184" t="n">
        <f aca="false">IF(ISERROR(VLOOKUP($P433,Member_Tab,5,FALSE())),0,VLOOKUP($P433,Member_Tab,5,FALSE())*IF(AND(AU$5 &gt; VLOOKUP($P433,Member_Tab,6,FALSE()),AU$5 &lt; VLOOKUP($P433,Member_Tab,7,FALSE())),1,0))</f>
        <v>0</v>
      </c>
      <c r="AV535" s="184" t="n">
        <f aca="false">IF(ISERROR(VLOOKUP($P433,Member_Tab,5,FALSE())),0,VLOOKUP($P433,Member_Tab,5,FALSE())*IF(AND(AV$5 &gt; VLOOKUP($P433,Member_Tab,6,FALSE()),AV$5 &lt; VLOOKUP($P433,Member_Tab,7,FALSE())),1,0))</f>
        <v>0</v>
      </c>
      <c r="AW535" s="184" t="n">
        <f aca="false">IF(ISERROR(VLOOKUP($P433,Member_Tab,5,FALSE())),0,VLOOKUP($P433,Member_Tab,5,FALSE())*IF(AND(AW$5 &gt; VLOOKUP($P433,Member_Tab,6,FALSE()),AW$5 &lt; VLOOKUP($P433,Member_Tab,7,FALSE())),1,0))</f>
        <v>0</v>
      </c>
      <c r="AX535" s="184" t="n">
        <f aca="false">IF(ISERROR(VLOOKUP($P433,Member_Tab,5,FALSE())),0,VLOOKUP($P433,Member_Tab,5,FALSE())*IF(AND(AX$5 &gt; VLOOKUP($P433,Member_Tab,6,FALSE()),AX$5 &lt; VLOOKUP($P433,Member_Tab,7,FALSE())),1,0))</f>
        <v>0</v>
      </c>
      <c r="AY535" s="184" t="n">
        <f aca="false">IF(ISERROR(VLOOKUP($P433,Member_Tab,5,FALSE())),0,VLOOKUP($P433,Member_Tab,5,FALSE())*IF(AND(AY$5 &gt; VLOOKUP($P433,Member_Tab,6,FALSE()),AY$5 &lt; VLOOKUP($P433,Member_Tab,7,FALSE())),1,0))</f>
        <v>0</v>
      </c>
      <c r="AZ535" s="184" t="n">
        <f aca="false">IF(ISERROR(VLOOKUP($P433,Member_Tab,5,FALSE())),0,VLOOKUP($P433,Member_Tab,5,FALSE())*IF(AND(AZ$5 &gt; VLOOKUP($P433,Member_Tab,6,FALSE()),AZ$5 &lt; VLOOKUP($P433,Member_Tab,7,FALSE())),1,0))</f>
        <v>0</v>
      </c>
      <c r="BA535" s="184" t="n">
        <f aca="false">IF(ISERROR(VLOOKUP($P433,Member_Tab,5,FALSE())),0,VLOOKUP($P433,Member_Tab,5,FALSE())*IF(AND(BA$5 &gt; VLOOKUP($P433,Member_Tab,6,FALSE()),BA$5 &lt; VLOOKUP($P433,Member_Tab,7,FALSE())),1,0))</f>
        <v>0</v>
      </c>
      <c r="BB535" s="184" t="n">
        <f aca="false">IF(ISERROR(VLOOKUP($P433,Member_Tab,5,FALSE())),0,VLOOKUP($P433,Member_Tab,5,FALSE())*IF(AND(BB$5 &gt; VLOOKUP($P433,Member_Tab,6,FALSE()),BB$5 &lt; VLOOKUP($P433,Member_Tab,7,FALSE())),1,0))</f>
        <v>0</v>
      </c>
    </row>
    <row r="536" s="173" customFormat="true" ht="15.75" hidden="true" customHeight="false" outlineLevel="1" collapsed="false">
      <c r="E536" s="40"/>
      <c r="K536" s="40"/>
      <c r="L536" s="40"/>
      <c r="M536" s="40"/>
      <c r="N536" s="40"/>
      <c r="P536" s="183" t="n">
        <f aca="false">P434</f>
        <v>0</v>
      </c>
      <c r="Q536" s="40"/>
      <c r="R536" s="182"/>
      <c r="S536" s="184" t="n">
        <f aca="false">IF(ISERROR(VLOOKUP($P434,Member_Tab,5,FALSE())),0,VLOOKUP($P434,Member_Tab,5,FALSE())*IF(AND(S$5 &gt; VLOOKUP($P434,Member_Tab,6,FALSE()),S$5 &lt; VLOOKUP($P434,Member_Tab,7,FALSE())),1,0))</f>
        <v>0</v>
      </c>
      <c r="T536" s="184" t="n">
        <f aca="false">IF(ISERROR(VLOOKUP($P434,Member_Tab,5,FALSE())),0,VLOOKUP($P434,Member_Tab,5,FALSE())*IF(AND(T$5 &gt; VLOOKUP($P434,Member_Tab,6,FALSE()),T$5 &lt; VLOOKUP($P434,Member_Tab,7,FALSE())),1,0))</f>
        <v>0</v>
      </c>
      <c r="U536" s="184" t="n">
        <f aca="false">IF(ISERROR(VLOOKUP($P434,Member_Tab,5,FALSE())),0,VLOOKUP($P434,Member_Tab,5,FALSE())*IF(AND(U$5 &gt; VLOOKUP($P434,Member_Tab,6,FALSE()),U$5 &lt; VLOOKUP($P434,Member_Tab,7,FALSE())),1,0))</f>
        <v>0</v>
      </c>
      <c r="V536" s="184" t="n">
        <f aca="false">IF(ISERROR(VLOOKUP($P434,Member_Tab,5,FALSE())),0,VLOOKUP($P434,Member_Tab,5,FALSE())*IF(AND(V$5 &gt; VLOOKUP($P434,Member_Tab,6,FALSE()),V$5 &lt; VLOOKUP($P434,Member_Tab,7,FALSE())),1,0))</f>
        <v>0</v>
      </c>
      <c r="W536" s="184" t="n">
        <f aca="false">IF(ISERROR(VLOOKUP($P434,Member_Tab,5,FALSE())),0,VLOOKUP($P434,Member_Tab,5,FALSE())*IF(AND(W$5 &gt; VLOOKUP($P434,Member_Tab,6,FALSE()),W$5 &lt; VLOOKUP($P434,Member_Tab,7,FALSE())),1,0))</f>
        <v>0</v>
      </c>
      <c r="X536" s="184" t="n">
        <f aca="false">IF(ISERROR(VLOOKUP($P434,Member_Tab,5,FALSE())),0,VLOOKUP($P434,Member_Tab,5,FALSE())*IF(AND(X$5 &gt; VLOOKUP($P434,Member_Tab,6,FALSE()),X$5 &lt; VLOOKUP($P434,Member_Tab,7,FALSE())),1,0))</f>
        <v>0</v>
      </c>
      <c r="Y536" s="184" t="n">
        <f aca="false">IF(ISERROR(VLOOKUP($P434,Member_Tab,5,FALSE())),0,VLOOKUP($P434,Member_Tab,5,FALSE())*IF(AND(Y$5 &gt; VLOOKUP($P434,Member_Tab,6,FALSE()),Y$5 &lt; VLOOKUP($P434,Member_Tab,7,FALSE())),1,0))</f>
        <v>0</v>
      </c>
      <c r="Z536" s="184" t="n">
        <f aca="false">IF(ISERROR(VLOOKUP($P434,Member_Tab,5,FALSE())),0,VLOOKUP($P434,Member_Tab,5,FALSE())*IF(AND(Z$5 &gt; VLOOKUP($P434,Member_Tab,6,FALSE()),Z$5 &lt; VLOOKUP($P434,Member_Tab,7,FALSE())),1,0))</f>
        <v>0</v>
      </c>
      <c r="AA536" s="184" t="n">
        <f aca="false">IF(ISERROR(VLOOKUP($P434,Member_Tab,5,FALSE())),0,VLOOKUP($P434,Member_Tab,5,FALSE())*IF(AND(AA$5 &gt; VLOOKUP($P434,Member_Tab,6,FALSE()),AA$5 &lt; VLOOKUP($P434,Member_Tab,7,FALSE())),1,0))</f>
        <v>0</v>
      </c>
      <c r="AB536" s="184" t="n">
        <f aca="false">IF(ISERROR(VLOOKUP($P434,Member_Tab,5,FALSE())),0,VLOOKUP($P434,Member_Tab,5,FALSE())*IF(AND(AB$5 &gt; VLOOKUP($P434,Member_Tab,6,FALSE()),AB$5 &lt; VLOOKUP($P434,Member_Tab,7,FALSE())),1,0))</f>
        <v>0</v>
      </c>
      <c r="AC536" s="184" t="n">
        <f aca="false">IF(ISERROR(VLOOKUP($P434,Member_Tab,5,FALSE())),0,VLOOKUP($P434,Member_Tab,5,FALSE())*IF(AND(AC$5 &gt; VLOOKUP($P434,Member_Tab,6,FALSE()),AC$5 &lt; VLOOKUP($P434,Member_Tab,7,FALSE())),1,0))</f>
        <v>0</v>
      </c>
      <c r="AD536" s="184" t="n">
        <f aca="false">IF(ISERROR(VLOOKUP($P434,Member_Tab,5,FALSE())),0,VLOOKUP($P434,Member_Tab,5,FALSE())*IF(AND(AD$5 &gt; VLOOKUP($P434,Member_Tab,6,FALSE()),AD$5 &lt; VLOOKUP($P434,Member_Tab,7,FALSE())),1,0))</f>
        <v>0</v>
      </c>
      <c r="AE536" s="184" t="n">
        <f aca="false">IF(ISERROR(VLOOKUP($P434,Member_Tab,5,FALSE())),0,VLOOKUP($P434,Member_Tab,5,FALSE())*IF(AND(AE$5 &gt; VLOOKUP($P434,Member_Tab,6,FALSE()),AE$5 &lt; VLOOKUP($P434,Member_Tab,7,FALSE())),1,0))</f>
        <v>0</v>
      </c>
      <c r="AF536" s="184" t="n">
        <f aca="false">IF(ISERROR(VLOOKUP($P434,Member_Tab,5,FALSE())),0,VLOOKUP($P434,Member_Tab,5,FALSE())*IF(AND(AF$5 &gt; VLOOKUP($P434,Member_Tab,6,FALSE()),AF$5 &lt; VLOOKUP($P434,Member_Tab,7,FALSE())),1,0))</f>
        <v>0</v>
      </c>
      <c r="AG536" s="184" t="n">
        <f aca="false">IF(ISERROR(VLOOKUP($P434,Member_Tab,5,FALSE())),0,VLOOKUP($P434,Member_Tab,5,FALSE())*IF(AND(AG$5 &gt; VLOOKUP($P434,Member_Tab,6,FALSE()),AG$5 &lt; VLOOKUP($P434,Member_Tab,7,FALSE())),1,0))</f>
        <v>0</v>
      </c>
      <c r="AH536" s="184" t="n">
        <f aca="false">IF(ISERROR(VLOOKUP($P434,Member_Tab,5,FALSE())),0,VLOOKUP($P434,Member_Tab,5,FALSE())*IF(AND(AH$5 &gt; VLOOKUP($P434,Member_Tab,6,FALSE()),AH$5 &lt; VLOOKUP($P434,Member_Tab,7,FALSE())),1,0))</f>
        <v>0</v>
      </c>
      <c r="AI536" s="184" t="n">
        <f aca="false">IF(ISERROR(VLOOKUP($P434,Member_Tab,5,FALSE())),0,VLOOKUP($P434,Member_Tab,5,FALSE())*IF(AND(AI$5 &gt; VLOOKUP($P434,Member_Tab,6,FALSE()),AI$5 &lt; VLOOKUP($P434,Member_Tab,7,FALSE())),1,0))</f>
        <v>0</v>
      </c>
      <c r="AJ536" s="184" t="n">
        <f aca="false">IF(ISERROR(VLOOKUP($P434,Member_Tab,5,FALSE())),0,VLOOKUP($P434,Member_Tab,5,FALSE())*IF(AND(AJ$5 &gt; VLOOKUP($P434,Member_Tab,6,FALSE()),AJ$5 &lt; VLOOKUP($P434,Member_Tab,7,FALSE())),1,0))</f>
        <v>0</v>
      </c>
      <c r="AK536" s="184" t="n">
        <f aca="false">IF(ISERROR(VLOOKUP($P434,Member_Tab,5,FALSE())),0,VLOOKUP($P434,Member_Tab,5,FALSE())*IF(AND(AK$5 &gt; VLOOKUP($P434,Member_Tab,6,FALSE()),AK$5 &lt; VLOOKUP($P434,Member_Tab,7,FALSE())),1,0))</f>
        <v>0</v>
      </c>
      <c r="AL536" s="184" t="n">
        <f aca="false">IF(ISERROR(VLOOKUP($P434,Member_Tab,5,FALSE())),0,VLOOKUP($P434,Member_Tab,5,FALSE())*IF(AND(AL$5 &gt; VLOOKUP($P434,Member_Tab,6,FALSE()),AL$5 &lt; VLOOKUP($P434,Member_Tab,7,FALSE())),1,0))</f>
        <v>0</v>
      </c>
      <c r="AM536" s="184" t="n">
        <f aca="false">IF(ISERROR(VLOOKUP($P434,Member_Tab,5,FALSE())),0,VLOOKUP($P434,Member_Tab,5,FALSE())*IF(AND(AM$5 &gt; VLOOKUP($P434,Member_Tab,6,FALSE()),AM$5 &lt; VLOOKUP($P434,Member_Tab,7,FALSE())),1,0))</f>
        <v>0</v>
      </c>
      <c r="AN536" s="184" t="n">
        <f aca="false">IF(ISERROR(VLOOKUP($P434,Member_Tab,5,FALSE())),0,VLOOKUP($P434,Member_Tab,5,FALSE())*IF(AND(AN$5 &gt; VLOOKUP($P434,Member_Tab,6,FALSE()),AN$5 &lt; VLOOKUP($P434,Member_Tab,7,FALSE())),1,0))</f>
        <v>0</v>
      </c>
      <c r="AO536" s="184" t="n">
        <f aca="false">IF(ISERROR(VLOOKUP($P434,Member_Tab,5,FALSE())),0,VLOOKUP($P434,Member_Tab,5,FALSE())*IF(AND(AO$5 &gt; VLOOKUP($P434,Member_Tab,6,FALSE()),AO$5 &lt; VLOOKUP($P434,Member_Tab,7,FALSE())),1,0))</f>
        <v>0</v>
      </c>
      <c r="AP536" s="184" t="n">
        <f aca="false">IF(ISERROR(VLOOKUP($P434,Member_Tab,5,FALSE())),0,VLOOKUP($P434,Member_Tab,5,FALSE())*IF(AND(AP$5 &gt; VLOOKUP($P434,Member_Tab,6,FALSE()),AP$5 &lt; VLOOKUP($P434,Member_Tab,7,FALSE())),1,0))</f>
        <v>0</v>
      </c>
      <c r="AQ536" s="184" t="n">
        <f aca="false">IF(ISERROR(VLOOKUP($P434,Member_Tab,5,FALSE())),0,VLOOKUP($P434,Member_Tab,5,FALSE())*IF(AND(AQ$5 &gt; VLOOKUP($P434,Member_Tab,6,FALSE()),AQ$5 &lt; VLOOKUP($P434,Member_Tab,7,FALSE())),1,0))</f>
        <v>0</v>
      </c>
      <c r="AR536" s="184" t="n">
        <f aca="false">IF(ISERROR(VLOOKUP($P434,Member_Tab,5,FALSE())),0,VLOOKUP($P434,Member_Tab,5,FALSE())*IF(AND(AR$5 &gt; VLOOKUP($P434,Member_Tab,6,FALSE()),AR$5 &lt; VLOOKUP($P434,Member_Tab,7,FALSE())),1,0))</f>
        <v>0</v>
      </c>
      <c r="AS536" s="184" t="n">
        <f aca="false">IF(ISERROR(VLOOKUP($P434,Member_Tab,5,FALSE())),0,VLOOKUP($P434,Member_Tab,5,FALSE())*IF(AND(AS$5 &gt; VLOOKUP($P434,Member_Tab,6,FALSE()),AS$5 &lt; VLOOKUP($P434,Member_Tab,7,FALSE())),1,0))</f>
        <v>0</v>
      </c>
      <c r="AT536" s="184" t="n">
        <f aca="false">IF(ISERROR(VLOOKUP($P434,Member_Tab,5,FALSE())),0,VLOOKUP($P434,Member_Tab,5,FALSE())*IF(AND(AT$5 &gt; VLOOKUP($P434,Member_Tab,6,FALSE()),AT$5 &lt; VLOOKUP($P434,Member_Tab,7,FALSE())),1,0))</f>
        <v>0</v>
      </c>
      <c r="AU536" s="184" t="n">
        <f aca="false">IF(ISERROR(VLOOKUP($P434,Member_Tab,5,FALSE())),0,VLOOKUP($P434,Member_Tab,5,FALSE())*IF(AND(AU$5 &gt; VLOOKUP($P434,Member_Tab,6,FALSE()),AU$5 &lt; VLOOKUP($P434,Member_Tab,7,FALSE())),1,0))</f>
        <v>0</v>
      </c>
      <c r="AV536" s="184" t="n">
        <f aca="false">IF(ISERROR(VLOOKUP($P434,Member_Tab,5,FALSE())),0,VLOOKUP($P434,Member_Tab,5,FALSE())*IF(AND(AV$5 &gt; VLOOKUP($P434,Member_Tab,6,FALSE()),AV$5 &lt; VLOOKUP($P434,Member_Tab,7,FALSE())),1,0))</f>
        <v>0</v>
      </c>
      <c r="AW536" s="184" t="n">
        <f aca="false">IF(ISERROR(VLOOKUP($P434,Member_Tab,5,FALSE())),0,VLOOKUP($P434,Member_Tab,5,FALSE())*IF(AND(AW$5 &gt; VLOOKUP($P434,Member_Tab,6,FALSE()),AW$5 &lt; VLOOKUP($P434,Member_Tab,7,FALSE())),1,0))</f>
        <v>0</v>
      </c>
      <c r="AX536" s="184" t="n">
        <f aca="false">IF(ISERROR(VLOOKUP($P434,Member_Tab,5,FALSE())),0,VLOOKUP($P434,Member_Tab,5,FALSE())*IF(AND(AX$5 &gt; VLOOKUP($P434,Member_Tab,6,FALSE()),AX$5 &lt; VLOOKUP($P434,Member_Tab,7,FALSE())),1,0))</f>
        <v>0</v>
      </c>
      <c r="AY536" s="184" t="n">
        <f aca="false">IF(ISERROR(VLOOKUP($P434,Member_Tab,5,FALSE())),0,VLOOKUP($P434,Member_Tab,5,FALSE())*IF(AND(AY$5 &gt; VLOOKUP($P434,Member_Tab,6,FALSE()),AY$5 &lt; VLOOKUP($P434,Member_Tab,7,FALSE())),1,0))</f>
        <v>0</v>
      </c>
      <c r="AZ536" s="184" t="n">
        <f aca="false">IF(ISERROR(VLOOKUP($P434,Member_Tab,5,FALSE())),0,VLOOKUP($P434,Member_Tab,5,FALSE())*IF(AND(AZ$5 &gt; VLOOKUP($P434,Member_Tab,6,FALSE()),AZ$5 &lt; VLOOKUP($P434,Member_Tab,7,FALSE())),1,0))</f>
        <v>0</v>
      </c>
      <c r="BA536" s="184" t="n">
        <f aca="false">IF(ISERROR(VLOOKUP($P434,Member_Tab,5,FALSE())),0,VLOOKUP($P434,Member_Tab,5,FALSE())*IF(AND(BA$5 &gt; VLOOKUP($P434,Member_Tab,6,FALSE()),BA$5 &lt; VLOOKUP($P434,Member_Tab,7,FALSE())),1,0))</f>
        <v>0</v>
      </c>
      <c r="BB536" s="184" t="n">
        <f aca="false">IF(ISERROR(VLOOKUP($P434,Member_Tab,5,FALSE())),0,VLOOKUP($P434,Member_Tab,5,FALSE())*IF(AND(BB$5 &gt; VLOOKUP($P434,Member_Tab,6,FALSE()),BB$5 &lt; VLOOKUP($P434,Member_Tab,7,FALSE())),1,0))</f>
        <v>0</v>
      </c>
    </row>
    <row r="537" s="173" customFormat="true" ht="15.75" hidden="true" customHeight="false" outlineLevel="1" collapsed="false">
      <c r="E537" s="40"/>
      <c r="K537" s="40"/>
      <c r="L537" s="40"/>
      <c r="M537" s="40"/>
      <c r="N537" s="40"/>
      <c r="P537" s="183" t="n">
        <f aca="false">P435</f>
        <v>0</v>
      </c>
      <c r="Q537" s="40"/>
      <c r="R537" s="182"/>
      <c r="S537" s="184" t="n">
        <f aca="false">IF(ISERROR(VLOOKUP($P435,Member_Tab,5,FALSE())),0,VLOOKUP($P435,Member_Tab,5,FALSE())*IF(AND(S$5 &gt; VLOOKUP($P435,Member_Tab,6,FALSE()),S$5 &lt; VLOOKUP($P435,Member_Tab,7,FALSE())),1,0))</f>
        <v>0</v>
      </c>
      <c r="T537" s="184" t="n">
        <f aca="false">IF(ISERROR(VLOOKUP($P435,Member_Tab,5,FALSE())),0,VLOOKUP($P435,Member_Tab,5,FALSE())*IF(AND(T$5 &gt; VLOOKUP($P435,Member_Tab,6,FALSE()),T$5 &lt; VLOOKUP($P435,Member_Tab,7,FALSE())),1,0))</f>
        <v>0</v>
      </c>
      <c r="U537" s="184" t="n">
        <f aca="false">IF(ISERROR(VLOOKUP($P435,Member_Tab,5,FALSE())),0,VLOOKUP($P435,Member_Tab,5,FALSE())*IF(AND(U$5 &gt; VLOOKUP($P435,Member_Tab,6,FALSE()),U$5 &lt; VLOOKUP($P435,Member_Tab,7,FALSE())),1,0))</f>
        <v>0</v>
      </c>
      <c r="V537" s="184" t="n">
        <f aca="false">IF(ISERROR(VLOOKUP($P435,Member_Tab,5,FALSE())),0,VLOOKUP($P435,Member_Tab,5,FALSE())*IF(AND(V$5 &gt; VLOOKUP($P435,Member_Tab,6,FALSE()),V$5 &lt; VLOOKUP($P435,Member_Tab,7,FALSE())),1,0))</f>
        <v>0</v>
      </c>
      <c r="W537" s="184" t="n">
        <f aca="false">IF(ISERROR(VLOOKUP($P435,Member_Tab,5,FALSE())),0,VLOOKUP($P435,Member_Tab,5,FALSE())*IF(AND(W$5 &gt; VLOOKUP($P435,Member_Tab,6,FALSE()),W$5 &lt; VLOOKUP($P435,Member_Tab,7,FALSE())),1,0))</f>
        <v>0</v>
      </c>
      <c r="X537" s="184" t="n">
        <f aca="false">IF(ISERROR(VLOOKUP($P435,Member_Tab,5,FALSE())),0,VLOOKUP($P435,Member_Tab,5,FALSE())*IF(AND(X$5 &gt; VLOOKUP($P435,Member_Tab,6,FALSE()),X$5 &lt; VLOOKUP($P435,Member_Tab,7,FALSE())),1,0))</f>
        <v>0</v>
      </c>
      <c r="Y537" s="184" t="n">
        <f aca="false">IF(ISERROR(VLOOKUP($P435,Member_Tab,5,FALSE())),0,VLOOKUP($P435,Member_Tab,5,FALSE())*IF(AND(Y$5 &gt; VLOOKUP($P435,Member_Tab,6,FALSE()),Y$5 &lt; VLOOKUP($P435,Member_Tab,7,FALSE())),1,0))</f>
        <v>0</v>
      </c>
      <c r="Z537" s="184" t="n">
        <f aca="false">IF(ISERROR(VLOOKUP($P435,Member_Tab,5,FALSE())),0,VLOOKUP($P435,Member_Tab,5,FALSE())*IF(AND(Z$5 &gt; VLOOKUP($P435,Member_Tab,6,FALSE()),Z$5 &lt; VLOOKUP($P435,Member_Tab,7,FALSE())),1,0))</f>
        <v>0</v>
      </c>
      <c r="AA537" s="184" t="n">
        <f aca="false">IF(ISERROR(VLOOKUP($P435,Member_Tab,5,FALSE())),0,VLOOKUP($P435,Member_Tab,5,FALSE())*IF(AND(AA$5 &gt; VLOOKUP($P435,Member_Tab,6,FALSE()),AA$5 &lt; VLOOKUP($P435,Member_Tab,7,FALSE())),1,0))</f>
        <v>0</v>
      </c>
      <c r="AB537" s="184" t="n">
        <f aca="false">IF(ISERROR(VLOOKUP($P435,Member_Tab,5,FALSE())),0,VLOOKUP($P435,Member_Tab,5,FALSE())*IF(AND(AB$5 &gt; VLOOKUP($P435,Member_Tab,6,FALSE()),AB$5 &lt; VLOOKUP($P435,Member_Tab,7,FALSE())),1,0))</f>
        <v>0</v>
      </c>
      <c r="AC537" s="184" t="n">
        <f aca="false">IF(ISERROR(VLOOKUP($P435,Member_Tab,5,FALSE())),0,VLOOKUP($P435,Member_Tab,5,FALSE())*IF(AND(AC$5 &gt; VLOOKUP($P435,Member_Tab,6,FALSE()),AC$5 &lt; VLOOKUP($P435,Member_Tab,7,FALSE())),1,0))</f>
        <v>0</v>
      </c>
      <c r="AD537" s="184" t="n">
        <f aca="false">IF(ISERROR(VLOOKUP($P435,Member_Tab,5,FALSE())),0,VLOOKUP($P435,Member_Tab,5,FALSE())*IF(AND(AD$5 &gt; VLOOKUP($P435,Member_Tab,6,FALSE()),AD$5 &lt; VLOOKUP($P435,Member_Tab,7,FALSE())),1,0))</f>
        <v>0</v>
      </c>
      <c r="AE537" s="184" t="n">
        <f aca="false">IF(ISERROR(VLOOKUP($P435,Member_Tab,5,FALSE())),0,VLOOKUP($P435,Member_Tab,5,FALSE())*IF(AND(AE$5 &gt; VLOOKUP($P435,Member_Tab,6,FALSE()),AE$5 &lt; VLOOKUP($P435,Member_Tab,7,FALSE())),1,0))</f>
        <v>0</v>
      </c>
      <c r="AF537" s="184" t="n">
        <f aca="false">IF(ISERROR(VLOOKUP($P435,Member_Tab,5,FALSE())),0,VLOOKUP($P435,Member_Tab,5,FALSE())*IF(AND(AF$5 &gt; VLOOKUP($P435,Member_Tab,6,FALSE()),AF$5 &lt; VLOOKUP($P435,Member_Tab,7,FALSE())),1,0))</f>
        <v>0</v>
      </c>
      <c r="AG537" s="184" t="n">
        <f aca="false">IF(ISERROR(VLOOKUP($P435,Member_Tab,5,FALSE())),0,VLOOKUP($P435,Member_Tab,5,FALSE())*IF(AND(AG$5 &gt; VLOOKUP($P435,Member_Tab,6,FALSE()),AG$5 &lt; VLOOKUP($P435,Member_Tab,7,FALSE())),1,0))</f>
        <v>0</v>
      </c>
      <c r="AH537" s="184" t="n">
        <f aca="false">IF(ISERROR(VLOOKUP($P435,Member_Tab,5,FALSE())),0,VLOOKUP($P435,Member_Tab,5,FALSE())*IF(AND(AH$5 &gt; VLOOKUP($P435,Member_Tab,6,FALSE()),AH$5 &lt; VLOOKUP($P435,Member_Tab,7,FALSE())),1,0))</f>
        <v>0</v>
      </c>
      <c r="AI537" s="184" t="n">
        <f aca="false">IF(ISERROR(VLOOKUP($P435,Member_Tab,5,FALSE())),0,VLOOKUP($P435,Member_Tab,5,FALSE())*IF(AND(AI$5 &gt; VLOOKUP($P435,Member_Tab,6,FALSE()),AI$5 &lt; VLOOKUP($P435,Member_Tab,7,FALSE())),1,0))</f>
        <v>0</v>
      </c>
      <c r="AJ537" s="184" t="n">
        <f aca="false">IF(ISERROR(VLOOKUP($P435,Member_Tab,5,FALSE())),0,VLOOKUP($P435,Member_Tab,5,FALSE())*IF(AND(AJ$5 &gt; VLOOKUP($P435,Member_Tab,6,FALSE()),AJ$5 &lt; VLOOKUP($P435,Member_Tab,7,FALSE())),1,0))</f>
        <v>0</v>
      </c>
      <c r="AK537" s="184" t="n">
        <f aca="false">IF(ISERROR(VLOOKUP($P435,Member_Tab,5,FALSE())),0,VLOOKUP($P435,Member_Tab,5,FALSE())*IF(AND(AK$5 &gt; VLOOKUP($P435,Member_Tab,6,FALSE()),AK$5 &lt; VLOOKUP($P435,Member_Tab,7,FALSE())),1,0))</f>
        <v>0</v>
      </c>
      <c r="AL537" s="184" t="n">
        <f aca="false">IF(ISERROR(VLOOKUP($P435,Member_Tab,5,FALSE())),0,VLOOKUP($P435,Member_Tab,5,FALSE())*IF(AND(AL$5 &gt; VLOOKUP($P435,Member_Tab,6,FALSE()),AL$5 &lt; VLOOKUP($P435,Member_Tab,7,FALSE())),1,0))</f>
        <v>0</v>
      </c>
      <c r="AM537" s="184" t="n">
        <f aca="false">IF(ISERROR(VLOOKUP($P435,Member_Tab,5,FALSE())),0,VLOOKUP($P435,Member_Tab,5,FALSE())*IF(AND(AM$5 &gt; VLOOKUP($P435,Member_Tab,6,FALSE()),AM$5 &lt; VLOOKUP($P435,Member_Tab,7,FALSE())),1,0))</f>
        <v>0</v>
      </c>
      <c r="AN537" s="184" t="n">
        <f aca="false">IF(ISERROR(VLOOKUP($P435,Member_Tab,5,FALSE())),0,VLOOKUP($P435,Member_Tab,5,FALSE())*IF(AND(AN$5 &gt; VLOOKUP($P435,Member_Tab,6,FALSE()),AN$5 &lt; VLOOKUP($P435,Member_Tab,7,FALSE())),1,0))</f>
        <v>0</v>
      </c>
      <c r="AO537" s="184" t="n">
        <f aca="false">IF(ISERROR(VLOOKUP($P435,Member_Tab,5,FALSE())),0,VLOOKUP($P435,Member_Tab,5,FALSE())*IF(AND(AO$5 &gt; VLOOKUP($P435,Member_Tab,6,FALSE()),AO$5 &lt; VLOOKUP($P435,Member_Tab,7,FALSE())),1,0))</f>
        <v>0</v>
      </c>
      <c r="AP537" s="184" t="n">
        <f aca="false">IF(ISERROR(VLOOKUP($P435,Member_Tab,5,FALSE())),0,VLOOKUP($P435,Member_Tab,5,FALSE())*IF(AND(AP$5 &gt; VLOOKUP($P435,Member_Tab,6,FALSE()),AP$5 &lt; VLOOKUP($P435,Member_Tab,7,FALSE())),1,0))</f>
        <v>0</v>
      </c>
      <c r="AQ537" s="184" t="n">
        <f aca="false">IF(ISERROR(VLOOKUP($P435,Member_Tab,5,FALSE())),0,VLOOKUP($P435,Member_Tab,5,FALSE())*IF(AND(AQ$5 &gt; VLOOKUP($P435,Member_Tab,6,FALSE()),AQ$5 &lt; VLOOKUP($P435,Member_Tab,7,FALSE())),1,0))</f>
        <v>0</v>
      </c>
      <c r="AR537" s="184" t="n">
        <f aca="false">IF(ISERROR(VLOOKUP($P435,Member_Tab,5,FALSE())),0,VLOOKUP($P435,Member_Tab,5,FALSE())*IF(AND(AR$5 &gt; VLOOKUP($P435,Member_Tab,6,FALSE()),AR$5 &lt; VLOOKUP($P435,Member_Tab,7,FALSE())),1,0))</f>
        <v>0</v>
      </c>
      <c r="AS537" s="184" t="n">
        <f aca="false">IF(ISERROR(VLOOKUP($P435,Member_Tab,5,FALSE())),0,VLOOKUP($P435,Member_Tab,5,FALSE())*IF(AND(AS$5 &gt; VLOOKUP($P435,Member_Tab,6,FALSE()),AS$5 &lt; VLOOKUP($P435,Member_Tab,7,FALSE())),1,0))</f>
        <v>0</v>
      </c>
      <c r="AT537" s="184" t="n">
        <f aca="false">IF(ISERROR(VLOOKUP($P435,Member_Tab,5,FALSE())),0,VLOOKUP($P435,Member_Tab,5,FALSE())*IF(AND(AT$5 &gt; VLOOKUP($P435,Member_Tab,6,FALSE()),AT$5 &lt; VLOOKUP($P435,Member_Tab,7,FALSE())),1,0))</f>
        <v>0</v>
      </c>
      <c r="AU537" s="184" t="n">
        <f aca="false">IF(ISERROR(VLOOKUP($P435,Member_Tab,5,FALSE())),0,VLOOKUP($P435,Member_Tab,5,FALSE())*IF(AND(AU$5 &gt; VLOOKUP($P435,Member_Tab,6,FALSE()),AU$5 &lt; VLOOKUP($P435,Member_Tab,7,FALSE())),1,0))</f>
        <v>0</v>
      </c>
      <c r="AV537" s="184" t="n">
        <f aca="false">IF(ISERROR(VLOOKUP($P435,Member_Tab,5,FALSE())),0,VLOOKUP($P435,Member_Tab,5,FALSE())*IF(AND(AV$5 &gt; VLOOKUP($P435,Member_Tab,6,FALSE()),AV$5 &lt; VLOOKUP($P435,Member_Tab,7,FALSE())),1,0))</f>
        <v>0</v>
      </c>
      <c r="AW537" s="184" t="n">
        <f aca="false">IF(ISERROR(VLOOKUP($P435,Member_Tab,5,FALSE())),0,VLOOKUP($P435,Member_Tab,5,FALSE())*IF(AND(AW$5 &gt; VLOOKUP($P435,Member_Tab,6,FALSE()),AW$5 &lt; VLOOKUP($P435,Member_Tab,7,FALSE())),1,0))</f>
        <v>0</v>
      </c>
      <c r="AX537" s="184" t="n">
        <f aca="false">IF(ISERROR(VLOOKUP($P435,Member_Tab,5,FALSE())),0,VLOOKUP($P435,Member_Tab,5,FALSE())*IF(AND(AX$5 &gt; VLOOKUP($P435,Member_Tab,6,FALSE()),AX$5 &lt; VLOOKUP($P435,Member_Tab,7,FALSE())),1,0))</f>
        <v>0</v>
      </c>
      <c r="AY537" s="184" t="n">
        <f aca="false">IF(ISERROR(VLOOKUP($P435,Member_Tab,5,FALSE())),0,VLOOKUP($P435,Member_Tab,5,FALSE())*IF(AND(AY$5 &gt; VLOOKUP($P435,Member_Tab,6,FALSE()),AY$5 &lt; VLOOKUP($P435,Member_Tab,7,FALSE())),1,0))</f>
        <v>0</v>
      </c>
      <c r="AZ537" s="184" t="n">
        <f aca="false">IF(ISERROR(VLOOKUP($P435,Member_Tab,5,FALSE())),0,VLOOKUP($P435,Member_Tab,5,FALSE())*IF(AND(AZ$5 &gt; VLOOKUP($P435,Member_Tab,6,FALSE()),AZ$5 &lt; VLOOKUP($P435,Member_Tab,7,FALSE())),1,0))</f>
        <v>0</v>
      </c>
      <c r="BA537" s="184" t="n">
        <f aca="false">IF(ISERROR(VLOOKUP($P435,Member_Tab,5,FALSE())),0,VLOOKUP($P435,Member_Tab,5,FALSE())*IF(AND(BA$5 &gt; VLOOKUP($P435,Member_Tab,6,FALSE()),BA$5 &lt; VLOOKUP($P435,Member_Tab,7,FALSE())),1,0))</f>
        <v>0</v>
      </c>
      <c r="BB537" s="184" t="n">
        <f aca="false">IF(ISERROR(VLOOKUP($P435,Member_Tab,5,FALSE())),0,VLOOKUP($P435,Member_Tab,5,FALSE())*IF(AND(BB$5 &gt; VLOOKUP($P435,Member_Tab,6,FALSE()),BB$5 &lt; VLOOKUP($P435,Member_Tab,7,FALSE())),1,0))</f>
        <v>0</v>
      </c>
    </row>
    <row r="538" s="173" customFormat="true" ht="15.75" hidden="true" customHeight="false" outlineLevel="1" collapsed="false">
      <c r="E538" s="40"/>
      <c r="K538" s="40"/>
      <c r="L538" s="40"/>
      <c r="M538" s="40"/>
      <c r="N538" s="40"/>
      <c r="P538" s="183" t="n">
        <f aca="false">P436</f>
        <v>0</v>
      </c>
      <c r="Q538" s="40"/>
      <c r="R538" s="182"/>
      <c r="S538" s="184" t="n">
        <f aca="false">IF(ISERROR(VLOOKUP($P436,Member_Tab,5,FALSE())),0,VLOOKUP($P436,Member_Tab,5,FALSE())*IF(AND(S$5 &gt; VLOOKUP($P436,Member_Tab,6,FALSE()),S$5 &lt; VLOOKUP($P436,Member_Tab,7,FALSE())),1,0))</f>
        <v>0</v>
      </c>
      <c r="T538" s="184" t="n">
        <f aca="false">IF(ISERROR(VLOOKUP($P436,Member_Tab,5,FALSE())),0,VLOOKUP($P436,Member_Tab,5,FALSE())*IF(AND(T$5 &gt; VLOOKUP($P436,Member_Tab,6,FALSE()),T$5 &lt; VLOOKUP($P436,Member_Tab,7,FALSE())),1,0))</f>
        <v>0</v>
      </c>
      <c r="U538" s="184" t="n">
        <f aca="false">IF(ISERROR(VLOOKUP($P436,Member_Tab,5,FALSE())),0,VLOOKUP($P436,Member_Tab,5,FALSE())*IF(AND(U$5 &gt; VLOOKUP($P436,Member_Tab,6,FALSE()),U$5 &lt; VLOOKUP($P436,Member_Tab,7,FALSE())),1,0))</f>
        <v>0</v>
      </c>
      <c r="V538" s="184" t="n">
        <f aca="false">IF(ISERROR(VLOOKUP($P436,Member_Tab,5,FALSE())),0,VLOOKUP($P436,Member_Tab,5,FALSE())*IF(AND(V$5 &gt; VLOOKUP($P436,Member_Tab,6,FALSE()),V$5 &lt; VLOOKUP($P436,Member_Tab,7,FALSE())),1,0))</f>
        <v>0</v>
      </c>
      <c r="W538" s="184" t="n">
        <f aca="false">IF(ISERROR(VLOOKUP($P436,Member_Tab,5,FALSE())),0,VLOOKUP($P436,Member_Tab,5,FALSE())*IF(AND(W$5 &gt; VLOOKUP($P436,Member_Tab,6,FALSE()),W$5 &lt; VLOOKUP($P436,Member_Tab,7,FALSE())),1,0))</f>
        <v>0</v>
      </c>
      <c r="X538" s="184" t="n">
        <f aca="false">IF(ISERROR(VLOOKUP($P436,Member_Tab,5,FALSE())),0,VLOOKUP($P436,Member_Tab,5,FALSE())*IF(AND(X$5 &gt; VLOOKUP($P436,Member_Tab,6,FALSE()),X$5 &lt; VLOOKUP($P436,Member_Tab,7,FALSE())),1,0))</f>
        <v>0</v>
      </c>
      <c r="Y538" s="184" t="n">
        <f aca="false">IF(ISERROR(VLOOKUP($P436,Member_Tab,5,FALSE())),0,VLOOKUP($P436,Member_Tab,5,FALSE())*IF(AND(Y$5 &gt; VLOOKUP($P436,Member_Tab,6,FALSE()),Y$5 &lt; VLOOKUP($P436,Member_Tab,7,FALSE())),1,0))</f>
        <v>0</v>
      </c>
      <c r="Z538" s="184" t="n">
        <f aca="false">IF(ISERROR(VLOOKUP($P436,Member_Tab,5,FALSE())),0,VLOOKUP($P436,Member_Tab,5,FALSE())*IF(AND(Z$5 &gt; VLOOKUP($P436,Member_Tab,6,FALSE()),Z$5 &lt; VLOOKUP($P436,Member_Tab,7,FALSE())),1,0))</f>
        <v>0</v>
      </c>
      <c r="AA538" s="184" t="n">
        <f aca="false">IF(ISERROR(VLOOKUP($P436,Member_Tab,5,FALSE())),0,VLOOKUP($P436,Member_Tab,5,FALSE())*IF(AND(AA$5 &gt; VLOOKUP($P436,Member_Tab,6,FALSE()),AA$5 &lt; VLOOKUP($P436,Member_Tab,7,FALSE())),1,0))</f>
        <v>0</v>
      </c>
      <c r="AB538" s="184" t="n">
        <f aca="false">IF(ISERROR(VLOOKUP($P436,Member_Tab,5,FALSE())),0,VLOOKUP($P436,Member_Tab,5,FALSE())*IF(AND(AB$5 &gt; VLOOKUP($P436,Member_Tab,6,FALSE()),AB$5 &lt; VLOOKUP($P436,Member_Tab,7,FALSE())),1,0))</f>
        <v>0</v>
      </c>
      <c r="AC538" s="184" t="n">
        <f aca="false">IF(ISERROR(VLOOKUP($P436,Member_Tab,5,FALSE())),0,VLOOKUP($P436,Member_Tab,5,FALSE())*IF(AND(AC$5 &gt; VLOOKUP($P436,Member_Tab,6,FALSE()),AC$5 &lt; VLOOKUP($P436,Member_Tab,7,FALSE())),1,0))</f>
        <v>0</v>
      </c>
      <c r="AD538" s="184" t="n">
        <f aca="false">IF(ISERROR(VLOOKUP($P436,Member_Tab,5,FALSE())),0,VLOOKUP($P436,Member_Tab,5,FALSE())*IF(AND(AD$5 &gt; VLOOKUP($P436,Member_Tab,6,FALSE()),AD$5 &lt; VLOOKUP($P436,Member_Tab,7,FALSE())),1,0))</f>
        <v>0</v>
      </c>
      <c r="AE538" s="184" t="n">
        <f aca="false">IF(ISERROR(VLOOKUP($P436,Member_Tab,5,FALSE())),0,VLOOKUP($P436,Member_Tab,5,FALSE())*IF(AND(AE$5 &gt; VLOOKUP($P436,Member_Tab,6,FALSE()),AE$5 &lt; VLOOKUP($P436,Member_Tab,7,FALSE())),1,0))</f>
        <v>0</v>
      </c>
      <c r="AF538" s="184" t="n">
        <f aca="false">IF(ISERROR(VLOOKUP($P436,Member_Tab,5,FALSE())),0,VLOOKUP($P436,Member_Tab,5,FALSE())*IF(AND(AF$5 &gt; VLOOKUP($P436,Member_Tab,6,FALSE()),AF$5 &lt; VLOOKUP($P436,Member_Tab,7,FALSE())),1,0))</f>
        <v>0</v>
      </c>
      <c r="AG538" s="184" t="n">
        <f aca="false">IF(ISERROR(VLOOKUP($P436,Member_Tab,5,FALSE())),0,VLOOKUP($P436,Member_Tab,5,FALSE())*IF(AND(AG$5 &gt; VLOOKUP($P436,Member_Tab,6,FALSE()),AG$5 &lt; VLOOKUP($P436,Member_Tab,7,FALSE())),1,0))</f>
        <v>0</v>
      </c>
      <c r="AH538" s="184" t="n">
        <f aca="false">IF(ISERROR(VLOOKUP($P436,Member_Tab,5,FALSE())),0,VLOOKUP($P436,Member_Tab,5,FALSE())*IF(AND(AH$5 &gt; VLOOKUP($P436,Member_Tab,6,FALSE()),AH$5 &lt; VLOOKUP($P436,Member_Tab,7,FALSE())),1,0))</f>
        <v>0</v>
      </c>
      <c r="AI538" s="184" t="n">
        <f aca="false">IF(ISERROR(VLOOKUP($P436,Member_Tab,5,FALSE())),0,VLOOKUP($P436,Member_Tab,5,FALSE())*IF(AND(AI$5 &gt; VLOOKUP($P436,Member_Tab,6,FALSE()),AI$5 &lt; VLOOKUP($P436,Member_Tab,7,FALSE())),1,0))</f>
        <v>0</v>
      </c>
      <c r="AJ538" s="184" t="n">
        <f aca="false">IF(ISERROR(VLOOKUP($P436,Member_Tab,5,FALSE())),0,VLOOKUP($P436,Member_Tab,5,FALSE())*IF(AND(AJ$5 &gt; VLOOKUP($P436,Member_Tab,6,FALSE()),AJ$5 &lt; VLOOKUP($P436,Member_Tab,7,FALSE())),1,0))</f>
        <v>0</v>
      </c>
      <c r="AK538" s="184" t="n">
        <f aca="false">IF(ISERROR(VLOOKUP($P436,Member_Tab,5,FALSE())),0,VLOOKUP($P436,Member_Tab,5,FALSE())*IF(AND(AK$5 &gt; VLOOKUP($P436,Member_Tab,6,FALSE()),AK$5 &lt; VLOOKUP($P436,Member_Tab,7,FALSE())),1,0))</f>
        <v>0</v>
      </c>
      <c r="AL538" s="184" t="n">
        <f aca="false">IF(ISERROR(VLOOKUP($P436,Member_Tab,5,FALSE())),0,VLOOKUP($P436,Member_Tab,5,FALSE())*IF(AND(AL$5 &gt; VLOOKUP($P436,Member_Tab,6,FALSE()),AL$5 &lt; VLOOKUP($P436,Member_Tab,7,FALSE())),1,0))</f>
        <v>0</v>
      </c>
      <c r="AM538" s="184" t="n">
        <f aca="false">IF(ISERROR(VLOOKUP($P436,Member_Tab,5,FALSE())),0,VLOOKUP($P436,Member_Tab,5,FALSE())*IF(AND(AM$5 &gt; VLOOKUP($P436,Member_Tab,6,FALSE()),AM$5 &lt; VLOOKUP($P436,Member_Tab,7,FALSE())),1,0))</f>
        <v>0</v>
      </c>
      <c r="AN538" s="184" t="n">
        <f aca="false">IF(ISERROR(VLOOKUP($P436,Member_Tab,5,FALSE())),0,VLOOKUP($P436,Member_Tab,5,FALSE())*IF(AND(AN$5 &gt; VLOOKUP($P436,Member_Tab,6,FALSE()),AN$5 &lt; VLOOKUP($P436,Member_Tab,7,FALSE())),1,0))</f>
        <v>0</v>
      </c>
      <c r="AO538" s="184" t="n">
        <f aca="false">IF(ISERROR(VLOOKUP($P436,Member_Tab,5,FALSE())),0,VLOOKUP($P436,Member_Tab,5,FALSE())*IF(AND(AO$5 &gt; VLOOKUP($P436,Member_Tab,6,FALSE()),AO$5 &lt; VLOOKUP($P436,Member_Tab,7,FALSE())),1,0))</f>
        <v>0</v>
      </c>
      <c r="AP538" s="184" t="n">
        <f aca="false">IF(ISERROR(VLOOKUP($P436,Member_Tab,5,FALSE())),0,VLOOKUP($P436,Member_Tab,5,FALSE())*IF(AND(AP$5 &gt; VLOOKUP($P436,Member_Tab,6,FALSE()),AP$5 &lt; VLOOKUP($P436,Member_Tab,7,FALSE())),1,0))</f>
        <v>0</v>
      </c>
      <c r="AQ538" s="184" t="n">
        <f aca="false">IF(ISERROR(VLOOKUP($P436,Member_Tab,5,FALSE())),0,VLOOKUP($P436,Member_Tab,5,FALSE())*IF(AND(AQ$5 &gt; VLOOKUP($P436,Member_Tab,6,FALSE()),AQ$5 &lt; VLOOKUP($P436,Member_Tab,7,FALSE())),1,0))</f>
        <v>0</v>
      </c>
      <c r="AR538" s="184" t="n">
        <f aca="false">IF(ISERROR(VLOOKUP($P436,Member_Tab,5,FALSE())),0,VLOOKUP($P436,Member_Tab,5,FALSE())*IF(AND(AR$5 &gt; VLOOKUP($P436,Member_Tab,6,FALSE()),AR$5 &lt; VLOOKUP($P436,Member_Tab,7,FALSE())),1,0))</f>
        <v>0</v>
      </c>
      <c r="AS538" s="184" t="n">
        <f aca="false">IF(ISERROR(VLOOKUP($P436,Member_Tab,5,FALSE())),0,VLOOKUP($P436,Member_Tab,5,FALSE())*IF(AND(AS$5 &gt; VLOOKUP($P436,Member_Tab,6,FALSE()),AS$5 &lt; VLOOKUP($P436,Member_Tab,7,FALSE())),1,0))</f>
        <v>0</v>
      </c>
      <c r="AT538" s="184" t="n">
        <f aca="false">IF(ISERROR(VLOOKUP($P436,Member_Tab,5,FALSE())),0,VLOOKUP($P436,Member_Tab,5,FALSE())*IF(AND(AT$5 &gt; VLOOKUP($P436,Member_Tab,6,FALSE()),AT$5 &lt; VLOOKUP($P436,Member_Tab,7,FALSE())),1,0))</f>
        <v>0</v>
      </c>
      <c r="AU538" s="184" t="n">
        <f aca="false">IF(ISERROR(VLOOKUP($P436,Member_Tab,5,FALSE())),0,VLOOKUP($P436,Member_Tab,5,FALSE())*IF(AND(AU$5 &gt; VLOOKUP($P436,Member_Tab,6,FALSE()),AU$5 &lt; VLOOKUP($P436,Member_Tab,7,FALSE())),1,0))</f>
        <v>0</v>
      </c>
      <c r="AV538" s="184" t="n">
        <f aca="false">IF(ISERROR(VLOOKUP($P436,Member_Tab,5,FALSE())),0,VLOOKUP($P436,Member_Tab,5,FALSE())*IF(AND(AV$5 &gt; VLOOKUP($P436,Member_Tab,6,FALSE()),AV$5 &lt; VLOOKUP($P436,Member_Tab,7,FALSE())),1,0))</f>
        <v>0</v>
      </c>
      <c r="AW538" s="184" t="n">
        <f aca="false">IF(ISERROR(VLOOKUP($P436,Member_Tab,5,FALSE())),0,VLOOKUP($P436,Member_Tab,5,FALSE())*IF(AND(AW$5 &gt; VLOOKUP($P436,Member_Tab,6,FALSE()),AW$5 &lt; VLOOKUP($P436,Member_Tab,7,FALSE())),1,0))</f>
        <v>0</v>
      </c>
      <c r="AX538" s="184" t="n">
        <f aca="false">IF(ISERROR(VLOOKUP($P436,Member_Tab,5,FALSE())),0,VLOOKUP($P436,Member_Tab,5,FALSE())*IF(AND(AX$5 &gt; VLOOKUP($P436,Member_Tab,6,FALSE()),AX$5 &lt; VLOOKUP($P436,Member_Tab,7,FALSE())),1,0))</f>
        <v>0</v>
      </c>
      <c r="AY538" s="184" t="n">
        <f aca="false">IF(ISERROR(VLOOKUP($P436,Member_Tab,5,FALSE())),0,VLOOKUP($P436,Member_Tab,5,FALSE())*IF(AND(AY$5 &gt; VLOOKUP($P436,Member_Tab,6,FALSE()),AY$5 &lt; VLOOKUP($P436,Member_Tab,7,FALSE())),1,0))</f>
        <v>0</v>
      </c>
      <c r="AZ538" s="184" t="n">
        <f aca="false">IF(ISERROR(VLOOKUP($P436,Member_Tab,5,FALSE())),0,VLOOKUP($P436,Member_Tab,5,FALSE())*IF(AND(AZ$5 &gt; VLOOKUP($P436,Member_Tab,6,FALSE()),AZ$5 &lt; VLOOKUP($P436,Member_Tab,7,FALSE())),1,0))</f>
        <v>0</v>
      </c>
      <c r="BA538" s="184" t="n">
        <f aca="false">IF(ISERROR(VLOOKUP($P436,Member_Tab,5,FALSE())),0,VLOOKUP($P436,Member_Tab,5,FALSE())*IF(AND(BA$5 &gt; VLOOKUP($P436,Member_Tab,6,FALSE()),BA$5 &lt; VLOOKUP($P436,Member_Tab,7,FALSE())),1,0))</f>
        <v>0</v>
      </c>
      <c r="BB538" s="184" t="n">
        <f aca="false">IF(ISERROR(VLOOKUP($P436,Member_Tab,5,FALSE())),0,VLOOKUP($P436,Member_Tab,5,FALSE())*IF(AND(BB$5 &gt; VLOOKUP($P436,Member_Tab,6,FALSE()),BB$5 &lt; VLOOKUP($P436,Member_Tab,7,FALSE())),1,0))</f>
        <v>0</v>
      </c>
    </row>
    <row r="539" s="173" customFormat="true" ht="15.75" hidden="true" customHeight="false" outlineLevel="1" collapsed="false">
      <c r="E539" s="40"/>
      <c r="K539" s="40"/>
      <c r="L539" s="40"/>
      <c r="M539" s="40"/>
      <c r="N539" s="40"/>
      <c r="P539" s="183" t="n">
        <f aca="false">P437</f>
        <v>0</v>
      </c>
      <c r="Q539" s="40"/>
      <c r="R539" s="182"/>
      <c r="S539" s="184" t="n">
        <f aca="false">IF(ISERROR(VLOOKUP($P437,Member_Tab,5,FALSE())),0,VLOOKUP($P437,Member_Tab,5,FALSE())*IF(AND(S$5 &gt; VLOOKUP($P437,Member_Tab,6,FALSE()),S$5 &lt; VLOOKUP($P437,Member_Tab,7,FALSE())),1,0))</f>
        <v>0</v>
      </c>
      <c r="T539" s="184" t="n">
        <f aca="false">IF(ISERROR(VLOOKUP($P437,Member_Tab,5,FALSE())),0,VLOOKUP($P437,Member_Tab,5,FALSE())*IF(AND(T$5 &gt; VLOOKUP($P437,Member_Tab,6,FALSE()),T$5 &lt; VLOOKUP($P437,Member_Tab,7,FALSE())),1,0))</f>
        <v>0</v>
      </c>
      <c r="U539" s="184" t="n">
        <f aca="false">IF(ISERROR(VLOOKUP($P437,Member_Tab,5,FALSE())),0,VLOOKUP($P437,Member_Tab,5,FALSE())*IF(AND(U$5 &gt; VLOOKUP($P437,Member_Tab,6,FALSE()),U$5 &lt; VLOOKUP($P437,Member_Tab,7,FALSE())),1,0))</f>
        <v>0</v>
      </c>
      <c r="V539" s="184" t="n">
        <f aca="false">IF(ISERROR(VLOOKUP($P437,Member_Tab,5,FALSE())),0,VLOOKUP($P437,Member_Tab,5,FALSE())*IF(AND(V$5 &gt; VLOOKUP($P437,Member_Tab,6,FALSE()),V$5 &lt; VLOOKUP($P437,Member_Tab,7,FALSE())),1,0))</f>
        <v>0</v>
      </c>
      <c r="W539" s="184" t="n">
        <f aca="false">IF(ISERROR(VLOOKUP($P437,Member_Tab,5,FALSE())),0,VLOOKUP($P437,Member_Tab,5,FALSE())*IF(AND(W$5 &gt; VLOOKUP($P437,Member_Tab,6,FALSE()),W$5 &lt; VLOOKUP($P437,Member_Tab,7,FALSE())),1,0))</f>
        <v>0</v>
      </c>
      <c r="X539" s="184" t="n">
        <f aca="false">IF(ISERROR(VLOOKUP($P437,Member_Tab,5,FALSE())),0,VLOOKUP($P437,Member_Tab,5,FALSE())*IF(AND(X$5 &gt; VLOOKUP($P437,Member_Tab,6,FALSE()),X$5 &lt; VLOOKUP($P437,Member_Tab,7,FALSE())),1,0))</f>
        <v>0</v>
      </c>
      <c r="Y539" s="184" t="n">
        <f aca="false">IF(ISERROR(VLOOKUP($P437,Member_Tab,5,FALSE())),0,VLOOKUP($P437,Member_Tab,5,FALSE())*IF(AND(Y$5 &gt; VLOOKUP($P437,Member_Tab,6,FALSE()),Y$5 &lt; VLOOKUP($P437,Member_Tab,7,FALSE())),1,0))</f>
        <v>0</v>
      </c>
      <c r="Z539" s="184" t="n">
        <f aca="false">IF(ISERROR(VLOOKUP($P437,Member_Tab,5,FALSE())),0,VLOOKUP($P437,Member_Tab,5,FALSE())*IF(AND(Z$5 &gt; VLOOKUP($P437,Member_Tab,6,FALSE()),Z$5 &lt; VLOOKUP($P437,Member_Tab,7,FALSE())),1,0))</f>
        <v>0</v>
      </c>
      <c r="AA539" s="184" t="n">
        <f aca="false">IF(ISERROR(VLOOKUP($P437,Member_Tab,5,FALSE())),0,VLOOKUP($P437,Member_Tab,5,FALSE())*IF(AND(AA$5 &gt; VLOOKUP($P437,Member_Tab,6,FALSE()),AA$5 &lt; VLOOKUP($P437,Member_Tab,7,FALSE())),1,0))</f>
        <v>0</v>
      </c>
      <c r="AB539" s="184" t="n">
        <f aca="false">IF(ISERROR(VLOOKUP($P437,Member_Tab,5,FALSE())),0,VLOOKUP($P437,Member_Tab,5,FALSE())*IF(AND(AB$5 &gt; VLOOKUP($P437,Member_Tab,6,FALSE()),AB$5 &lt; VLOOKUP($P437,Member_Tab,7,FALSE())),1,0))</f>
        <v>0</v>
      </c>
      <c r="AC539" s="184" t="n">
        <f aca="false">IF(ISERROR(VLOOKUP($P437,Member_Tab,5,FALSE())),0,VLOOKUP($P437,Member_Tab,5,FALSE())*IF(AND(AC$5 &gt; VLOOKUP($P437,Member_Tab,6,FALSE()),AC$5 &lt; VLOOKUP($P437,Member_Tab,7,FALSE())),1,0))</f>
        <v>0</v>
      </c>
      <c r="AD539" s="184" t="n">
        <f aca="false">IF(ISERROR(VLOOKUP($P437,Member_Tab,5,FALSE())),0,VLOOKUP($P437,Member_Tab,5,FALSE())*IF(AND(AD$5 &gt; VLOOKUP($P437,Member_Tab,6,FALSE()),AD$5 &lt; VLOOKUP($P437,Member_Tab,7,FALSE())),1,0))</f>
        <v>0</v>
      </c>
      <c r="AE539" s="184" t="n">
        <f aca="false">IF(ISERROR(VLOOKUP($P437,Member_Tab,5,FALSE())),0,VLOOKUP($P437,Member_Tab,5,FALSE())*IF(AND(AE$5 &gt; VLOOKUP($P437,Member_Tab,6,FALSE()),AE$5 &lt; VLOOKUP($P437,Member_Tab,7,FALSE())),1,0))</f>
        <v>0</v>
      </c>
      <c r="AF539" s="184" t="n">
        <f aca="false">IF(ISERROR(VLOOKUP($P437,Member_Tab,5,FALSE())),0,VLOOKUP($P437,Member_Tab,5,FALSE())*IF(AND(AF$5 &gt; VLOOKUP($P437,Member_Tab,6,FALSE()),AF$5 &lt; VLOOKUP($P437,Member_Tab,7,FALSE())),1,0))</f>
        <v>0</v>
      </c>
      <c r="AG539" s="184" t="n">
        <f aca="false">IF(ISERROR(VLOOKUP($P437,Member_Tab,5,FALSE())),0,VLOOKUP($P437,Member_Tab,5,FALSE())*IF(AND(AG$5 &gt; VLOOKUP($P437,Member_Tab,6,FALSE()),AG$5 &lt; VLOOKUP($P437,Member_Tab,7,FALSE())),1,0))</f>
        <v>0</v>
      </c>
      <c r="AH539" s="184" t="n">
        <f aca="false">IF(ISERROR(VLOOKUP($P437,Member_Tab,5,FALSE())),0,VLOOKUP($P437,Member_Tab,5,FALSE())*IF(AND(AH$5 &gt; VLOOKUP($P437,Member_Tab,6,FALSE()),AH$5 &lt; VLOOKUP($P437,Member_Tab,7,FALSE())),1,0))</f>
        <v>0</v>
      </c>
      <c r="AI539" s="184" t="n">
        <f aca="false">IF(ISERROR(VLOOKUP($P437,Member_Tab,5,FALSE())),0,VLOOKUP($P437,Member_Tab,5,FALSE())*IF(AND(AI$5 &gt; VLOOKUP($P437,Member_Tab,6,FALSE()),AI$5 &lt; VLOOKUP($P437,Member_Tab,7,FALSE())),1,0))</f>
        <v>0</v>
      </c>
      <c r="AJ539" s="184" t="n">
        <f aca="false">IF(ISERROR(VLOOKUP($P437,Member_Tab,5,FALSE())),0,VLOOKUP($P437,Member_Tab,5,FALSE())*IF(AND(AJ$5 &gt; VLOOKUP($P437,Member_Tab,6,FALSE()),AJ$5 &lt; VLOOKUP($P437,Member_Tab,7,FALSE())),1,0))</f>
        <v>0</v>
      </c>
      <c r="AK539" s="184" t="n">
        <f aca="false">IF(ISERROR(VLOOKUP($P437,Member_Tab,5,FALSE())),0,VLOOKUP($P437,Member_Tab,5,FALSE())*IF(AND(AK$5 &gt; VLOOKUP($P437,Member_Tab,6,FALSE()),AK$5 &lt; VLOOKUP($P437,Member_Tab,7,FALSE())),1,0))</f>
        <v>0</v>
      </c>
      <c r="AL539" s="184" t="n">
        <f aca="false">IF(ISERROR(VLOOKUP($P437,Member_Tab,5,FALSE())),0,VLOOKUP($P437,Member_Tab,5,FALSE())*IF(AND(AL$5 &gt; VLOOKUP($P437,Member_Tab,6,FALSE()),AL$5 &lt; VLOOKUP($P437,Member_Tab,7,FALSE())),1,0))</f>
        <v>0</v>
      </c>
      <c r="AM539" s="184" t="n">
        <f aca="false">IF(ISERROR(VLOOKUP($P437,Member_Tab,5,FALSE())),0,VLOOKUP($P437,Member_Tab,5,FALSE())*IF(AND(AM$5 &gt; VLOOKUP($P437,Member_Tab,6,FALSE()),AM$5 &lt; VLOOKUP($P437,Member_Tab,7,FALSE())),1,0))</f>
        <v>0</v>
      </c>
      <c r="AN539" s="184" t="n">
        <f aca="false">IF(ISERROR(VLOOKUP($P437,Member_Tab,5,FALSE())),0,VLOOKUP($P437,Member_Tab,5,FALSE())*IF(AND(AN$5 &gt; VLOOKUP($P437,Member_Tab,6,FALSE()),AN$5 &lt; VLOOKUP($P437,Member_Tab,7,FALSE())),1,0))</f>
        <v>0</v>
      </c>
      <c r="AO539" s="184" t="n">
        <f aca="false">IF(ISERROR(VLOOKUP($P437,Member_Tab,5,FALSE())),0,VLOOKUP($P437,Member_Tab,5,FALSE())*IF(AND(AO$5 &gt; VLOOKUP($P437,Member_Tab,6,FALSE()),AO$5 &lt; VLOOKUP($P437,Member_Tab,7,FALSE())),1,0))</f>
        <v>0</v>
      </c>
      <c r="AP539" s="184" t="n">
        <f aca="false">IF(ISERROR(VLOOKUP($P437,Member_Tab,5,FALSE())),0,VLOOKUP($P437,Member_Tab,5,FALSE())*IF(AND(AP$5 &gt; VLOOKUP($P437,Member_Tab,6,FALSE()),AP$5 &lt; VLOOKUP($P437,Member_Tab,7,FALSE())),1,0))</f>
        <v>0</v>
      </c>
      <c r="AQ539" s="184" t="n">
        <f aca="false">IF(ISERROR(VLOOKUP($P437,Member_Tab,5,FALSE())),0,VLOOKUP($P437,Member_Tab,5,FALSE())*IF(AND(AQ$5 &gt; VLOOKUP($P437,Member_Tab,6,FALSE()),AQ$5 &lt; VLOOKUP($P437,Member_Tab,7,FALSE())),1,0))</f>
        <v>0</v>
      </c>
      <c r="AR539" s="184" t="n">
        <f aca="false">IF(ISERROR(VLOOKUP($P437,Member_Tab,5,FALSE())),0,VLOOKUP($P437,Member_Tab,5,FALSE())*IF(AND(AR$5 &gt; VLOOKUP($P437,Member_Tab,6,FALSE()),AR$5 &lt; VLOOKUP($P437,Member_Tab,7,FALSE())),1,0))</f>
        <v>0</v>
      </c>
      <c r="AS539" s="184" t="n">
        <f aca="false">IF(ISERROR(VLOOKUP($P437,Member_Tab,5,FALSE())),0,VLOOKUP($P437,Member_Tab,5,FALSE())*IF(AND(AS$5 &gt; VLOOKUP($P437,Member_Tab,6,FALSE()),AS$5 &lt; VLOOKUP($P437,Member_Tab,7,FALSE())),1,0))</f>
        <v>0</v>
      </c>
      <c r="AT539" s="184" t="n">
        <f aca="false">IF(ISERROR(VLOOKUP($P437,Member_Tab,5,FALSE())),0,VLOOKUP($P437,Member_Tab,5,FALSE())*IF(AND(AT$5 &gt; VLOOKUP($P437,Member_Tab,6,FALSE()),AT$5 &lt; VLOOKUP($P437,Member_Tab,7,FALSE())),1,0))</f>
        <v>0</v>
      </c>
      <c r="AU539" s="184" t="n">
        <f aca="false">IF(ISERROR(VLOOKUP($P437,Member_Tab,5,FALSE())),0,VLOOKUP($P437,Member_Tab,5,FALSE())*IF(AND(AU$5 &gt; VLOOKUP($P437,Member_Tab,6,FALSE()),AU$5 &lt; VLOOKUP($P437,Member_Tab,7,FALSE())),1,0))</f>
        <v>0</v>
      </c>
      <c r="AV539" s="184" t="n">
        <f aca="false">IF(ISERROR(VLOOKUP($P437,Member_Tab,5,FALSE())),0,VLOOKUP($P437,Member_Tab,5,FALSE())*IF(AND(AV$5 &gt; VLOOKUP($P437,Member_Tab,6,FALSE()),AV$5 &lt; VLOOKUP($P437,Member_Tab,7,FALSE())),1,0))</f>
        <v>0</v>
      </c>
      <c r="AW539" s="184" t="n">
        <f aca="false">IF(ISERROR(VLOOKUP($P437,Member_Tab,5,FALSE())),0,VLOOKUP($P437,Member_Tab,5,FALSE())*IF(AND(AW$5 &gt; VLOOKUP($P437,Member_Tab,6,FALSE()),AW$5 &lt; VLOOKUP($P437,Member_Tab,7,FALSE())),1,0))</f>
        <v>0</v>
      </c>
      <c r="AX539" s="184" t="n">
        <f aca="false">IF(ISERROR(VLOOKUP($P437,Member_Tab,5,FALSE())),0,VLOOKUP($P437,Member_Tab,5,FALSE())*IF(AND(AX$5 &gt; VLOOKUP($P437,Member_Tab,6,FALSE()),AX$5 &lt; VLOOKUP($P437,Member_Tab,7,FALSE())),1,0))</f>
        <v>0</v>
      </c>
      <c r="AY539" s="184" t="n">
        <f aca="false">IF(ISERROR(VLOOKUP($P437,Member_Tab,5,FALSE())),0,VLOOKUP($P437,Member_Tab,5,FALSE())*IF(AND(AY$5 &gt; VLOOKUP($P437,Member_Tab,6,FALSE()),AY$5 &lt; VLOOKUP($P437,Member_Tab,7,FALSE())),1,0))</f>
        <v>0</v>
      </c>
      <c r="AZ539" s="184" t="n">
        <f aca="false">IF(ISERROR(VLOOKUP($P437,Member_Tab,5,FALSE())),0,VLOOKUP($P437,Member_Tab,5,FALSE())*IF(AND(AZ$5 &gt; VLOOKUP($P437,Member_Tab,6,FALSE()),AZ$5 &lt; VLOOKUP($P437,Member_Tab,7,FALSE())),1,0))</f>
        <v>0</v>
      </c>
      <c r="BA539" s="184" t="n">
        <f aca="false">IF(ISERROR(VLOOKUP($P437,Member_Tab,5,FALSE())),0,VLOOKUP($P437,Member_Tab,5,FALSE())*IF(AND(BA$5 &gt; VLOOKUP($P437,Member_Tab,6,FALSE()),BA$5 &lt; VLOOKUP($P437,Member_Tab,7,FALSE())),1,0))</f>
        <v>0</v>
      </c>
      <c r="BB539" s="184" t="n">
        <f aca="false">IF(ISERROR(VLOOKUP($P437,Member_Tab,5,FALSE())),0,VLOOKUP($P437,Member_Tab,5,FALSE())*IF(AND(BB$5 &gt; VLOOKUP($P437,Member_Tab,6,FALSE()),BB$5 &lt; VLOOKUP($P437,Member_Tab,7,FALSE())),1,0))</f>
        <v>0</v>
      </c>
    </row>
    <row r="540" s="173" customFormat="true" ht="15.75" hidden="true" customHeight="false" outlineLevel="1" collapsed="false">
      <c r="E540" s="40"/>
      <c r="K540" s="40"/>
      <c r="L540" s="40"/>
      <c r="M540" s="40"/>
      <c r="N540" s="40"/>
      <c r="P540" s="183" t="n">
        <f aca="false">P438</f>
        <v>0</v>
      </c>
      <c r="Q540" s="40"/>
      <c r="R540" s="182"/>
      <c r="S540" s="184" t="n">
        <f aca="false">IF(ISERROR(VLOOKUP($P438,Member_Tab,5,FALSE())),0,VLOOKUP($P438,Member_Tab,5,FALSE())*IF(AND(S$5 &gt; VLOOKUP($P438,Member_Tab,6,FALSE()),S$5 &lt; VLOOKUP($P438,Member_Tab,7,FALSE())),1,0))</f>
        <v>0</v>
      </c>
      <c r="T540" s="184" t="n">
        <f aca="false">IF(ISERROR(VLOOKUP($P438,Member_Tab,5,FALSE())),0,VLOOKUP($P438,Member_Tab,5,FALSE())*IF(AND(T$5 &gt; VLOOKUP($P438,Member_Tab,6,FALSE()),T$5 &lt; VLOOKUP($P438,Member_Tab,7,FALSE())),1,0))</f>
        <v>0</v>
      </c>
      <c r="U540" s="184" t="n">
        <f aca="false">IF(ISERROR(VLOOKUP($P438,Member_Tab,5,FALSE())),0,VLOOKUP($P438,Member_Tab,5,FALSE())*IF(AND(U$5 &gt; VLOOKUP($P438,Member_Tab,6,FALSE()),U$5 &lt; VLOOKUP($P438,Member_Tab,7,FALSE())),1,0))</f>
        <v>0</v>
      </c>
      <c r="V540" s="184" t="n">
        <f aca="false">IF(ISERROR(VLOOKUP($P438,Member_Tab,5,FALSE())),0,VLOOKUP($P438,Member_Tab,5,FALSE())*IF(AND(V$5 &gt; VLOOKUP($P438,Member_Tab,6,FALSE()),V$5 &lt; VLOOKUP($P438,Member_Tab,7,FALSE())),1,0))</f>
        <v>0</v>
      </c>
      <c r="W540" s="184" t="n">
        <f aca="false">IF(ISERROR(VLOOKUP($P438,Member_Tab,5,FALSE())),0,VLOOKUP($P438,Member_Tab,5,FALSE())*IF(AND(W$5 &gt; VLOOKUP($P438,Member_Tab,6,FALSE()),W$5 &lt; VLOOKUP($P438,Member_Tab,7,FALSE())),1,0))</f>
        <v>0</v>
      </c>
      <c r="X540" s="184" t="n">
        <f aca="false">IF(ISERROR(VLOOKUP($P438,Member_Tab,5,FALSE())),0,VLOOKUP($P438,Member_Tab,5,FALSE())*IF(AND(X$5 &gt; VLOOKUP($P438,Member_Tab,6,FALSE()),X$5 &lt; VLOOKUP($P438,Member_Tab,7,FALSE())),1,0))</f>
        <v>0</v>
      </c>
      <c r="Y540" s="184" t="n">
        <f aca="false">IF(ISERROR(VLOOKUP($P438,Member_Tab,5,FALSE())),0,VLOOKUP($P438,Member_Tab,5,FALSE())*IF(AND(Y$5 &gt; VLOOKUP($P438,Member_Tab,6,FALSE()),Y$5 &lt; VLOOKUP($P438,Member_Tab,7,FALSE())),1,0))</f>
        <v>0</v>
      </c>
      <c r="Z540" s="184" t="n">
        <f aca="false">IF(ISERROR(VLOOKUP($P438,Member_Tab,5,FALSE())),0,VLOOKUP($P438,Member_Tab,5,FALSE())*IF(AND(Z$5 &gt; VLOOKUP($P438,Member_Tab,6,FALSE()),Z$5 &lt; VLOOKUP($P438,Member_Tab,7,FALSE())),1,0))</f>
        <v>0</v>
      </c>
      <c r="AA540" s="184" t="n">
        <f aca="false">IF(ISERROR(VLOOKUP($P438,Member_Tab,5,FALSE())),0,VLOOKUP($P438,Member_Tab,5,FALSE())*IF(AND(AA$5 &gt; VLOOKUP($P438,Member_Tab,6,FALSE()),AA$5 &lt; VLOOKUP($P438,Member_Tab,7,FALSE())),1,0))</f>
        <v>0</v>
      </c>
      <c r="AB540" s="184" t="n">
        <f aca="false">IF(ISERROR(VLOOKUP($P438,Member_Tab,5,FALSE())),0,VLOOKUP($P438,Member_Tab,5,FALSE())*IF(AND(AB$5 &gt; VLOOKUP($P438,Member_Tab,6,FALSE()),AB$5 &lt; VLOOKUP($P438,Member_Tab,7,FALSE())),1,0))</f>
        <v>0</v>
      </c>
      <c r="AC540" s="184" t="n">
        <f aca="false">IF(ISERROR(VLOOKUP($P438,Member_Tab,5,FALSE())),0,VLOOKUP($P438,Member_Tab,5,FALSE())*IF(AND(AC$5 &gt; VLOOKUP($P438,Member_Tab,6,FALSE()),AC$5 &lt; VLOOKUP($P438,Member_Tab,7,FALSE())),1,0))</f>
        <v>0</v>
      </c>
      <c r="AD540" s="184" t="n">
        <f aca="false">IF(ISERROR(VLOOKUP($P438,Member_Tab,5,FALSE())),0,VLOOKUP($P438,Member_Tab,5,FALSE())*IF(AND(AD$5 &gt; VLOOKUP($P438,Member_Tab,6,FALSE()),AD$5 &lt; VLOOKUP($P438,Member_Tab,7,FALSE())),1,0))</f>
        <v>0</v>
      </c>
      <c r="AE540" s="184" t="n">
        <f aca="false">IF(ISERROR(VLOOKUP($P438,Member_Tab,5,FALSE())),0,VLOOKUP($P438,Member_Tab,5,FALSE())*IF(AND(AE$5 &gt; VLOOKUP($P438,Member_Tab,6,FALSE()),AE$5 &lt; VLOOKUP($P438,Member_Tab,7,FALSE())),1,0))</f>
        <v>0</v>
      </c>
      <c r="AF540" s="184" t="n">
        <f aca="false">IF(ISERROR(VLOOKUP($P438,Member_Tab,5,FALSE())),0,VLOOKUP($P438,Member_Tab,5,FALSE())*IF(AND(AF$5 &gt; VLOOKUP($P438,Member_Tab,6,FALSE()),AF$5 &lt; VLOOKUP($P438,Member_Tab,7,FALSE())),1,0))</f>
        <v>0</v>
      </c>
      <c r="AG540" s="184" t="n">
        <f aca="false">IF(ISERROR(VLOOKUP($P438,Member_Tab,5,FALSE())),0,VLOOKUP($P438,Member_Tab,5,FALSE())*IF(AND(AG$5 &gt; VLOOKUP($P438,Member_Tab,6,FALSE()),AG$5 &lt; VLOOKUP($P438,Member_Tab,7,FALSE())),1,0))</f>
        <v>0</v>
      </c>
      <c r="AH540" s="184" t="n">
        <f aca="false">IF(ISERROR(VLOOKUP($P438,Member_Tab,5,FALSE())),0,VLOOKUP($P438,Member_Tab,5,FALSE())*IF(AND(AH$5 &gt; VLOOKUP($P438,Member_Tab,6,FALSE()),AH$5 &lt; VLOOKUP($P438,Member_Tab,7,FALSE())),1,0))</f>
        <v>0</v>
      </c>
      <c r="AI540" s="184" t="n">
        <f aca="false">IF(ISERROR(VLOOKUP($P438,Member_Tab,5,FALSE())),0,VLOOKUP($P438,Member_Tab,5,FALSE())*IF(AND(AI$5 &gt; VLOOKUP($P438,Member_Tab,6,FALSE()),AI$5 &lt; VLOOKUP($P438,Member_Tab,7,FALSE())),1,0))</f>
        <v>0</v>
      </c>
      <c r="AJ540" s="184" t="n">
        <f aca="false">IF(ISERROR(VLOOKUP($P438,Member_Tab,5,FALSE())),0,VLOOKUP($P438,Member_Tab,5,FALSE())*IF(AND(AJ$5 &gt; VLOOKUP($P438,Member_Tab,6,FALSE()),AJ$5 &lt; VLOOKUP($P438,Member_Tab,7,FALSE())),1,0))</f>
        <v>0</v>
      </c>
      <c r="AK540" s="184" t="n">
        <f aca="false">IF(ISERROR(VLOOKUP($P438,Member_Tab,5,FALSE())),0,VLOOKUP($P438,Member_Tab,5,FALSE())*IF(AND(AK$5 &gt; VLOOKUP($P438,Member_Tab,6,FALSE()),AK$5 &lt; VLOOKUP($P438,Member_Tab,7,FALSE())),1,0))</f>
        <v>0</v>
      </c>
      <c r="AL540" s="184" t="n">
        <f aca="false">IF(ISERROR(VLOOKUP($P438,Member_Tab,5,FALSE())),0,VLOOKUP($P438,Member_Tab,5,FALSE())*IF(AND(AL$5 &gt; VLOOKUP($P438,Member_Tab,6,FALSE()),AL$5 &lt; VLOOKUP($P438,Member_Tab,7,FALSE())),1,0))</f>
        <v>0</v>
      </c>
      <c r="AM540" s="184" t="n">
        <f aca="false">IF(ISERROR(VLOOKUP($P438,Member_Tab,5,FALSE())),0,VLOOKUP($P438,Member_Tab,5,FALSE())*IF(AND(AM$5 &gt; VLOOKUP($P438,Member_Tab,6,FALSE()),AM$5 &lt; VLOOKUP($P438,Member_Tab,7,FALSE())),1,0))</f>
        <v>0</v>
      </c>
      <c r="AN540" s="184" t="n">
        <f aca="false">IF(ISERROR(VLOOKUP($P438,Member_Tab,5,FALSE())),0,VLOOKUP($P438,Member_Tab,5,FALSE())*IF(AND(AN$5 &gt; VLOOKUP($P438,Member_Tab,6,FALSE()),AN$5 &lt; VLOOKUP($P438,Member_Tab,7,FALSE())),1,0))</f>
        <v>0</v>
      </c>
      <c r="AO540" s="184" t="n">
        <f aca="false">IF(ISERROR(VLOOKUP($P438,Member_Tab,5,FALSE())),0,VLOOKUP($P438,Member_Tab,5,FALSE())*IF(AND(AO$5 &gt; VLOOKUP($P438,Member_Tab,6,FALSE()),AO$5 &lt; VLOOKUP($P438,Member_Tab,7,FALSE())),1,0))</f>
        <v>0</v>
      </c>
      <c r="AP540" s="184" t="n">
        <f aca="false">IF(ISERROR(VLOOKUP($P438,Member_Tab,5,FALSE())),0,VLOOKUP($P438,Member_Tab,5,FALSE())*IF(AND(AP$5 &gt; VLOOKUP($P438,Member_Tab,6,FALSE()),AP$5 &lt; VLOOKUP($P438,Member_Tab,7,FALSE())),1,0))</f>
        <v>0</v>
      </c>
      <c r="AQ540" s="184" t="n">
        <f aca="false">IF(ISERROR(VLOOKUP($P438,Member_Tab,5,FALSE())),0,VLOOKUP($P438,Member_Tab,5,FALSE())*IF(AND(AQ$5 &gt; VLOOKUP($P438,Member_Tab,6,FALSE()),AQ$5 &lt; VLOOKUP($P438,Member_Tab,7,FALSE())),1,0))</f>
        <v>0</v>
      </c>
      <c r="AR540" s="184" t="n">
        <f aca="false">IF(ISERROR(VLOOKUP($P438,Member_Tab,5,FALSE())),0,VLOOKUP($P438,Member_Tab,5,FALSE())*IF(AND(AR$5 &gt; VLOOKUP($P438,Member_Tab,6,FALSE()),AR$5 &lt; VLOOKUP($P438,Member_Tab,7,FALSE())),1,0))</f>
        <v>0</v>
      </c>
      <c r="AS540" s="184" t="n">
        <f aca="false">IF(ISERROR(VLOOKUP($P438,Member_Tab,5,FALSE())),0,VLOOKUP($P438,Member_Tab,5,FALSE())*IF(AND(AS$5 &gt; VLOOKUP($P438,Member_Tab,6,FALSE()),AS$5 &lt; VLOOKUP($P438,Member_Tab,7,FALSE())),1,0))</f>
        <v>0</v>
      </c>
      <c r="AT540" s="184" t="n">
        <f aca="false">IF(ISERROR(VLOOKUP($P438,Member_Tab,5,FALSE())),0,VLOOKUP($P438,Member_Tab,5,FALSE())*IF(AND(AT$5 &gt; VLOOKUP($P438,Member_Tab,6,FALSE()),AT$5 &lt; VLOOKUP($P438,Member_Tab,7,FALSE())),1,0))</f>
        <v>0</v>
      </c>
      <c r="AU540" s="184" t="n">
        <f aca="false">IF(ISERROR(VLOOKUP($P438,Member_Tab,5,FALSE())),0,VLOOKUP($P438,Member_Tab,5,FALSE())*IF(AND(AU$5 &gt; VLOOKUP($P438,Member_Tab,6,FALSE()),AU$5 &lt; VLOOKUP($P438,Member_Tab,7,FALSE())),1,0))</f>
        <v>0</v>
      </c>
      <c r="AV540" s="184" t="n">
        <f aca="false">IF(ISERROR(VLOOKUP($P438,Member_Tab,5,FALSE())),0,VLOOKUP($P438,Member_Tab,5,FALSE())*IF(AND(AV$5 &gt; VLOOKUP($P438,Member_Tab,6,FALSE()),AV$5 &lt; VLOOKUP($P438,Member_Tab,7,FALSE())),1,0))</f>
        <v>0</v>
      </c>
      <c r="AW540" s="184" t="n">
        <f aca="false">IF(ISERROR(VLOOKUP($P438,Member_Tab,5,FALSE())),0,VLOOKUP($P438,Member_Tab,5,FALSE())*IF(AND(AW$5 &gt; VLOOKUP($P438,Member_Tab,6,FALSE()),AW$5 &lt; VLOOKUP($P438,Member_Tab,7,FALSE())),1,0))</f>
        <v>0</v>
      </c>
      <c r="AX540" s="184" t="n">
        <f aca="false">IF(ISERROR(VLOOKUP($P438,Member_Tab,5,FALSE())),0,VLOOKUP($P438,Member_Tab,5,FALSE())*IF(AND(AX$5 &gt; VLOOKUP($P438,Member_Tab,6,FALSE()),AX$5 &lt; VLOOKUP($P438,Member_Tab,7,FALSE())),1,0))</f>
        <v>0</v>
      </c>
      <c r="AY540" s="184" t="n">
        <f aca="false">IF(ISERROR(VLOOKUP($P438,Member_Tab,5,FALSE())),0,VLOOKUP($P438,Member_Tab,5,FALSE())*IF(AND(AY$5 &gt; VLOOKUP($P438,Member_Tab,6,FALSE()),AY$5 &lt; VLOOKUP($P438,Member_Tab,7,FALSE())),1,0))</f>
        <v>0</v>
      </c>
      <c r="AZ540" s="184" t="n">
        <f aca="false">IF(ISERROR(VLOOKUP($P438,Member_Tab,5,FALSE())),0,VLOOKUP($P438,Member_Tab,5,FALSE())*IF(AND(AZ$5 &gt; VLOOKUP($P438,Member_Tab,6,FALSE()),AZ$5 &lt; VLOOKUP($P438,Member_Tab,7,FALSE())),1,0))</f>
        <v>0</v>
      </c>
      <c r="BA540" s="184" t="n">
        <f aca="false">IF(ISERROR(VLOOKUP($P438,Member_Tab,5,FALSE())),0,VLOOKUP($P438,Member_Tab,5,FALSE())*IF(AND(BA$5 &gt; VLOOKUP($P438,Member_Tab,6,FALSE()),BA$5 &lt; VLOOKUP($P438,Member_Tab,7,FALSE())),1,0))</f>
        <v>0</v>
      </c>
      <c r="BB540" s="184" t="n">
        <f aca="false">IF(ISERROR(VLOOKUP($P438,Member_Tab,5,FALSE())),0,VLOOKUP($P438,Member_Tab,5,FALSE())*IF(AND(BB$5 &gt; VLOOKUP($P438,Member_Tab,6,FALSE()),BB$5 &lt; VLOOKUP($P438,Member_Tab,7,FALSE())),1,0))</f>
        <v>0</v>
      </c>
    </row>
    <row r="541" s="173" customFormat="true" ht="15.75" hidden="true" customHeight="false" outlineLevel="1" collapsed="false">
      <c r="E541" s="40"/>
      <c r="K541" s="40"/>
      <c r="L541" s="40"/>
      <c r="M541" s="40"/>
      <c r="N541" s="40"/>
      <c r="P541" s="183" t="n">
        <f aca="false">P439</f>
        <v>0</v>
      </c>
      <c r="Q541" s="40"/>
      <c r="R541" s="182"/>
      <c r="S541" s="184" t="n">
        <f aca="false">IF(ISERROR(VLOOKUP($P439,Member_Tab,5,FALSE())),0,VLOOKUP($P439,Member_Tab,5,FALSE())*IF(AND(S$5 &gt; VLOOKUP($P439,Member_Tab,6,FALSE()),S$5 &lt; VLOOKUP($P439,Member_Tab,7,FALSE())),1,0))</f>
        <v>0</v>
      </c>
      <c r="T541" s="184" t="n">
        <f aca="false">IF(ISERROR(VLOOKUP($P439,Member_Tab,5,FALSE())),0,VLOOKUP($P439,Member_Tab,5,FALSE())*IF(AND(T$5 &gt; VLOOKUP($P439,Member_Tab,6,FALSE()),T$5 &lt; VLOOKUP($P439,Member_Tab,7,FALSE())),1,0))</f>
        <v>0</v>
      </c>
      <c r="U541" s="184" t="n">
        <f aca="false">IF(ISERROR(VLOOKUP($P439,Member_Tab,5,FALSE())),0,VLOOKUP($P439,Member_Tab,5,FALSE())*IF(AND(U$5 &gt; VLOOKUP($P439,Member_Tab,6,FALSE()),U$5 &lt; VLOOKUP($P439,Member_Tab,7,FALSE())),1,0))</f>
        <v>0</v>
      </c>
      <c r="V541" s="184" t="n">
        <f aca="false">IF(ISERROR(VLOOKUP($P439,Member_Tab,5,FALSE())),0,VLOOKUP($P439,Member_Tab,5,FALSE())*IF(AND(V$5 &gt; VLOOKUP($P439,Member_Tab,6,FALSE()),V$5 &lt; VLOOKUP($P439,Member_Tab,7,FALSE())),1,0))</f>
        <v>0</v>
      </c>
      <c r="W541" s="184" t="n">
        <f aca="false">IF(ISERROR(VLOOKUP($P439,Member_Tab,5,FALSE())),0,VLOOKUP($P439,Member_Tab,5,FALSE())*IF(AND(W$5 &gt; VLOOKUP($P439,Member_Tab,6,FALSE()),W$5 &lt; VLOOKUP($P439,Member_Tab,7,FALSE())),1,0))</f>
        <v>0</v>
      </c>
      <c r="X541" s="184" t="n">
        <f aca="false">IF(ISERROR(VLOOKUP($P439,Member_Tab,5,FALSE())),0,VLOOKUP($P439,Member_Tab,5,FALSE())*IF(AND(X$5 &gt; VLOOKUP($P439,Member_Tab,6,FALSE()),X$5 &lt; VLOOKUP($P439,Member_Tab,7,FALSE())),1,0))</f>
        <v>0</v>
      </c>
      <c r="Y541" s="184" t="n">
        <f aca="false">IF(ISERROR(VLOOKUP($P439,Member_Tab,5,FALSE())),0,VLOOKUP($P439,Member_Tab,5,FALSE())*IF(AND(Y$5 &gt; VLOOKUP($P439,Member_Tab,6,FALSE()),Y$5 &lt; VLOOKUP($P439,Member_Tab,7,FALSE())),1,0))</f>
        <v>0</v>
      </c>
      <c r="Z541" s="184" t="n">
        <f aca="false">IF(ISERROR(VLOOKUP($P439,Member_Tab,5,FALSE())),0,VLOOKUP($P439,Member_Tab,5,FALSE())*IF(AND(Z$5 &gt; VLOOKUP($P439,Member_Tab,6,FALSE()),Z$5 &lt; VLOOKUP($P439,Member_Tab,7,FALSE())),1,0))</f>
        <v>0</v>
      </c>
      <c r="AA541" s="184" t="n">
        <f aca="false">IF(ISERROR(VLOOKUP($P439,Member_Tab,5,FALSE())),0,VLOOKUP($P439,Member_Tab,5,FALSE())*IF(AND(AA$5 &gt; VLOOKUP($P439,Member_Tab,6,FALSE()),AA$5 &lt; VLOOKUP($P439,Member_Tab,7,FALSE())),1,0))</f>
        <v>0</v>
      </c>
      <c r="AB541" s="184" t="n">
        <f aca="false">IF(ISERROR(VLOOKUP($P439,Member_Tab,5,FALSE())),0,VLOOKUP($P439,Member_Tab,5,FALSE())*IF(AND(AB$5 &gt; VLOOKUP($P439,Member_Tab,6,FALSE()),AB$5 &lt; VLOOKUP($P439,Member_Tab,7,FALSE())),1,0))</f>
        <v>0</v>
      </c>
      <c r="AC541" s="184" t="n">
        <f aca="false">IF(ISERROR(VLOOKUP($P439,Member_Tab,5,FALSE())),0,VLOOKUP($P439,Member_Tab,5,FALSE())*IF(AND(AC$5 &gt; VLOOKUP($P439,Member_Tab,6,FALSE()),AC$5 &lt; VLOOKUP($P439,Member_Tab,7,FALSE())),1,0))</f>
        <v>0</v>
      </c>
      <c r="AD541" s="184" t="n">
        <f aca="false">IF(ISERROR(VLOOKUP($P439,Member_Tab,5,FALSE())),0,VLOOKUP($P439,Member_Tab,5,FALSE())*IF(AND(AD$5 &gt; VLOOKUP($P439,Member_Tab,6,FALSE()),AD$5 &lt; VLOOKUP($P439,Member_Tab,7,FALSE())),1,0))</f>
        <v>0</v>
      </c>
      <c r="AE541" s="184" t="n">
        <f aca="false">IF(ISERROR(VLOOKUP($P439,Member_Tab,5,FALSE())),0,VLOOKUP($P439,Member_Tab,5,FALSE())*IF(AND(AE$5 &gt; VLOOKUP($P439,Member_Tab,6,FALSE()),AE$5 &lt; VLOOKUP($P439,Member_Tab,7,FALSE())),1,0))</f>
        <v>0</v>
      </c>
      <c r="AF541" s="184" t="n">
        <f aca="false">IF(ISERROR(VLOOKUP($P439,Member_Tab,5,FALSE())),0,VLOOKUP($P439,Member_Tab,5,FALSE())*IF(AND(AF$5 &gt; VLOOKUP($P439,Member_Tab,6,FALSE()),AF$5 &lt; VLOOKUP($P439,Member_Tab,7,FALSE())),1,0))</f>
        <v>0</v>
      </c>
      <c r="AG541" s="184" t="n">
        <f aca="false">IF(ISERROR(VLOOKUP($P439,Member_Tab,5,FALSE())),0,VLOOKUP($P439,Member_Tab,5,FALSE())*IF(AND(AG$5 &gt; VLOOKUP($P439,Member_Tab,6,FALSE()),AG$5 &lt; VLOOKUP($P439,Member_Tab,7,FALSE())),1,0))</f>
        <v>0</v>
      </c>
      <c r="AH541" s="184" t="n">
        <f aca="false">IF(ISERROR(VLOOKUP($P439,Member_Tab,5,FALSE())),0,VLOOKUP($P439,Member_Tab,5,FALSE())*IF(AND(AH$5 &gt; VLOOKUP($P439,Member_Tab,6,FALSE()),AH$5 &lt; VLOOKUP($P439,Member_Tab,7,FALSE())),1,0))</f>
        <v>0</v>
      </c>
      <c r="AI541" s="184" t="n">
        <f aca="false">IF(ISERROR(VLOOKUP($P439,Member_Tab,5,FALSE())),0,VLOOKUP($P439,Member_Tab,5,FALSE())*IF(AND(AI$5 &gt; VLOOKUP($P439,Member_Tab,6,FALSE()),AI$5 &lt; VLOOKUP($P439,Member_Tab,7,FALSE())),1,0))</f>
        <v>0</v>
      </c>
      <c r="AJ541" s="184" t="n">
        <f aca="false">IF(ISERROR(VLOOKUP($P439,Member_Tab,5,FALSE())),0,VLOOKUP($P439,Member_Tab,5,FALSE())*IF(AND(AJ$5 &gt; VLOOKUP($P439,Member_Tab,6,FALSE()),AJ$5 &lt; VLOOKUP($P439,Member_Tab,7,FALSE())),1,0))</f>
        <v>0</v>
      </c>
      <c r="AK541" s="184" t="n">
        <f aca="false">IF(ISERROR(VLOOKUP($P439,Member_Tab,5,FALSE())),0,VLOOKUP($P439,Member_Tab,5,FALSE())*IF(AND(AK$5 &gt; VLOOKUP($P439,Member_Tab,6,FALSE()),AK$5 &lt; VLOOKUP($P439,Member_Tab,7,FALSE())),1,0))</f>
        <v>0</v>
      </c>
      <c r="AL541" s="184" t="n">
        <f aca="false">IF(ISERROR(VLOOKUP($P439,Member_Tab,5,FALSE())),0,VLOOKUP($P439,Member_Tab,5,FALSE())*IF(AND(AL$5 &gt; VLOOKUP($P439,Member_Tab,6,FALSE()),AL$5 &lt; VLOOKUP($P439,Member_Tab,7,FALSE())),1,0))</f>
        <v>0</v>
      </c>
      <c r="AM541" s="184" t="n">
        <f aca="false">IF(ISERROR(VLOOKUP($P439,Member_Tab,5,FALSE())),0,VLOOKUP($P439,Member_Tab,5,FALSE())*IF(AND(AM$5 &gt; VLOOKUP($P439,Member_Tab,6,FALSE()),AM$5 &lt; VLOOKUP($P439,Member_Tab,7,FALSE())),1,0))</f>
        <v>0</v>
      </c>
      <c r="AN541" s="184" t="n">
        <f aca="false">IF(ISERROR(VLOOKUP($P439,Member_Tab,5,FALSE())),0,VLOOKUP($P439,Member_Tab,5,FALSE())*IF(AND(AN$5 &gt; VLOOKUP($P439,Member_Tab,6,FALSE()),AN$5 &lt; VLOOKUP($P439,Member_Tab,7,FALSE())),1,0))</f>
        <v>0</v>
      </c>
      <c r="AO541" s="184" t="n">
        <f aca="false">IF(ISERROR(VLOOKUP($P439,Member_Tab,5,FALSE())),0,VLOOKUP($P439,Member_Tab,5,FALSE())*IF(AND(AO$5 &gt; VLOOKUP($P439,Member_Tab,6,FALSE()),AO$5 &lt; VLOOKUP($P439,Member_Tab,7,FALSE())),1,0))</f>
        <v>0</v>
      </c>
      <c r="AP541" s="184" t="n">
        <f aca="false">IF(ISERROR(VLOOKUP($P439,Member_Tab,5,FALSE())),0,VLOOKUP($P439,Member_Tab,5,FALSE())*IF(AND(AP$5 &gt; VLOOKUP($P439,Member_Tab,6,FALSE()),AP$5 &lt; VLOOKUP($P439,Member_Tab,7,FALSE())),1,0))</f>
        <v>0</v>
      </c>
      <c r="AQ541" s="184" t="n">
        <f aca="false">IF(ISERROR(VLOOKUP($P439,Member_Tab,5,FALSE())),0,VLOOKUP($P439,Member_Tab,5,FALSE())*IF(AND(AQ$5 &gt; VLOOKUP($P439,Member_Tab,6,FALSE()),AQ$5 &lt; VLOOKUP($P439,Member_Tab,7,FALSE())),1,0))</f>
        <v>0</v>
      </c>
      <c r="AR541" s="184" t="n">
        <f aca="false">IF(ISERROR(VLOOKUP($P439,Member_Tab,5,FALSE())),0,VLOOKUP($P439,Member_Tab,5,FALSE())*IF(AND(AR$5 &gt; VLOOKUP($P439,Member_Tab,6,FALSE()),AR$5 &lt; VLOOKUP($P439,Member_Tab,7,FALSE())),1,0))</f>
        <v>0</v>
      </c>
      <c r="AS541" s="184" t="n">
        <f aca="false">IF(ISERROR(VLOOKUP($P439,Member_Tab,5,FALSE())),0,VLOOKUP($P439,Member_Tab,5,FALSE())*IF(AND(AS$5 &gt; VLOOKUP($P439,Member_Tab,6,FALSE()),AS$5 &lt; VLOOKUP($P439,Member_Tab,7,FALSE())),1,0))</f>
        <v>0</v>
      </c>
      <c r="AT541" s="184" t="n">
        <f aca="false">IF(ISERROR(VLOOKUP($P439,Member_Tab,5,FALSE())),0,VLOOKUP($P439,Member_Tab,5,FALSE())*IF(AND(AT$5 &gt; VLOOKUP($P439,Member_Tab,6,FALSE()),AT$5 &lt; VLOOKUP($P439,Member_Tab,7,FALSE())),1,0))</f>
        <v>0</v>
      </c>
      <c r="AU541" s="184" t="n">
        <f aca="false">IF(ISERROR(VLOOKUP($P439,Member_Tab,5,FALSE())),0,VLOOKUP($P439,Member_Tab,5,FALSE())*IF(AND(AU$5 &gt; VLOOKUP($P439,Member_Tab,6,FALSE()),AU$5 &lt; VLOOKUP($P439,Member_Tab,7,FALSE())),1,0))</f>
        <v>0</v>
      </c>
      <c r="AV541" s="184" t="n">
        <f aca="false">IF(ISERROR(VLOOKUP($P439,Member_Tab,5,FALSE())),0,VLOOKUP($P439,Member_Tab,5,FALSE())*IF(AND(AV$5 &gt; VLOOKUP($P439,Member_Tab,6,FALSE()),AV$5 &lt; VLOOKUP($P439,Member_Tab,7,FALSE())),1,0))</f>
        <v>0</v>
      </c>
      <c r="AW541" s="184" t="n">
        <f aca="false">IF(ISERROR(VLOOKUP($P439,Member_Tab,5,FALSE())),0,VLOOKUP($P439,Member_Tab,5,FALSE())*IF(AND(AW$5 &gt; VLOOKUP($P439,Member_Tab,6,FALSE()),AW$5 &lt; VLOOKUP($P439,Member_Tab,7,FALSE())),1,0))</f>
        <v>0</v>
      </c>
      <c r="AX541" s="184" t="n">
        <f aca="false">IF(ISERROR(VLOOKUP($P439,Member_Tab,5,FALSE())),0,VLOOKUP($P439,Member_Tab,5,FALSE())*IF(AND(AX$5 &gt; VLOOKUP($P439,Member_Tab,6,FALSE()),AX$5 &lt; VLOOKUP($P439,Member_Tab,7,FALSE())),1,0))</f>
        <v>0</v>
      </c>
      <c r="AY541" s="184" t="n">
        <f aca="false">IF(ISERROR(VLOOKUP($P439,Member_Tab,5,FALSE())),0,VLOOKUP($P439,Member_Tab,5,FALSE())*IF(AND(AY$5 &gt; VLOOKUP($P439,Member_Tab,6,FALSE()),AY$5 &lt; VLOOKUP($P439,Member_Tab,7,FALSE())),1,0))</f>
        <v>0</v>
      </c>
      <c r="AZ541" s="184" t="n">
        <f aca="false">IF(ISERROR(VLOOKUP($P439,Member_Tab,5,FALSE())),0,VLOOKUP($P439,Member_Tab,5,FALSE())*IF(AND(AZ$5 &gt; VLOOKUP($P439,Member_Tab,6,FALSE()),AZ$5 &lt; VLOOKUP($P439,Member_Tab,7,FALSE())),1,0))</f>
        <v>0</v>
      </c>
      <c r="BA541" s="184" t="n">
        <f aca="false">IF(ISERROR(VLOOKUP($P439,Member_Tab,5,FALSE())),0,VLOOKUP($P439,Member_Tab,5,FALSE())*IF(AND(BA$5 &gt; VLOOKUP($P439,Member_Tab,6,FALSE()),BA$5 &lt; VLOOKUP($P439,Member_Tab,7,FALSE())),1,0))</f>
        <v>0</v>
      </c>
      <c r="BB541" s="184" t="n">
        <f aca="false">IF(ISERROR(VLOOKUP($P439,Member_Tab,5,FALSE())),0,VLOOKUP($P439,Member_Tab,5,FALSE())*IF(AND(BB$5 &gt; VLOOKUP($P439,Member_Tab,6,FALSE()),BB$5 &lt; VLOOKUP($P439,Member_Tab,7,FALSE())),1,0))</f>
        <v>0</v>
      </c>
    </row>
    <row r="542" s="173" customFormat="true" ht="15.75" hidden="true" customHeight="false" outlineLevel="1" collapsed="false">
      <c r="E542" s="40"/>
      <c r="K542" s="40"/>
      <c r="L542" s="40"/>
      <c r="M542" s="40"/>
      <c r="N542" s="40"/>
      <c r="P542" s="183" t="n">
        <f aca="false">P440</f>
        <v>0</v>
      </c>
      <c r="Q542" s="40"/>
      <c r="R542" s="182"/>
      <c r="S542" s="184" t="n">
        <f aca="false">IF(ISERROR(VLOOKUP($P440,Member_Tab,5,FALSE())),0,VLOOKUP($P440,Member_Tab,5,FALSE())*IF(AND(S$5 &gt; VLOOKUP($P440,Member_Tab,6,FALSE()),S$5 &lt; VLOOKUP($P440,Member_Tab,7,FALSE())),1,0))</f>
        <v>0</v>
      </c>
      <c r="T542" s="184" t="n">
        <f aca="false">IF(ISERROR(VLOOKUP($P440,Member_Tab,5,FALSE())),0,VLOOKUP($P440,Member_Tab,5,FALSE())*IF(AND(T$5 &gt; VLOOKUP($P440,Member_Tab,6,FALSE()),T$5 &lt; VLOOKUP($P440,Member_Tab,7,FALSE())),1,0))</f>
        <v>0</v>
      </c>
      <c r="U542" s="184" t="n">
        <f aca="false">IF(ISERROR(VLOOKUP($P440,Member_Tab,5,FALSE())),0,VLOOKUP($P440,Member_Tab,5,FALSE())*IF(AND(U$5 &gt; VLOOKUP($P440,Member_Tab,6,FALSE()),U$5 &lt; VLOOKUP($P440,Member_Tab,7,FALSE())),1,0))</f>
        <v>0</v>
      </c>
      <c r="V542" s="184" t="n">
        <f aca="false">IF(ISERROR(VLOOKUP($P440,Member_Tab,5,FALSE())),0,VLOOKUP($P440,Member_Tab,5,FALSE())*IF(AND(V$5 &gt; VLOOKUP($P440,Member_Tab,6,FALSE()),V$5 &lt; VLOOKUP($P440,Member_Tab,7,FALSE())),1,0))</f>
        <v>0</v>
      </c>
      <c r="W542" s="184" t="n">
        <f aca="false">IF(ISERROR(VLOOKUP($P440,Member_Tab,5,FALSE())),0,VLOOKUP($P440,Member_Tab,5,FALSE())*IF(AND(W$5 &gt; VLOOKUP($P440,Member_Tab,6,FALSE()),W$5 &lt; VLOOKUP($P440,Member_Tab,7,FALSE())),1,0))</f>
        <v>0</v>
      </c>
      <c r="X542" s="184" t="n">
        <f aca="false">IF(ISERROR(VLOOKUP($P440,Member_Tab,5,FALSE())),0,VLOOKUP($P440,Member_Tab,5,FALSE())*IF(AND(X$5 &gt; VLOOKUP($P440,Member_Tab,6,FALSE()),X$5 &lt; VLOOKUP($P440,Member_Tab,7,FALSE())),1,0))</f>
        <v>0</v>
      </c>
      <c r="Y542" s="184" t="n">
        <f aca="false">IF(ISERROR(VLOOKUP($P440,Member_Tab,5,FALSE())),0,VLOOKUP($P440,Member_Tab,5,FALSE())*IF(AND(Y$5 &gt; VLOOKUP($P440,Member_Tab,6,FALSE()),Y$5 &lt; VLOOKUP($P440,Member_Tab,7,FALSE())),1,0))</f>
        <v>0</v>
      </c>
      <c r="Z542" s="184" t="n">
        <f aca="false">IF(ISERROR(VLOOKUP($P440,Member_Tab,5,FALSE())),0,VLOOKUP($P440,Member_Tab,5,FALSE())*IF(AND(Z$5 &gt; VLOOKUP($P440,Member_Tab,6,FALSE()),Z$5 &lt; VLOOKUP($P440,Member_Tab,7,FALSE())),1,0))</f>
        <v>0</v>
      </c>
      <c r="AA542" s="184" t="n">
        <f aca="false">IF(ISERROR(VLOOKUP($P440,Member_Tab,5,FALSE())),0,VLOOKUP($P440,Member_Tab,5,FALSE())*IF(AND(AA$5 &gt; VLOOKUP($P440,Member_Tab,6,FALSE()),AA$5 &lt; VLOOKUP($P440,Member_Tab,7,FALSE())),1,0))</f>
        <v>0</v>
      </c>
      <c r="AB542" s="184" t="n">
        <f aca="false">IF(ISERROR(VLOOKUP($P440,Member_Tab,5,FALSE())),0,VLOOKUP($P440,Member_Tab,5,FALSE())*IF(AND(AB$5 &gt; VLOOKUP($P440,Member_Tab,6,FALSE()),AB$5 &lt; VLOOKUP($P440,Member_Tab,7,FALSE())),1,0))</f>
        <v>0</v>
      </c>
      <c r="AC542" s="184" t="n">
        <f aca="false">IF(ISERROR(VLOOKUP($P440,Member_Tab,5,FALSE())),0,VLOOKUP($P440,Member_Tab,5,FALSE())*IF(AND(AC$5 &gt; VLOOKUP($P440,Member_Tab,6,FALSE()),AC$5 &lt; VLOOKUP($P440,Member_Tab,7,FALSE())),1,0))</f>
        <v>0</v>
      </c>
      <c r="AD542" s="184" t="n">
        <f aca="false">IF(ISERROR(VLOOKUP($P440,Member_Tab,5,FALSE())),0,VLOOKUP($P440,Member_Tab,5,FALSE())*IF(AND(AD$5 &gt; VLOOKUP($P440,Member_Tab,6,FALSE()),AD$5 &lt; VLOOKUP($P440,Member_Tab,7,FALSE())),1,0))</f>
        <v>0</v>
      </c>
      <c r="AE542" s="184" t="n">
        <f aca="false">IF(ISERROR(VLOOKUP($P440,Member_Tab,5,FALSE())),0,VLOOKUP($P440,Member_Tab,5,FALSE())*IF(AND(AE$5 &gt; VLOOKUP($P440,Member_Tab,6,FALSE()),AE$5 &lt; VLOOKUP($P440,Member_Tab,7,FALSE())),1,0))</f>
        <v>0</v>
      </c>
      <c r="AF542" s="184" t="n">
        <f aca="false">IF(ISERROR(VLOOKUP($P440,Member_Tab,5,FALSE())),0,VLOOKUP($P440,Member_Tab,5,FALSE())*IF(AND(AF$5 &gt; VLOOKUP($P440,Member_Tab,6,FALSE()),AF$5 &lt; VLOOKUP($P440,Member_Tab,7,FALSE())),1,0))</f>
        <v>0</v>
      </c>
      <c r="AG542" s="184" t="n">
        <f aca="false">IF(ISERROR(VLOOKUP($P440,Member_Tab,5,FALSE())),0,VLOOKUP($P440,Member_Tab,5,FALSE())*IF(AND(AG$5 &gt; VLOOKUP($P440,Member_Tab,6,FALSE()),AG$5 &lt; VLOOKUP($P440,Member_Tab,7,FALSE())),1,0))</f>
        <v>0</v>
      </c>
      <c r="AH542" s="184" t="n">
        <f aca="false">IF(ISERROR(VLOOKUP($P440,Member_Tab,5,FALSE())),0,VLOOKUP($P440,Member_Tab,5,FALSE())*IF(AND(AH$5 &gt; VLOOKUP($P440,Member_Tab,6,FALSE()),AH$5 &lt; VLOOKUP($P440,Member_Tab,7,FALSE())),1,0))</f>
        <v>0</v>
      </c>
      <c r="AI542" s="184" t="n">
        <f aca="false">IF(ISERROR(VLOOKUP($P440,Member_Tab,5,FALSE())),0,VLOOKUP($P440,Member_Tab,5,FALSE())*IF(AND(AI$5 &gt; VLOOKUP($P440,Member_Tab,6,FALSE()),AI$5 &lt; VLOOKUP($P440,Member_Tab,7,FALSE())),1,0))</f>
        <v>0</v>
      </c>
      <c r="AJ542" s="184" t="n">
        <f aca="false">IF(ISERROR(VLOOKUP($P440,Member_Tab,5,FALSE())),0,VLOOKUP($P440,Member_Tab,5,FALSE())*IF(AND(AJ$5 &gt; VLOOKUP($P440,Member_Tab,6,FALSE()),AJ$5 &lt; VLOOKUP($P440,Member_Tab,7,FALSE())),1,0))</f>
        <v>0</v>
      </c>
      <c r="AK542" s="184" t="n">
        <f aca="false">IF(ISERROR(VLOOKUP($P440,Member_Tab,5,FALSE())),0,VLOOKUP($P440,Member_Tab,5,FALSE())*IF(AND(AK$5 &gt; VLOOKUP($P440,Member_Tab,6,FALSE()),AK$5 &lt; VLOOKUP($P440,Member_Tab,7,FALSE())),1,0))</f>
        <v>0</v>
      </c>
      <c r="AL542" s="184" t="n">
        <f aca="false">IF(ISERROR(VLOOKUP($P440,Member_Tab,5,FALSE())),0,VLOOKUP($P440,Member_Tab,5,FALSE())*IF(AND(AL$5 &gt; VLOOKUP($P440,Member_Tab,6,FALSE()),AL$5 &lt; VLOOKUP($P440,Member_Tab,7,FALSE())),1,0))</f>
        <v>0</v>
      </c>
      <c r="AM542" s="184" t="n">
        <f aca="false">IF(ISERROR(VLOOKUP($P440,Member_Tab,5,FALSE())),0,VLOOKUP($P440,Member_Tab,5,FALSE())*IF(AND(AM$5 &gt; VLOOKUP($P440,Member_Tab,6,FALSE()),AM$5 &lt; VLOOKUP($P440,Member_Tab,7,FALSE())),1,0))</f>
        <v>0</v>
      </c>
      <c r="AN542" s="184" t="n">
        <f aca="false">IF(ISERROR(VLOOKUP($P440,Member_Tab,5,FALSE())),0,VLOOKUP($P440,Member_Tab,5,FALSE())*IF(AND(AN$5 &gt; VLOOKUP($P440,Member_Tab,6,FALSE()),AN$5 &lt; VLOOKUP($P440,Member_Tab,7,FALSE())),1,0))</f>
        <v>0</v>
      </c>
      <c r="AO542" s="184" t="n">
        <f aca="false">IF(ISERROR(VLOOKUP($P440,Member_Tab,5,FALSE())),0,VLOOKUP($P440,Member_Tab,5,FALSE())*IF(AND(AO$5 &gt; VLOOKUP($P440,Member_Tab,6,FALSE()),AO$5 &lt; VLOOKUP($P440,Member_Tab,7,FALSE())),1,0))</f>
        <v>0</v>
      </c>
      <c r="AP542" s="184" t="n">
        <f aca="false">IF(ISERROR(VLOOKUP($P440,Member_Tab,5,FALSE())),0,VLOOKUP($P440,Member_Tab,5,FALSE())*IF(AND(AP$5 &gt; VLOOKUP($P440,Member_Tab,6,FALSE()),AP$5 &lt; VLOOKUP($P440,Member_Tab,7,FALSE())),1,0))</f>
        <v>0</v>
      </c>
      <c r="AQ542" s="184" t="n">
        <f aca="false">IF(ISERROR(VLOOKUP($P440,Member_Tab,5,FALSE())),0,VLOOKUP($P440,Member_Tab,5,FALSE())*IF(AND(AQ$5 &gt; VLOOKUP($P440,Member_Tab,6,FALSE()),AQ$5 &lt; VLOOKUP($P440,Member_Tab,7,FALSE())),1,0))</f>
        <v>0</v>
      </c>
      <c r="AR542" s="184" t="n">
        <f aca="false">IF(ISERROR(VLOOKUP($P440,Member_Tab,5,FALSE())),0,VLOOKUP($P440,Member_Tab,5,FALSE())*IF(AND(AR$5 &gt; VLOOKUP($P440,Member_Tab,6,FALSE()),AR$5 &lt; VLOOKUP($P440,Member_Tab,7,FALSE())),1,0))</f>
        <v>0</v>
      </c>
      <c r="AS542" s="184" t="n">
        <f aca="false">IF(ISERROR(VLOOKUP($P440,Member_Tab,5,FALSE())),0,VLOOKUP($P440,Member_Tab,5,FALSE())*IF(AND(AS$5 &gt; VLOOKUP($P440,Member_Tab,6,FALSE()),AS$5 &lt; VLOOKUP($P440,Member_Tab,7,FALSE())),1,0))</f>
        <v>0</v>
      </c>
      <c r="AT542" s="184" t="n">
        <f aca="false">IF(ISERROR(VLOOKUP($P440,Member_Tab,5,FALSE())),0,VLOOKUP($P440,Member_Tab,5,FALSE())*IF(AND(AT$5 &gt; VLOOKUP($P440,Member_Tab,6,FALSE()),AT$5 &lt; VLOOKUP($P440,Member_Tab,7,FALSE())),1,0))</f>
        <v>0</v>
      </c>
      <c r="AU542" s="184" t="n">
        <f aca="false">IF(ISERROR(VLOOKUP($P440,Member_Tab,5,FALSE())),0,VLOOKUP($P440,Member_Tab,5,FALSE())*IF(AND(AU$5 &gt; VLOOKUP($P440,Member_Tab,6,FALSE()),AU$5 &lt; VLOOKUP($P440,Member_Tab,7,FALSE())),1,0))</f>
        <v>0</v>
      </c>
      <c r="AV542" s="184" t="n">
        <f aca="false">IF(ISERROR(VLOOKUP($P440,Member_Tab,5,FALSE())),0,VLOOKUP($P440,Member_Tab,5,FALSE())*IF(AND(AV$5 &gt; VLOOKUP($P440,Member_Tab,6,FALSE()),AV$5 &lt; VLOOKUP($P440,Member_Tab,7,FALSE())),1,0))</f>
        <v>0</v>
      </c>
      <c r="AW542" s="184" t="n">
        <f aca="false">IF(ISERROR(VLOOKUP($P440,Member_Tab,5,FALSE())),0,VLOOKUP($P440,Member_Tab,5,FALSE())*IF(AND(AW$5 &gt; VLOOKUP($P440,Member_Tab,6,FALSE()),AW$5 &lt; VLOOKUP($P440,Member_Tab,7,FALSE())),1,0))</f>
        <v>0</v>
      </c>
      <c r="AX542" s="184" t="n">
        <f aca="false">IF(ISERROR(VLOOKUP($P440,Member_Tab,5,FALSE())),0,VLOOKUP($P440,Member_Tab,5,FALSE())*IF(AND(AX$5 &gt; VLOOKUP($P440,Member_Tab,6,FALSE()),AX$5 &lt; VLOOKUP($P440,Member_Tab,7,FALSE())),1,0))</f>
        <v>0</v>
      </c>
      <c r="AY542" s="184" t="n">
        <f aca="false">IF(ISERROR(VLOOKUP($P440,Member_Tab,5,FALSE())),0,VLOOKUP($P440,Member_Tab,5,FALSE())*IF(AND(AY$5 &gt; VLOOKUP($P440,Member_Tab,6,FALSE()),AY$5 &lt; VLOOKUP($P440,Member_Tab,7,FALSE())),1,0))</f>
        <v>0</v>
      </c>
      <c r="AZ542" s="184" t="n">
        <f aca="false">IF(ISERROR(VLOOKUP($P440,Member_Tab,5,FALSE())),0,VLOOKUP($P440,Member_Tab,5,FALSE())*IF(AND(AZ$5 &gt; VLOOKUP($P440,Member_Tab,6,FALSE()),AZ$5 &lt; VLOOKUP($P440,Member_Tab,7,FALSE())),1,0))</f>
        <v>0</v>
      </c>
      <c r="BA542" s="184" t="n">
        <f aca="false">IF(ISERROR(VLOOKUP($P440,Member_Tab,5,FALSE())),0,VLOOKUP($P440,Member_Tab,5,FALSE())*IF(AND(BA$5 &gt; VLOOKUP($P440,Member_Tab,6,FALSE()),BA$5 &lt; VLOOKUP($P440,Member_Tab,7,FALSE())),1,0))</f>
        <v>0</v>
      </c>
      <c r="BB542" s="184" t="n">
        <f aca="false">IF(ISERROR(VLOOKUP($P440,Member_Tab,5,FALSE())),0,VLOOKUP($P440,Member_Tab,5,FALSE())*IF(AND(BB$5 &gt; VLOOKUP($P440,Member_Tab,6,FALSE()),BB$5 &lt; VLOOKUP($P440,Member_Tab,7,FALSE())),1,0))</f>
        <v>0</v>
      </c>
    </row>
    <row r="543" s="173" customFormat="true" ht="15.75" hidden="true" customHeight="false" outlineLevel="1" collapsed="false">
      <c r="E543" s="40"/>
      <c r="K543" s="40"/>
      <c r="L543" s="40"/>
      <c r="M543" s="40"/>
      <c r="N543" s="40"/>
      <c r="P543" s="183" t="n">
        <f aca="false">P441</f>
        <v>0</v>
      </c>
      <c r="Q543" s="40"/>
      <c r="R543" s="182"/>
      <c r="S543" s="184" t="n">
        <f aca="false">IF(ISERROR(VLOOKUP($P441,Member_Tab,5,FALSE())),0,VLOOKUP($P441,Member_Tab,5,FALSE())*IF(AND(S$5 &gt; VLOOKUP($P441,Member_Tab,6,FALSE()),S$5 &lt; VLOOKUP($P441,Member_Tab,7,FALSE())),1,0))</f>
        <v>0</v>
      </c>
      <c r="T543" s="184" t="n">
        <f aca="false">IF(ISERROR(VLOOKUP($P441,Member_Tab,5,FALSE())),0,VLOOKUP($P441,Member_Tab,5,FALSE())*IF(AND(T$5 &gt; VLOOKUP($P441,Member_Tab,6,FALSE()),T$5 &lt; VLOOKUP($P441,Member_Tab,7,FALSE())),1,0))</f>
        <v>0</v>
      </c>
      <c r="U543" s="184" t="n">
        <f aca="false">IF(ISERROR(VLOOKUP($P441,Member_Tab,5,FALSE())),0,VLOOKUP($P441,Member_Tab,5,FALSE())*IF(AND(U$5 &gt; VLOOKUP($P441,Member_Tab,6,FALSE()),U$5 &lt; VLOOKUP($P441,Member_Tab,7,FALSE())),1,0))</f>
        <v>0</v>
      </c>
      <c r="V543" s="184" t="n">
        <f aca="false">IF(ISERROR(VLOOKUP($P441,Member_Tab,5,FALSE())),0,VLOOKUP($P441,Member_Tab,5,FALSE())*IF(AND(V$5 &gt; VLOOKUP($P441,Member_Tab,6,FALSE()),V$5 &lt; VLOOKUP($P441,Member_Tab,7,FALSE())),1,0))</f>
        <v>0</v>
      </c>
      <c r="W543" s="184" t="n">
        <f aca="false">IF(ISERROR(VLOOKUP($P441,Member_Tab,5,FALSE())),0,VLOOKUP($P441,Member_Tab,5,FALSE())*IF(AND(W$5 &gt; VLOOKUP($P441,Member_Tab,6,FALSE()),W$5 &lt; VLOOKUP($P441,Member_Tab,7,FALSE())),1,0))</f>
        <v>0</v>
      </c>
      <c r="X543" s="184" t="n">
        <f aca="false">IF(ISERROR(VLOOKUP($P441,Member_Tab,5,FALSE())),0,VLOOKUP($P441,Member_Tab,5,FALSE())*IF(AND(X$5 &gt; VLOOKUP($P441,Member_Tab,6,FALSE()),X$5 &lt; VLOOKUP($P441,Member_Tab,7,FALSE())),1,0))</f>
        <v>0</v>
      </c>
      <c r="Y543" s="184" t="n">
        <f aca="false">IF(ISERROR(VLOOKUP($P441,Member_Tab,5,FALSE())),0,VLOOKUP($P441,Member_Tab,5,FALSE())*IF(AND(Y$5 &gt; VLOOKUP($P441,Member_Tab,6,FALSE()),Y$5 &lt; VLOOKUP($P441,Member_Tab,7,FALSE())),1,0))</f>
        <v>0</v>
      </c>
      <c r="Z543" s="184" t="n">
        <f aca="false">IF(ISERROR(VLOOKUP($P441,Member_Tab,5,FALSE())),0,VLOOKUP($P441,Member_Tab,5,FALSE())*IF(AND(Z$5 &gt; VLOOKUP($P441,Member_Tab,6,FALSE()),Z$5 &lt; VLOOKUP($P441,Member_Tab,7,FALSE())),1,0))</f>
        <v>0</v>
      </c>
      <c r="AA543" s="184" t="n">
        <f aca="false">IF(ISERROR(VLOOKUP($P441,Member_Tab,5,FALSE())),0,VLOOKUP($P441,Member_Tab,5,FALSE())*IF(AND(AA$5 &gt; VLOOKUP($P441,Member_Tab,6,FALSE()),AA$5 &lt; VLOOKUP($P441,Member_Tab,7,FALSE())),1,0))</f>
        <v>0</v>
      </c>
      <c r="AB543" s="184" t="n">
        <f aca="false">IF(ISERROR(VLOOKUP($P441,Member_Tab,5,FALSE())),0,VLOOKUP($P441,Member_Tab,5,FALSE())*IF(AND(AB$5 &gt; VLOOKUP($P441,Member_Tab,6,FALSE()),AB$5 &lt; VLOOKUP($P441,Member_Tab,7,FALSE())),1,0))</f>
        <v>0</v>
      </c>
      <c r="AC543" s="184" t="n">
        <f aca="false">IF(ISERROR(VLOOKUP($P441,Member_Tab,5,FALSE())),0,VLOOKUP($P441,Member_Tab,5,FALSE())*IF(AND(AC$5 &gt; VLOOKUP($P441,Member_Tab,6,FALSE()),AC$5 &lt; VLOOKUP($P441,Member_Tab,7,FALSE())),1,0))</f>
        <v>0</v>
      </c>
      <c r="AD543" s="184" t="n">
        <f aca="false">IF(ISERROR(VLOOKUP($P441,Member_Tab,5,FALSE())),0,VLOOKUP($P441,Member_Tab,5,FALSE())*IF(AND(AD$5 &gt; VLOOKUP($P441,Member_Tab,6,FALSE()),AD$5 &lt; VLOOKUP($P441,Member_Tab,7,FALSE())),1,0))</f>
        <v>0</v>
      </c>
      <c r="AE543" s="184" t="n">
        <f aca="false">IF(ISERROR(VLOOKUP($P441,Member_Tab,5,FALSE())),0,VLOOKUP($P441,Member_Tab,5,FALSE())*IF(AND(AE$5 &gt; VLOOKUP($P441,Member_Tab,6,FALSE()),AE$5 &lt; VLOOKUP($P441,Member_Tab,7,FALSE())),1,0))</f>
        <v>0</v>
      </c>
      <c r="AF543" s="184" t="n">
        <f aca="false">IF(ISERROR(VLOOKUP($P441,Member_Tab,5,FALSE())),0,VLOOKUP($P441,Member_Tab,5,FALSE())*IF(AND(AF$5 &gt; VLOOKUP($P441,Member_Tab,6,FALSE()),AF$5 &lt; VLOOKUP($P441,Member_Tab,7,FALSE())),1,0))</f>
        <v>0</v>
      </c>
      <c r="AG543" s="184" t="n">
        <f aca="false">IF(ISERROR(VLOOKUP($P441,Member_Tab,5,FALSE())),0,VLOOKUP($P441,Member_Tab,5,FALSE())*IF(AND(AG$5 &gt; VLOOKUP($P441,Member_Tab,6,FALSE()),AG$5 &lt; VLOOKUP($P441,Member_Tab,7,FALSE())),1,0))</f>
        <v>0</v>
      </c>
      <c r="AH543" s="184" t="n">
        <f aca="false">IF(ISERROR(VLOOKUP($P441,Member_Tab,5,FALSE())),0,VLOOKUP($P441,Member_Tab,5,FALSE())*IF(AND(AH$5 &gt; VLOOKUP($P441,Member_Tab,6,FALSE()),AH$5 &lt; VLOOKUP($P441,Member_Tab,7,FALSE())),1,0))</f>
        <v>0</v>
      </c>
      <c r="AI543" s="184" t="n">
        <f aca="false">IF(ISERROR(VLOOKUP($P441,Member_Tab,5,FALSE())),0,VLOOKUP($P441,Member_Tab,5,FALSE())*IF(AND(AI$5 &gt; VLOOKUP($P441,Member_Tab,6,FALSE()),AI$5 &lt; VLOOKUP($P441,Member_Tab,7,FALSE())),1,0))</f>
        <v>0</v>
      </c>
      <c r="AJ543" s="184" t="n">
        <f aca="false">IF(ISERROR(VLOOKUP($P441,Member_Tab,5,FALSE())),0,VLOOKUP($P441,Member_Tab,5,FALSE())*IF(AND(AJ$5 &gt; VLOOKUP($P441,Member_Tab,6,FALSE()),AJ$5 &lt; VLOOKUP($P441,Member_Tab,7,FALSE())),1,0))</f>
        <v>0</v>
      </c>
      <c r="AK543" s="184" t="n">
        <f aca="false">IF(ISERROR(VLOOKUP($P441,Member_Tab,5,FALSE())),0,VLOOKUP($P441,Member_Tab,5,FALSE())*IF(AND(AK$5 &gt; VLOOKUP($P441,Member_Tab,6,FALSE()),AK$5 &lt; VLOOKUP($P441,Member_Tab,7,FALSE())),1,0))</f>
        <v>0</v>
      </c>
      <c r="AL543" s="184" t="n">
        <f aca="false">IF(ISERROR(VLOOKUP($P441,Member_Tab,5,FALSE())),0,VLOOKUP($P441,Member_Tab,5,FALSE())*IF(AND(AL$5 &gt; VLOOKUP($P441,Member_Tab,6,FALSE()),AL$5 &lt; VLOOKUP($P441,Member_Tab,7,FALSE())),1,0))</f>
        <v>0</v>
      </c>
      <c r="AM543" s="184" t="n">
        <f aca="false">IF(ISERROR(VLOOKUP($P441,Member_Tab,5,FALSE())),0,VLOOKUP($P441,Member_Tab,5,FALSE())*IF(AND(AM$5 &gt; VLOOKUP($P441,Member_Tab,6,FALSE()),AM$5 &lt; VLOOKUP($P441,Member_Tab,7,FALSE())),1,0))</f>
        <v>0</v>
      </c>
      <c r="AN543" s="184" t="n">
        <f aca="false">IF(ISERROR(VLOOKUP($P441,Member_Tab,5,FALSE())),0,VLOOKUP($P441,Member_Tab,5,FALSE())*IF(AND(AN$5 &gt; VLOOKUP($P441,Member_Tab,6,FALSE()),AN$5 &lt; VLOOKUP($P441,Member_Tab,7,FALSE())),1,0))</f>
        <v>0</v>
      </c>
      <c r="AO543" s="184" t="n">
        <f aca="false">IF(ISERROR(VLOOKUP($P441,Member_Tab,5,FALSE())),0,VLOOKUP($P441,Member_Tab,5,FALSE())*IF(AND(AO$5 &gt; VLOOKUP($P441,Member_Tab,6,FALSE()),AO$5 &lt; VLOOKUP($P441,Member_Tab,7,FALSE())),1,0))</f>
        <v>0</v>
      </c>
      <c r="AP543" s="184" t="n">
        <f aca="false">IF(ISERROR(VLOOKUP($P441,Member_Tab,5,FALSE())),0,VLOOKUP($P441,Member_Tab,5,FALSE())*IF(AND(AP$5 &gt; VLOOKUP($P441,Member_Tab,6,FALSE()),AP$5 &lt; VLOOKUP($P441,Member_Tab,7,FALSE())),1,0))</f>
        <v>0</v>
      </c>
      <c r="AQ543" s="184" t="n">
        <f aca="false">IF(ISERROR(VLOOKUP($P441,Member_Tab,5,FALSE())),0,VLOOKUP($P441,Member_Tab,5,FALSE())*IF(AND(AQ$5 &gt; VLOOKUP($P441,Member_Tab,6,FALSE()),AQ$5 &lt; VLOOKUP($P441,Member_Tab,7,FALSE())),1,0))</f>
        <v>0</v>
      </c>
      <c r="AR543" s="184" t="n">
        <f aca="false">IF(ISERROR(VLOOKUP($P441,Member_Tab,5,FALSE())),0,VLOOKUP($P441,Member_Tab,5,FALSE())*IF(AND(AR$5 &gt; VLOOKUP($P441,Member_Tab,6,FALSE()),AR$5 &lt; VLOOKUP($P441,Member_Tab,7,FALSE())),1,0))</f>
        <v>0</v>
      </c>
      <c r="AS543" s="184" t="n">
        <f aca="false">IF(ISERROR(VLOOKUP($P441,Member_Tab,5,FALSE())),0,VLOOKUP($P441,Member_Tab,5,FALSE())*IF(AND(AS$5 &gt; VLOOKUP($P441,Member_Tab,6,FALSE()),AS$5 &lt; VLOOKUP($P441,Member_Tab,7,FALSE())),1,0))</f>
        <v>0</v>
      </c>
      <c r="AT543" s="184" t="n">
        <f aca="false">IF(ISERROR(VLOOKUP($P441,Member_Tab,5,FALSE())),0,VLOOKUP($P441,Member_Tab,5,FALSE())*IF(AND(AT$5 &gt; VLOOKUP($P441,Member_Tab,6,FALSE()),AT$5 &lt; VLOOKUP($P441,Member_Tab,7,FALSE())),1,0))</f>
        <v>0</v>
      </c>
      <c r="AU543" s="184" t="n">
        <f aca="false">IF(ISERROR(VLOOKUP($P441,Member_Tab,5,FALSE())),0,VLOOKUP($P441,Member_Tab,5,FALSE())*IF(AND(AU$5 &gt; VLOOKUP($P441,Member_Tab,6,FALSE()),AU$5 &lt; VLOOKUP($P441,Member_Tab,7,FALSE())),1,0))</f>
        <v>0</v>
      </c>
      <c r="AV543" s="184" t="n">
        <f aca="false">IF(ISERROR(VLOOKUP($P441,Member_Tab,5,FALSE())),0,VLOOKUP($P441,Member_Tab,5,FALSE())*IF(AND(AV$5 &gt; VLOOKUP($P441,Member_Tab,6,FALSE()),AV$5 &lt; VLOOKUP($P441,Member_Tab,7,FALSE())),1,0))</f>
        <v>0</v>
      </c>
      <c r="AW543" s="184" t="n">
        <f aca="false">IF(ISERROR(VLOOKUP($P441,Member_Tab,5,FALSE())),0,VLOOKUP($P441,Member_Tab,5,FALSE())*IF(AND(AW$5 &gt; VLOOKUP($P441,Member_Tab,6,FALSE()),AW$5 &lt; VLOOKUP($P441,Member_Tab,7,FALSE())),1,0))</f>
        <v>0</v>
      </c>
      <c r="AX543" s="184" t="n">
        <f aca="false">IF(ISERROR(VLOOKUP($P441,Member_Tab,5,FALSE())),0,VLOOKUP($P441,Member_Tab,5,FALSE())*IF(AND(AX$5 &gt; VLOOKUP($P441,Member_Tab,6,FALSE()),AX$5 &lt; VLOOKUP($P441,Member_Tab,7,FALSE())),1,0))</f>
        <v>0</v>
      </c>
      <c r="AY543" s="184" t="n">
        <f aca="false">IF(ISERROR(VLOOKUP($P441,Member_Tab,5,FALSE())),0,VLOOKUP($P441,Member_Tab,5,FALSE())*IF(AND(AY$5 &gt; VLOOKUP($P441,Member_Tab,6,FALSE()),AY$5 &lt; VLOOKUP($P441,Member_Tab,7,FALSE())),1,0))</f>
        <v>0</v>
      </c>
      <c r="AZ543" s="184" t="n">
        <f aca="false">IF(ISERROR(VLOOKUP($P441,Member_Tab,5,FALSE())),0,VLOOKUP($P441,Member_Tab,5,FALSE())*IF(AND(AZ$5 &gt; VLOOKUP($P441,Member_Tab,6,FALSE()),AZ$5 &lt; VLOOKUP($P441,Member_Tab,7,FALSE())),1,0))</f>
        <v>0</v>
      </c>
      <c r="BA543" s="184" t="n">
        <f aca="false">IF(ISERROR(VLOOKUP($P441,Member_Tab,5,FALSE())),0,VLOOKUP($P441,Member_Tab,5,FALSE())*IF(AND(BA$5 &gt; VLOOKUP($P441,Member_Tab,6,FALSE()),BA$5 &lt; VLOOKUP($P441,Member_Tab,7,FALSE())),1,0))</f>
        <v>0</v>
      </c>
      <c r="BB543" s="184" t="n">
        <f aca="false">IF(ISERROR(VLOOKUP($P441,Member_Tab,5,FALSE())),0,VLOOKUP($P441,Member_Tab,5,FALSE())*IF(AND(BB$5 &gt; VLOOKUP($P441,Member_Tab,6,FALSE()),BB$5 &lt; VLOOKUP($P441,Member_Tab,7,FALSE())),1,0))</f>
        <v>0</v>
      </c>
    </row>
    <row r="544" s="173" customFormat="true" ht="15.75" hidden="true" customHeight="false" outlineLevel="1" collapsed="false">
      <c r="E544" s="40"/>
      <c r="K544" s="40"/>
      <c r="L544" s="40"/>
      <c r="M544" s="40"/>
      <c r="N544" s="40"/>
      <c r="P544" s="183" t="n">
        <f aca="false">P442</f>
        <v>0</v>
      </c>
      <c r="Q544" s="40"/>
      <c r="R544" s="182"/>
      <c r="S544" s="184" t="n">
        <f aca="false">IF(ISERROR(VLOOKUP($P442,Member_Tab,5,FALSE())),0,VLOOKUP($P442,Member_Tab,5,FALSE())*IF(AND(S$5 &gt; VLOOKUP($P442,Member_Tab,6,FALSE()),S$5 &lt; VLOOKUP($P442,Member_Tab,7,FALSE())),1,0))</f>
        <v>0</v>
      </c>
      <c r="T544" s="184" t="n">
        <f aca="false">IF(ISERROR(VLOOKUP($P442,Member_Tab,5,FALSE())),0,VLOOKUP($P442,Member_Tab,5,FALSE())*IF(AND(T$5 &gt; VLOOKUP($P442,Member_Tab,6,FALSE()),T$5 &lt; VLOOKUP($P442,Member_Tab,7,FALSE())),1,0))</f>
        <v>0</v>
      </c>
      <c r="U544" s="184" t="n">
        <f aca="false">IF(ISERROR(VLOOKUP($P442,Member_Tab,5,FALSE())),0,VLOOKUP($P442,Member_Tab,5,FALSE())*IF(AND(U$5 &gt; VLOOKUP($P442,Member_Tab,6,FALSE()),U$5 &lt; VLOOKUP($P442,Member_Tab,7,FALSE())),1,0))</f>
        <v>0</v>
      </c>
      <c r="V544" s="184" t="n">
        <f aca="false">IF(ISERROR(VLOOKUP($P442,Member_Tab,5,FALSE())),0,VLOOKUP($P442,Member_Tab,5,FALSE())*IF(AND(V$5 &gt; VLOOKUP($P442,Member_Tab,6,FALSE()),V$5 &lt; VLOOKUP($P442,Member_Tab,7,FALSE())),1,0))</f>
        <v>0</v>
      </c>
      <c r="W544" s="184" t="n">
        <f aca="false">IF(ISERROR(VLOOKUP($P442,Member_Tab,5,FALSE())),0,VLOOKUP($P442,Member_Tab,5,FALSE())*IF(AND(W$5 &gt; VLOOKUP($P442,Member_Tab,6,FALSE()),W$5 &lt; VLOOKUP($P442,Member_Tab,7,FALSE())),1,0))</f>
        <v>0</v>
      </c>
      <c r="X544" s="184" t="n">
        <f aca="false">IF(ISERROR(VLOOKUP($P442,Member_Tab,5,FALSE())),0,VLOOKUP($P442,Member_Tab,5,FALSE())*IF(AND(X$5 &gt; VLOOKUP($P442,Member_Tab,6,FALSE()),X$5 &lt; VLOOKUP($P442,Member_Tab,7,FALSE())),1,0))</f>
        <v>0</v>
      </c>
      <c r="Y544" s="184" t="n">
        <f aca="false">IF(ISERROR(VLOOKUP($P442,Member_Tab,5,FALSE())),0,VLOOKUP($P442,Member_Tab,5,FALSE())*IF(AND(Y$5 &gt; VLOOKUP($P442,Member_Tab,6,FALSE()),Y$5 &lt; VLOOKUP($P442,Member_Tab,7,FALSE())),1,0))</f>
        <v>0</v>
      </c>
      <c r="Z544" s="184" t="n">
        <f aca="false">IF(ISERROR(VLOOKUP($P442,Member_Tab,5,FALSE())),0,VLOOKUP($P442,Member_Tab,5,FALSE())*IF(AND(Z$5 &gt; VLOOKUP($P442,Member_Tab,6,FALSE()),Z$5 &lt; VLOOKUP($P442,Member_Tab,7,FALSE())),1,0))</f>
        <v>0</v>
      </c>
      <c r="AA544" s="184" t="n">
        <f aca="false">IF(ISERROR(VLOOKUP($P442,Member_Tab,5,FALSE())),0,VLOOKUP($P442,Member_Tab,5,FALSE())*IF(AND(AA$5 &gt; VLOOKUP($P442,Member_Tab,6,FALSE()),AA$5 &lt; VLOOKUP($P442,Member_Tab,7,FALSE())),1,0))</f>
        <v>0</v>
      </c>
      <c r="AB544" s="184" t="n">
        <f aca="false">IF(ISERROR(VLOOKUP($P442,Member_Tab,5,FALSE())),0,VLOOKUP($P442,Member_Tab,5,FALSE())*IF(AND(AB$5 &gt; VLOOKUP($P442,Member_Tab,6,FALSE()),AB$5 &lt; VLOOKUP($P442,Member_Tab,7,FALSE())),1,0))</f>
        <v>0</v>
      </c>
      <c r="AC544" s="184" t="n">
        <f aca="false">IF(ISERROR(VLOOKUP($P442,Member_Tab,5,FALSE())),0,VLOOKUP($P442,Member_Tab,5,FALSE())*IF(AND(AC$5 &gt; VLOOKUP($P442,Member_Tab,6,FALSE()),AC$5 &lt; VLOOKUP($P442,Member_Tab,7,FALSE())),1,0))</f>
        <v>0</v>
      </c>
      <c r="AD544" s="184" t="n">
        <f aca="false">IF(ISERROR(VLOOKUP($P442,Member_Tab,5,FALSE())),0,VLOOKUP($P442,Member_Tab,5,FALSE())*IF(AND(AD$5 &gt; VLOOKUP($P442,Member_Tab,6,FALSE()),AD$5 &lt; VLOOKUP($P442,Member_Tab,7,FALSE())),1,0))</f>
        <v>0</v>
      </c>
      <c r="AE544" s="184" t="n">
        <f aca="false">IF(ISERROR(VLOOKUP($P442,Member_Tab,5,FALSE())),0,VLOOKUP($P442,Member_Tab,5,FALSE())*IF(AND(AE$5 &gt; VLOOKUP($P442,Member_Tab,6,FALSE()),AE$5 &lt; VLOOKUP($P442,Member_Tab,7,FALSE())),1,0))</f>
        <v>0</v>
      </c>
      <c r="AF544" s="184" t="n">
        <f aca="false">IF(ISERROR(VLOOKUP($P442,Member_Tab,5,FALSE())),0,VLOOKUP($P442,Member_Tab,5,FALSE())*IF(AND(AF$5 &gt; VLOOKUP($P442,Member_Tab,6,FALSE()),AF$5 &lt; VLOOKUP($P442,Member_Tab,7,FALSE())),1,0))</f>
        <v>0</v>
      </c>
      <c r="AG544" s="184" t="n">
        <f aca="false">IF(ISERROR(VLOOKUP($P442,Member_Tab,5,FALSE())),0,VLOOKUP($P442,Member_Tab,5,FALSE())*IF(AND(AG$5 &gt; VLOOKUP($P442,Member_Tab,6,FALSE()),AG$5 &lt; VLOOKUP($P442,Member_Tab,7,FALSE())),1,0))</f>
        <v>0</v>
      </c>
      <c r="AH544" s="184" t="n">
        <f aca="false">IF(ISERROR(VLOOKUP($P442,Member_Tab,5,FALSE())),0,VLOOKUP($P442,Member_Tab,5,FALSE())*IF(AND(AH$5 &gt; VLOOKUP($P442,Member_Tab,6,FALSE()),AH$5 &lt; VLOOKUP($P442,Member_Tab,7,FALSE())),1,0))</f>
        <v>0</v>
      </c>
      <c r="AI544" s="184" t="n">
        <f aca="false">IF(ISERROR(VLOOKUP($P442,Member_Tab,5,FALSE())),0,VLOOKUP($P442,Member_Tab,5,FALSE())*IF(AND(AI$5 &gt; VLOOKUP($P442,Member_Tab,6,FALSE()),AI$5 &lt; VLOOKUP($P442,Member_Tab,7,FALSE())),1,0))</f>
        <v>0</v>
      </c>
      <c r="AJ544" s="184" t="n">
        <f aca="false">IF(ISERROR(VLOOKUP($P442,Member_Tab,5,FALSE())),0,VLOOKUP($P442,Member_Tab,5,FALSE())*IF(AND(AJ$5 &gt; VLOOKUP($P442,Member_Tab,6,FALSE()),AJ$5 &lt; VLOOKUP($P442,Member_Tab,7,FALSE())),1,0))</f>
        <v>0</v>
      </c>
      <c r="AK544" s="184" t="n">
        <f aca="false">IF(ISERROR(VLOOKUP($P442,Member_Tab,5,FALSE())),0,VLOOKUP($P442,Member_Tab,5,FALSE())*IF(AND(AK$5 &gt; VLOOKUP($P442,Member_Tab,6,FALSE()),AK$5 &lt; VLOOKUP($P442,Member_Tab,7,FALSE())),1,0))</f>
        <v>0</v>
      </c>
      <c r="AL544" s="184" t="n">
        <f aca="false">IF(ISERROR(VLOOKUP($P442,Member_Tab,5,FALSE())),0,VLOOKUP($P442,Member_Tab,5,FALSE())*IF(AND(AL$5 &gt; VLOOKUP($P442,Member_Tab,6,FALSE()),AL$5 &lt; VLOOKUP($P442,Member_Tab,7,FALSE())),1,0))</f>
        <v>0</v>
      </c>
      <c r="AM544" s="184" t="n">
        <f aca="false">IF(ISERROR(VLOOKUP($P442,Member_Tab,5,FALSE())),0,VLOOKUP($P442,Member_Tab,5,FALSE())*IF(AND(AM$5 &gt; VLOOKUP($P442,Member_Tab,6,FALSE()),AM$5 &lt; VLOOKUP($P442,Member_Tab,7,FALSE())),1,0))</f>
        <v>0</v>
      </c>
      <c r="AN544" s="184" t="n">
        <f aca="false">IF(ISERROR(VLOOKUP($P442,Member_Tab,5,FALSE())),0,VLOOKUP($P442,Member_Tab,5,FALSE())*IF(AND(AN$5 &gt; VLOOKUP($P442,Member_Tab,6,FALSE()),AN$5 &lt; VLOOKUP($P442,Member_Tab,7,FALSE())),1,0))</f>
        <v>0</v>
      </c>
      <c r="AO544" s="184" t="n">
        <f aca="false">IF(ISERROR(VLOOKUP($P442,Member_Tab,5,FALSE())),0,VLOOKUP($P442,Member_Tab,5,FALSE())*IF(AND(AO$5 &gt; VLOOKUP($P442,Member_Tab,6,FALSE()),AO$5 &lt; VLOOKUP($P442,Member_Tab,7,FALSE())),1,0))</f>
        <v>0</v>
      </c>
      <c r="AP544" s="184" t="n">
        <f aca="false">IF(ISERROR(VLOOKUP($P442,Member_Tab,5,FALSE())),0,VLOOKUP($P442,Member_Tab,5,FALSE())*IF(AND(AP$5 &gt; VLOOKUP($P442,Member_Tab,6,FALSE()),AP$5 &lt; VLOOKUP($P442,Member_Tab,7,FALSE())),1,0))</f>
        <v>0</v>
      </c>
      <c r="AQ544" s="184" t="n">
        <f aca="false">IF(ISERROR(VLOOKUP($P442,Member_Tab,5,FALSE())),0,VLOOKUP($P442,Member_Tab,5,FALSE())*IF(AND(AQ$5 &gt; VLOOKUP($P442,Member_Tab,6,FALSE()),AQ$5 &lt; VLOOKUP($P442,Member_Tab,7,FALSE())),1,0))</f>
        <v>0</v>
      </c>
      <c r="AR544" s="184" t="n">
        <f aca="false">IF(ISERROR(VLOOKUP($P442,Member_Tab,5,FALSE())),0,VLOOKUP($P442,Member_Tab,5,FALSE())*IF(AND(AR$5 &gt; VLOOKUP($P442,Member_Tab,6,FALSE()),AR$5 &lt; VLOOKUP($P442,Member_Tab,7,FALSE())),1,0))</f>
        <v>0</v>
      </c>
      <c r="AS544" s="184" t="n">
        <f aca="false">IF(ISERROR(VLOOKUP($P442,Member_Tab,5,FALSE())),0,VLOOKUP($P442,Member_Tab,5,FALSE())*IF(AND(AS$5 &gt; VLOOKUP($P442,Member_Tab,6,FALSE()),AS$5 &lt; VLOOKUP($P442,Member_Tab,7,FALSE())),1,0))</f>
        <v>0</v>
      </c>
      <c r="AT544" s="184" t="n">
        <f aca="false">IF(ISERROR(VLOOKUP($P442,Member_Tab,5,FALSE())),0,VLOOKUP($P442,Member_Tab,5,FALSE())*IF(AND(AT$5 &gt; VLOOKUP($P442,Member_Tab,6,FALSE()),AT$5 &lt; VLOOKUP($P442,Member_Tab,7,FALSE())),1,0))</f>
        <v>0</v>
      </c>
      <c r="AU544" s="184" t="n">
        <f aca="false">IF(ISERROR(VLOOKUP($P442,Member_Tab,5,FALSE())),0,VLOOKUP($P442,Member_Tab,5,FALSE())*IF(AND(AU$5 &gt; VLOOKUP($P442,Member_Tab,6,FALSE()),AU$5 &lt; VLOOKUP($P442,Member_Tab,7,FALSE())),1,0))</f>
        <v>0</v>
      </c>
      <c r="AV544" s="184" t="n">
        <f aca="false">IF(ISERROR(VLOOKUP($P442,Member_Tab,5,FALSE())),0,VLOOKUP($P442,Member_Tab,5,FALSE())*IF(AND(AV$5 &gt; VLOOKUP($P442,Member_Tab,6,FALSE()),AV$5 &lt; VLOOKUP($P442,Member_Tab,7,FALSE())),1,0))</f>
        <v>0</v>
      </c>
      <c r="AW544" s="184" t="n">
        <f aca="false">IF(ISERROR(VLOOKUP($P442,Member_Tab,5,FALSE())),0,VLOOKUP($P442,Member_Tab,5,FALSE())*IF(AND(AW$5 &gt; VLOOKUP($P442,Member_Tab,6,FALSE()),AW$5 &lt; VLOOKUP($P442,Member_Tab,7,FALSE())),1,0))</f>
        <v>0</v>
      </c>
      <c r="AX544" s="184" t="n">
        <f aca="false">IF(ISERROR(VLOOKUP($P442,Member_Tab,5,FALSE())),0,VLOOKUP($P442,Member_Tab,5,FALSE())*IF(AND(AX$5 &gt; VLOOKUP($P442,Member_Tab,6,FALSE()),AX$5 &lt; VLOOKUP($P442,Member_Tab,7,FALSE())),1,0))</f>
        <v>0</v>
      </c>
      <c r="AY544" s="184" t="n">
        <f aca="false">IF(ISERROR(VLOOKUP($P442,Member_Tab,5,FALSE())),0,VLOOKUP($P442,Member_Tab,5,FALSE())*IF(AND(AY$5 &gt; VLOOKUP($P442,Member_Tab,6,FALSE()),AY$5 &lt; VLOOKUP($P442,Member_Tab,7,FALSE())),1,0))</f>
        <v>0</v>
      </c>
      <c r="AZ544" s="184" t="n">
        <f aca="false">IF(ISERROR(VLOOKUP($P442,Member_Tab,5,FALSE())),0,VLOOKUP($P442,Member_Tab,5,FALSE())*IF(AND(AZ$5 &gt; VLOOKUP($P442,Member_Tab,6,FALSE()),AZ$5 &lt; VLOOKUP($P442,Member_Tab,7,FALSE())),1,0))</f>
        <v>0</v>
      </c>
      <c r="BA544" s="184" t="n">
        <f aca="false">IF(ISERROR(VLOOKUP($P442,Member_Tab,5,FALSE())),0,VLOOKUP($P442,Member_Tab,5,FALSE())*IF(AND(BA$5 &gt; VLOOKUP($P442,Member_Tab,6,FALSE()),BA$5 &lt; VLOOKUP($P442,Member_Tab,7,FALSE())),1,0))</f>
        <v>0</v>
      </c>
      <c r="BB544" s="184" t="n">
        <f aca="false">IF(ISERROR(VLOOKUP($P442,Member_Tab,5,FALSE())),0,VLOOKUP($P442,Member_Tab,5,FALSE())*IF(AND(BB$5 &gt; VLOOKUP($P442,Member_Tab,6,FALSE()),BB$5 &lt; VLOOKUP($P442,Member_Tab,7,FALSE())),1,0))</f>
        <v>0</v>
      </c>
    </row>
    <row r="545" s="173" customFormat="true" ht="15.75" hidden="true" customHeight="false" outlineLevel="1" collapsed="false">
      <c r="E545" s="40"/>
      <c r="K545" s="40"/>
      <c r="L545" s="40"/>
      <c r="M545" s="40"/>
      <c r="N545" s="40"/>
      <c r="P545" s="183" t="n">
        <f aca="false">P443</f>
        <v>0</v>
      </c>
      <c r="Q545" s="40"/>
      <c r="R545" s="182"/>
      <c r="S545" s="184" t="n">
        <f aca="false">IF(ISERROR(VLOOKUP($P443,Member_Tab,5,FALSE())),0,VLOOKUP($P443,Member_Tab,5,FALSE())*IF(AND(S$5 &gt; VLOOKUP($P443,Member_Tab,6,FALSE()),S$5 &lt; VLOOKUP($P443,Member_Tab,7,FALSE())),1,0))</f>
        <v>0</v>
      </c>
      <c r="T545" s="184" t="n">
        <f aca="false">IF(ISERROR(VLOOKUP($P443,Member_Tab,5,FALSE())),0,VLOOKUP($P443,Member_Tab,5,FALSE())*IF(AND(T$5 &gt; VLOOKUP($P443,Member_Tab,6,FALSE()),T$5 &lt; VLOOKUP($P443,Member_Tab,7,FALSE())),1,0))</f>
        <v>0</v>
      </c>
      <c r="U545" s="184" t="n">
        <f aca="false">IF(ISERROR(VLOOKUP($P443,Member_Tab,5,FALSE())),0,VLOOKUP($P443,Member_Tab,5,FALSE())*IF(AND(U$5 &gt; VLOOKUP($P443,Member_Tab,6,FALSE()),U$5 &lt; VLOOKUP($P443,Member_Tab,7,FALSE())),1,0))</f>
        <v>0</v>
      </c>
      <c r="V545" s="184" t="n">
        <f aca="false">IF(ISERROR(VLOOKUP($P443,Member_Tab,5,FALSE())),0,VLOOKUP($P443,Member_Tab,5,FALSE())*IF(AND(V$5 &gt; VLOOKUP($P443,Member_Tab,6,FALSE()),V$5 &lt; VLOOKUP($P443,Member_Tab,7,FALSE())),1,0))</f>
        <v>0</v>
      </c>
      <c r="W545" s="184" t="n">
        <f aca="false">IF(ISERROR(VLOOKUP($P443,Member_Tab,5,FALSE())),0,VLOOKUP($P443,Member_Tab,5,FALSE())*IF(AND(W$5 &gt; VLOOKUP($P443,Member_Tab,6,FALSE()),W$5 &lt; VLOOKUP($P443,Member_Tab,7,FALSE())),1,0))</f>
        <v>0</v>
      </c>
      <c r="X545" s="184" t="n">
        <f aca="false">IF(ISERROR(VLOOKUP($P443,Member_Tab,5,FALSE())),0,VLOOKUP($P443,Member_Tab,5,FALSE())*IF(AND(X$5 &gt; VLOOKUP($P443,Member_Tab,6,FALSE()),X$5 &lt; VLOOKUP($P443,Member_Tab,7,FALSE())),1,0))</f>
        <v>0</v>
      </c>
      <c r="Y545" s="184" t="n">
        <f aca="false">IF(ISERROR(VLOOKUP($P443,Member_Tab,5,FALSE())),0,VLOOKUP($P443,Member_Tab,5,FALSE())*IF(AND(Y$5 &gt; VLOOKUP($P443,Member_Tab,6,FALSE()),Y$5 &lt; VLOOKUP($P443,Member_Tab,7,FALSE())),1,0))</f>
        <v>0</v>
      </c>
      <c r="Z545" s="184" t="n">
        <f aca="false">IF(ISERROR(VLOOKUP($P443,Member_Tab,5,FALSE())),0,VLOOKUP($P443,Member_Tab,5,FALSE())*IF(AND(Z$5 &gt; VLOOKUP($P443,Member_Tab,6,FALSE()),Z$5 &lt; VLOOKUP($P443,Member_Tab,7,FALSE())),1,0))</f>
        <v>0</v>
      </c>
      <c r="AA545" s="184" t="n">
        <f aca="false">IF(ISERROR(VLOOKUP($P443,Member_Tab,5,FALSE())),0,VLOOKUP($P443,Member_Tab,5,FALSE())*IF(AND(AA$5 &gt; VLOOKUP($P443,Member_Tab,6,FALSE()),AA$5 &lt; VLOOKUP($P443,Member_Tab,7,FALSE())),1,0))</f>
        <v>0</v>
      </c>
      <c r="AB545" s="184" t="n">
        <f aca="false">IF(ISERROR(VLOOKUP($P443,Member_Tab,5,FALSE())),0,VLOOKUP($P443,Member_Tab,5,FALSE())*IF(AND(AB$5 &gt; VLOOKUP($P443,Member_Tab,6,FALSE()),AB$5 &lt; VLOOKUP($P443,Member_Tab,7,FALSE())),1,0))</f>
        <v>0</v>
      </c>
      <c r="AC545" s="184" t="n">
        <f aca="false">IF(ISERROR(VLOOKUP($P443,Member_Tab,5,FALSE())),0,VLOOKUP($P443,Member_Tab,5,FALSE())*IF(AND(AC$5 &gt; VLOOKUP($P443,Member_Tab,6,FALSE()),AC$5 &lt; VLOOKUP($P443,Member_Tab,7,FALSE())),1,0))</f>
        <v>0</v>
      </c>
      <c r="AD545" s="184" t="n">
        <f aca="false">IF(ISERROR(VLOOKUP($P443,Member_Tab,5,FALSE())),0,VLOOKUP($P443,Member_Tab,5,FALSE())*IF(AND(AD$5 &gt; VLOOKUP($P443,Member_Tab,6,FALSE()),AD$5 &lt; VLOOKUP($P443,Member_Tab,7,FALSE())),1,0))</f>
        <v>0</v>
      </c>
      <c r="AE545" s="184" t="n">
        <f aca="false">IF(ISERROR(VLOOKUP($P443,Member_Tab,5,FALSE())),0,VLOOKUP($P443,Member_Tab,5,FALSE())*IF(AND(AE$5 &gt; VLOOKUP($P443,Member_Tab,6,FALSE()),AE$5 &lt; VLOOKUP($P443,Member_Tab,7,FALSE())),1,0))</f>
        <v>0</v>
      </c>
      <c r="AF545" s="184" t="n">
        <f aca="false">IF(ISERROR(VLOOKUP($P443,Member_Tab,5,FALSE())),0,VLOOKUP($P443,Member_Tab,5,FALSE())*IF(AND(AF$5 &gt; VLOOKUP($P443,Member_Tab,6,FALSE()),AF$5 &lt; VLOOKUP($P443,Member_Tab,7,FALSE())),1,0))</f>
        <v>0</v>
      </c>
      <c r="AG545" s="184" t="n">
        <f aca="false">IF(ISERROR(VLOOKUP($P443,Member_Tab,5,FALSE())),0,VLOOKUP($P443,Member_Tab,5,FALSE())*IF(AND(AG$5 &gt; VLOOKUP($P443,Member_Tab,6,FALSE()),AG$5 &lt; VLOOKUP($P443,Member_Tab,7,FALSE())),1,0))</f>
        <v>0</v>
      </c>
      <c r="AH545" s="184" t="n">
        <f aca="false">IF(ISERROR(VLOOKUP($P443,Member_Tab,5,FALSE())),0,VLOOKUP($P443,Member_Tab,5,FALSE())*IF(AND(AH$5 &gt; VLOOKUP($P443,Member_Tab,6,FALSE()),AH$5 &lt; VLOOKUP($P443,Member_Tab,7,FALSE())),1,0))</f>
        <v>0</v>
      </c>
      <c r="AI545" s="184" t="n">
        <f aca="false">IF(ISERROR(VLOOKUP($P443,Member_Tab,5,FALSE())),0,VLOOKUP($P443,Member_Tab,5,FALSE())*IF(AND(AI$5 &gt; VLOOKUP($P443,Member_Tab,6,FALSE()),AI$5 &lt; VLOOKUP($P443,Member_Tab,7,FALSE())),1,0))</f>
        <v>0</v>
      </c>
      <c r="AJ545" s="184" t="n">
        <f aca="false">IF(ISERROR(VLOOKUP($P443,Member_Tab,5,FALSE())),0,VLOOKUP($P443,Member_Tab,5,FALSE())*IF(AND(AJ$5 &gt; VLOOKUP($P443,Member_Tab,6,FALSE()),AJ$5 &lt; VLOOKUP($P443,Member_Tab,7,FALSE())),1,0))</f>
        <v>0</v>
      </c>
      <c r="AK545" s="184" t="n">
        <f aca="false">IF(ISERROR(VLOOKUP($P443,Member_Tab,5,FALSE())),0,VLOOKUP($P443,Member_Tab,5,FALSE())*IF(AND(AK$5 &gt; VLOOKUP($P443,Member_Tab,6,FALSE()),AK$5 &lt; VLOOKUP($P443,Member_Tab,7,FALSE())),1,0))</f>
        <v>0</v>
      </c>
      <c r="AL545" s="184" t="n">
        <f aca="false">IF(ISERROR(VLOOKUP($P443,Member_Tab,5,FALSE())),0,VLOOKUP($P443,Member_Tab,5,FALSE())*IF(AND(AL$5 &gt; VLOOKUP($P443,Member_Tab,6,FALSE()),AL$5 &lt; VLOOKUP($P443,Member_Tab,7,FALSE())),1,0))</f>
        <v>0</v>
      </c>
      <c r="AM545" s="184" t="n">
        <f aca="false">IF(ISERROR(VLOOKUP($P443,Member_Tab,5,FALSE())),0,VLOOKUP($P443,Member_Tab,5,FALSE())*IF(AND(AM$5 &gt; VLOOKUP($P443,Member_Tab,6,FALSE()),AM$5 &lt; VLOOKUP($P443,Member_Tab,7,FALSE())),1,0))</f>
        <v>0</v>
      </c>
      <c r="AN545" s="184" t="n">
        <f aca="false">IF(ISERROR(VLOOKUP($P443,Member_Tab,5,FALSE())),0,VLOOKUP($P443,Member_Tab,5,FALSE())*IF(AND(AN$5 &gt; VLOOKUP($P443,Member_Tab,6,FALSE()),AN$5 &lt; VLOOKUP($P443,Member_Tab,7,FALSE())),1,0))</f>
        <v>0</v>
      </c>
      <c r="AO545" s="184" t="n">
        <f aca="false">IF(ISERROR(VLOOKUP($P443,Member_Tab,5,FALSE())),0,VLOOKUP($P443,Member_Tab,5,FALSE())*IF(AND(AO$5 &gt; VLOOKUP($P443,Member_Tab,6,FALSE()),AO$5 &lt; VLOOKUP($P443,Member_Tab,7,FALSE())),1,0))</f>
        <v>0</v>
      </c>
      <c r="AP545" s="184" t="n">
        <f aca="false">IF(ISERROR(VLOOKUP($P443,Member_Tab,5,FALSE())),0,VLOOKUP($P443,Member_Tab,5,FALSE())*IF(AND(AP$5 &gt; VLOOKUP($P443,Member_Tab,6,FALSE()),AP$5 &lt; VLOOKUP($P443,Member_Tab,7,FALSE())),1,0))</f>
        <v>0</v>
      </c>
      <c r="AQ545" s="184" t="n">
        <f aca="false">IF(ISERROR(VLOOKUP($P443,Member_Tab,5,FALSE())),0,VLOOKUP($P443,Member_Tab,5,FALSE())*IF(AND(AQ$5 &gt; VLOOKUP($P443,Member_Tab,6,FALSE()),AQ$5 &lt; VLOOKUP($P443,Member_Tab,7,FALSE())),1,0))</f>
        <v>0</v>
      </c>
      <c r="AR545" s="184" t="n">
        <f aca="false">IF(ISERROR(VLOOKUP($P443,Member_Tab,5,FALSE())),0,VLOOKUP($P443,Member_Tab,5,FALSE())*IF(AND(AR$5 &gt; VLOOKUP($P443,Member_Tab,6,FALSE()),AR$5 &lt; VLOOKUP($P443,Member_Tab,7,FALSE())),1,0))</f>
        <v>0</v>
      </c>
      <c r="AS545" s="184" t="n">
        <f aca="false">IF(ISERROR(VLOOKUP($P443,Member_Tab,5,FALSE())),0,VLOOKUP($P443,Member_Tab,5,FALSE())*IF(AND(AS$5 &gt; VLOOKUP($P443,Member_Tab,6,FALSE()),AS$5 &lt; VLOOKUP($P443,Member_Tab,7,FALSE())),1,0))</f>
        <v>0</v>
      </c>
      <c r="AT545" s="184" t="n">
        <f aca="false">IF(ISERROR(VLOOKUP($P443,Member_Tab,5,FALSE())),0,VLOOKUP($P443,Member_Tab,5,FALSE())*IF(AND(AT$5 &gt; VLOOKUP($P443,Member_Tab,6,FALSE()),AT$5 &lt; VLOOKUP($P443,Member_Tab,7,FALSE())),1,0))</f>
        <v>0</v>
      </c>
      <c r="AU545" s="184" t="n">
        <f aca="false">IF(ISERROR(VLOOKUP($P443,Member_Tab,5,FALSE())),0,VLOOKUP($P443,Member_Tab,5,FALSE())*IF(AND(AU$5 &gt; VLOOKUP($P443,Member_Tab,6,FALSE()),AU$5 &lt; VLOOKUP($P443,Member_Tab,7,FALSE())),1,0))</f>
        <v>0</v>
      </c>
      <c r="AV545" s="184" t="n">
        <f aca="false">IF(ISERROR(VLOOKUP($P443,Member_Tab,5,FALSE())),0,VLOOKUP($P443,Member_Tab,5,FALSE())*IF(AND(AV$5 &gt; VLOOKUP($P443,Member_Tab,6,FALSE()),AV$5 &lt; VLOOKUP($P443,Member_Tab,7,FALSE())),1,0))</f>
        <v>0</v>
      </c>
      <c r="AW545" s="184" t="n">
        <f aca="false">IF(ISERROR(VLOOKUP($P443,Member_Tab,5,FALSE())),0,VLOOKUP($P443,Member_Tab,5,FALSE())*IF(AND(AW$5 &gt; VLOOKUP($P443,Member_Tab,6,FALSE()),AW$5 &lt; VLOOKUP($P443,Member_Tab,7,FALSE())),1,0))</f>
        <v>0</v>
      </c>
      <c r="AX545" s="184" t="n">
        <f aca="false">IF(ISERROR(VLOOKUP($P443,Member_Tab,5,FALSE())),0,VLOOKUP($P443,Member_Tab,5,FALSE())*IF(AND(AX$5 &gt; VLOOKUP($P443,Member_Tab,6,FALSE()),AX$5 &lt; VLOOKUP($P443,Member_Tab,7,FALSE())),1,0))</f>
        <v>0</v>
      </c>
      <c r="AY545" s="184" t="n">
        <f aca="false">IF(ISERROR(VLOOKUP($P443,Member_Tab,5,FALSE())),0,VLOOKUP($P443,Member_Tab,5,FALSE())*IF(AND(AY$5 &gt; VLOOKUP($P443,Member_Tab,6,FALSE()),AY$5 &lt; VLOOKUP($P443,Member_Tab,7,FALSE())),1,0))</f>
        <v>0</v>
      </c>
      <c r="AZ545" s="184" t="n">
        <f aca="false">IF(ISERROR(VLOOKUP($P443,Member_Tab,5,FALSE())),0,VLOOKUP($P443,Member_Tab,5,FALSE())*IF(AND(AZ$5 &gt; VLOOKUP($P443,Member_Tab,6,FALSE()),AZ$5 &lt; VLOOKUP($P443,Member_Tab,7,FALSE())),1,0))</f>
        <v>0</v>
      </c>
      <c r="BA545" s="184" t="n">
        <f aca="false">IF(ISERROR(VLOOKUP($P443,Member_Tab,5,FALSE())),0,VLOOKUP($P443,Member_Tab,5,FALSE())*IF(AND(BA$5 &gt; VLOOKUP($P443,Member_Tab,6,FALSE()),BA$5 &lt; VLOOKUP($P443,Member_Tab,7,FALSE())),1,0))</f>
        <v>0</v>
      </c>
      <c r="BB545" s="184" t="n">
        <f aca="false">IF(ISERROR(VLOOKUP($P443,Member_Tab,5,FALSE())),0,VLOOKUP($P443,Member_Tab,5,FALSE())*IF(AND(BB$5 &gt; VLOOKUP($P443,Member_Tab,6,FALSE()),BB$5 &lt; VLOOKUP($P443,Member_Tab,7,FALSE())),1,0))</f>
        <v>0</v>
      </c>
    </row>
    <row r="546" s="173" customFormat="true" ht="15.75" hidden="true" customHeight="false" outlineLevel="1" collapsed="false">
      <c r="E546" s="40"/>
      <c r="K546" s="40"/>
      <c r="L546" s="40"/>
      <c r="M546" s="40"/>
      <c r="N546" s="40"/>
      <c r="P546" s="183" t="n">
        <f aca="false">P444</f>
        <v>0</v>
      </c>
      <c r="Q546" s="40"/>
      <c r="R546" s="182"/>
      <c r="S546" s="184" t="n">
        <f aca="false">IF(ISERROR(VLOOKUP($P444,Member_Tab,5,FALSE())),0,VLOOKUP($P444,Member_Tab,5,FALSE())*IF(AND(S$5 &gt; VLOOKUP($P444,Member_Tab,6,FALSE()),S$5 &lt; VLOOKUP($P444,Member_Tab,7,FALSE())),1,0))</f>
        <v>0</v>
      </c>
      <c r="T546" s="184" t="n">
        <f aca="false">IF(ISERROR(VLOOKUP($P444,Member_Tab,5,FALSE())),0,VLOOKUP($P444,Member_Tab,5,FALSE())*IF(AND(T$5 &gt; VLOOKUP($P444,Member_Tab,6,FALSE()),T$5 &lt; VLOOKUP($P444,Member_Tab,7,FALSE())),1,0))</f>
        <v>0</v>
      </c>
      <c r="U546" s="184" t="n">
        <f aca="false">IF(ISERROR(VLOOKUP($P444,Member_Tab,5,FALSE())),0,VLOOKUP($P444,Member_Tab,5,FALSE())*IF(AND(U$5 &gt; VLOOKUP($P444,Member_Tab,6,FALSE()),U$5 &lt; VLOOKUP($P444,Member_Tab,7,FALSE())),1,0))</f>
        <v>0</v>
      </c>
      <c r="V546" s="184" t="n">
        <f aca="false">IF(ISERROR(VLOOKUP($P444,Member_Tab,5,FALSE())),0,VLOOKUP($P444,Member_Tab,5,FALSE())*IF(AND(V$5 &gt; VLOOKUP($P444,Member_Tab,6,FALSE()),V$5 &lt; VLOOKUP($P444,Member_Tab,7,FALSE())),1,0))</f>
        <v>0</v>
      </c>
      <c r="W546" s="184" t="n">
        <f aca="false">IF(ISERROR(VLOOKUP($P444,Member_Tab,5,FALSE())),0,VLOOKUP($P444,Member_Tab,5,FALSE())*IF(AND(W$5 &gt; VLOOKUP($P444,Member_Tab,6,FALSE()),W$5 &lt; VLOOKUP($P444,Member_Tab,7,FALSE())),1,0))</f>
        <v>0</v>
      </c>
      <c r="X546" s="184" t="n">
        <f aca="false">IF(ISERROR(VLOOKUP($P444,Member_Tab,5,FALSE())),0,VLOOKUP($P444,Member_Tab,5,FALSE())*IF(AND(X$5 &gt; VLOOKUP($P444,Member_Tab,6,FALSE()),X$5 &lt; VLOOKUP($P444,Member_Tab,7,FALSE())),1,0))</f>
        <v>0</v>
      </c>
      <c r="Y546" s="184" t="n">
        <f aca="false">IF(ISERROR(VLOOKUP($P444,Member_Tab,5,FALSE())),0,VLOOKUP($P444,Member_Tab,5,FALSE())*IF(AND(Y$5 &gt; VLOOKUP($P444,Member_Tab,6,FALSE()),Y$5 &lt; VLOOKUP($P444,Member_Tab,7,FALSE())),1,0))</f>
        <v>0</v>
      </c>
      <c r="Z546" s="184" t="n">
        <f aca="false">IF(ISERROR(VLOOKUP($P444,Member_Tab,5,FALSE())),0,VLOOKUP($P444,Member_Tab,5,FALSE())*IF(AND(Z$5 &gt; VLOOKUP($P444,Member_Tab,6,FALSE()),Z$5 &lt; VLOOKUP($P444,Member_Tab,7,FALSE())),1,0))</f>
        <v>0</v>
      </c>
      <c r="AA546" s="184" t="n">
        <f aca="false">IF(ISERROR(VLOOKUP($P444,Member_Tab,5,FALSE())),0,VLOOKUP($P444,Member_Tab,5,FALSE())*IF(AND(AA$5 &gt; VLOOKUP($P444,Member_Tab,6,FALSE()),AA$5 &lt; VLOOKUP($P444,Member_Tab,7,FALSE())),1,0))</f>
        <v>0</v>
      </c>
      <c r="AB546" s="184" t="n">
        <f aca="false">IF(ISERROR(VLOOKUP($P444,Member_Tab,5,FALSE())),0,VLOOKUP($P444,Member_Tab,5,FALSE())*IF(AND(AB$5 &gt; VLOOKUP($P444,Member_Tab,6,FALSE()),AB$5 &lt; VLOOKUP($P444,Member_Tab,7,FALSE())),1,0))</f>
        <v>0</v>
      </c>
      <c r="AC546" s="184" t="n">
        <f aca="false">IF(ISERROR(VLOOKUP($P444,Member_Tab,5,FALSE())),0,VLOOKUP($P444,Member_Tab,5,FALSE())*IF(AND(AC$5 &gt; VLOOKUP($P444,Member_Tab,6,FALSE()),AC$5 &lt; VLOOKUP($P444,Member_Tab,7,FALSE())),1,0))</f>
        <v>0</v>
      </c>
      <c r="AD546" s="184" t="n">
        <f aca="false">IF(ISERROR(VLOOKUP($P444,Member_Tab,5,FALSE())),0,VLOOKUP($P444,Member_Tab,5,FALSE())*IF(AND(AD$5 &gt; VLOOKUP($P444,Member_Tab,6,FALSE()),AD$5 &lt; VLOOKUP($P444,Member_Tab,7,FALSE())),1,0))</f>
        <v>0</v>
      </c>
      <c r="AE546" s="184" t="n">
        <f aca="false">IF(ISERROR(VLOOKUP($P444,Member_Tab,5,FALSE())),0,VLOOKUP($P444,Member_Tab,5,FALSE())*IF(AND(AE$5 &gt; VLOOKUP($P444,Member_Tab,6,FALSE()),AE$5 &lt; VLOOKUP($P444,Member_Tab,7,FALSE())),1,0))</f>
        <v>0</v>
      </c>
      <c r="AF546" s="184" t="n">
        <f aca="false">IF(ISERROR(VLOOKUP($P444,Member_Tab,5,FALSE())),0,VLOOKUP($P444,Member_Tab,5,FALSE())*IF(AND(AF$5 &gt; VLOOKUP($P444,Member_Tab,6,FALSE()),AF$5 &lt; VLOOKUP($P444,Member_Tab,7,FALSE())),1,0))</f>
        <v>0</v>
      </c>
      <c r="AG546" s="184" t="n">
        <f aca="false">IF(ISERROR(VLOOKUP($P444,Member_Tab,5,FALSE())),0,VLOOKUP($P444,Member_Tab,5,FALSE())*IF(AND(AG$5 &gt; VLOOKUP($P444,Member_Tab,6,FALSE()),AG$5 &lt; VLOOKUP($P444,Member_Tab,7,FALSE())),1,0))</f>
        <v>0</v>
      </c>
      <c r="AH546" s="184" t="n">
        <f aca="false">IF(ISERROR(VLOOKUP($P444,Member_Tab,5,FALSE())),0,VLOOKUP($P444,Member_Tab,5,FALSE())*IF(AND(AH$5 &gt; VLOOKUP($P444,Member_Tab,6,FALSE()),AH$5 &lt; VLOOKUP($P444,Member_Tab,7,FALSE())),1,0))</f>
        <v>0</v>
      </c>
      <c r="AI546" s="184" t="n">
        <f aca="false">IF(ISERROR(VLOOKUP($P444,Member_Tab,5,FALSE())),0,VLOOKUP($P444,Member_Tab,5,FALSE())*IF(AND(AI$5 &gt; VLOOKUP($P444,Member_Tab,6,FALSE()),AI$5 &lt; VLOOKUP($P444,Member_Tab,7,FALSE())),1,0))</f>
        <v>0</v>
      </c>
      <c r="AJ546" s="184" t="n">
        <f aca="false">IF(ISERROR(VLOOKUP($P444,Member_Tab,5,FALSE())),0,VLOOKUP($P444,Member_Tab,5,FALSE())*IF(AND(AJ$5 &gt; VLOOKUP($P444,Member_Tab,6,FALSE()),AJ$5 &lt; VLOOKUP($P444,Member_Tab,7,FALSE())),1,0))</f>
        <v>0</v>
      </c>
      <c r="AK546" s="184" t="n">
        <f aca="false">IF(ISERROR(VLOOKUP($P444,Member_Tab,5,FALSE())),0,VLOOKUP($P444,Member_Tab,5,FALSE())*IF(AND(AK$5 &gt; VLOOKUP($P444,Member_Tab,6,FALSE()),AK$5 &lt; VLOOKUP($P444,Member_Tab,7,FALSE())),1,0))</f>
        <v>0</v>
      </c>
      <c r="AL546" s="184" t="n">
        <f aca="false">IF(ISERROR(VLOOKUP($P444,Member_Tab,5,FALSE())),0,VLOOKUP($P444,Member_Tab,5,FALSE())*IF(AND(AL$5 &gt; VLOOKUP($P444,Member_Tab,6,FALSE()),AL$5 &lt; VLOOKUP($P444,Member_Tab,7,FALSE())),1,0))</f>
        <v>0</v>
      </c>
      <c r="AM546" s="184" t="n">
        <f aca="false">IF(ISERROR(VLOOKUP($P444,Member_Tab,5,FALSE())),0,VLOOKUP($P444,Member_Tab,5,FALSE())*IF(AND(AM$5 &gt; VLOOKUP($P444,Member_Tab,6,FALSE()),AM$5 &lt; VLOOKUP($P444,Member_Tab,7,FALSE())),1,0))</f>
        <v>0</v>
      </c>
      <c r="AN546" s="184" t="n">
        <f aca="false">IF(ISERROR(VLOOKUP($P444,Member_Tab,5,FALSE())),0,VLOOKUP($P444,Member_Tab,5,FALSE())*IF(AND(AN$5 &gt; VLOOKUP($P444,Member_Tab,6,FALSE()),AN$5 &lt; VLOOKUP($P444,Member_Tab,7,FALSE())),1,0))</f>
        <v>0</v>
      </c>
      <c r="AO546" s="184" t="n">
        <f aca="false">IF(ISERROR(VLOOKUP($P444,Member_Tab,5,FALSE())),0,VLOOKUP($P444,Member_Tab,5,FALSE())*IF(AND(AO$5 &gt; VLOOKUP($P444,Member_Tab,6,FALSE()),AO$5 &lt; VLOOKUP($P444,Member_Tab,7,FALSE())),1,0))</f>
        <v>0</v>
      </c>
      <c r="AP546" s="184" t="n">
        <f aca="false">IF(ISERROR(VLOOKUP($P444,Member_Tab,5,FALSE())),0,VLOOKUP($P444,Member_Tab,5,FALSE())*IF(AND(AP$5 &gt; VLOOKUP($P444,Member_Tab,6,FALSE()),AP$5 &lt; VLOOKUP($P444,Member_Tab,7,FALSE())),1,0))</f>
        <v>0</v>
      </c>
      <c r="AQ546" s="184" t="n">
        <f aca="false">IF(ISERROR(VLOOKUP($P444,Member_Tab,5,FALSE())),0,VLOOKUP($P444,Member_Tab,5,FALSE())*IF(AND(AQ$5 &gt; VLOOKUP($P444,Member_Tab,6,FALSE()),AQ$5 &lt; VLOOKUP($P444,Member_Tab,7,FALSE())),1,0))</f>
        <v>0</v>
      </c>
      <c r="AR546" s="184" t="n">
        <f aca="false">IF(ISERROR(VLOOKUP($P444,Member_Tab,5,FALSE())),0,VLOOKUP($P444,Member_Tab,5,FALSE())*IF(AND(AR$5 &gt; VLOOKUP($P444,Member_Tab,6,FALSE()),AR$5 &lt; VLOOKUP($P444,Member_Tab,7,FALSE())),1,0))</f>
        <v>0</v>
      </c>
      <c r="AS546" s="184" t="n">
        <f aca="false">IF(ISERROR(VLOOKUP($P444,Member_Tab,5,FALSE())),0,VLOOKUP($P444,Member_Tab,5,FALSE())*IF(AND(AS$5 &gt; VLOOKUP($P444,Member_Tab,6,FALSE()),AS$5 &lt; VLOOKUP($P444,Member_Tab,7,FALSE())),1,0))</f>
        <v>0</v>
      </c>
      <c r="AT546" s="184" t="n">
        <f aca="false">IF(ISERROR(VLOOKUP($P444,Member_Tab,5,FALSE())),0,VLOOKUP($P444,Member_Tab,5,FALSE())*IF(AND(AT$5 &gt; VLOOKUP($P444,Member_Tab,6,FALSE()),AT$5 &lt; VLOOKUP($P444,Member_Tab,7,FALSE())),1,0))</f>
        <v>0</v>
      </c>
      <c r="AU546" s="184" t="n">
        <f aca="false">IF(ISERROR(VLOOKUP($P444,Member_Tab,5,FALSE())),0,VLOOKUP($P444,Member_Tab,5,FALSE())*IF(AND(AU$5 &gt; VLOOKUP($P444,Member_Tab,6,FALSE()),AU$5 &lt; VLOOKUP($P444,Member_Tab,7,FALSE())),1,0))</f>
        <v>0</v>
      </c>
      <c r="AV546" s="184" t="n">
        <f aca="false">IF(ISERROR(VLOOKUP($P444,Member_Tab,5,FALSE())),0,VLOOKUP($P444,Member_Tab,5,FALSE())*IF(AND(AV$5 &gt; VLOOKUP($P444,Member_Tab,6,FALSE()),AV$5 &lt; VLOOKUP($P444,Member_Tab,7,FALSE())),1,0))</f>
        <v>0</v>
      </c>
      <c r="AW546" s="184" t="n">
        <f aca="false">IF(ISERROR(VLOOKUP($P444,Member_Tab,5,FALSE())),0,VLOOKUP($P444,Member_Tab,5,FALSE())*IF(AND(AW$5 &gt; VLOOKUP($P444,Member_Tab,6,FALSE()),AW$5 &lt; VLOOKUP($P444,Member_Tab,7,FALSE())),1,0))</f>
        <v>0</v>
      </c>
      <c r="AX546" s="184" t="n">
        <f aca="false">IF(ISERROR(VLOOKUP($P444,Member_Tab,5,FALSE())),0,VLOOKUP($P444,Member_Tab,5,FALSE())*IF(AND(AX$5 &gt; VLOOKUP($P444,Member_Tab,6,FALSE()),AX$5 &lt; VLOOKUP($P444,Member_Tab,7,FALSE())),1,0))</f>
        <v>0</v>
      </c>
      <c r="AY546" s="184" t="n">
        <f aca="false">IF(ISERROR(VLOOKUP($P444,Member_Tab,5,FALSE())),0,VLOOKUP($P444,Member_Tab,5,FALSE())*IF(AND(AY$5 &gt; VLOOKUP($P444,Member_Tab,6,FALSE()),AY$5 &lt; VLOOKUP($P444,Member_Tab,7,FALSE())),1,0))</f>
        <v>0</v>
      </c>
      <c r="AZ546" s="184" t="n">
        <f aca="false">IF(ISERROR(VLOOKUP($P444,Member_Tab,5,FALSE())),0,VLOOKUP($P444,Member_Tab,5,FALSE())*IF(AND(AZ$5 &gt; VLOOKUP($P444,Member_Tab,6,FALSE()),AZ$5 &lt; VLOOKUP($P444,Member_Tab,7,FALSE())),1,0))</f>
        <v>0</v>
      </c>
      <c r="BA546" s="184" t="n">
        <f aca="false">IF(ISERROR(VLOOKUP($P444,Member_Tab,5,FALSE())),0,VLOOKUP($P444,Member_Tab,5,FALSE())*IF(AND(BA$5 &gt; VLOOKUP($P444,Member_Tab,6,FALSE()),BA$5 &lt; VLOOKUP($P444,Member_Tab,7,FALSE())),1,0))</f>
        <v>0</v>
      </c>
      <c r="BB546" s="184" t="n">
        <f aca="false">IF(ISERROR(VLOOKUP($P444,Member_Tab,5,FALSE())),0,VLOOKUP($P444,Member_Tab,5,FALSE())*IF(AND(BB$5 &gt; VLOOKUP($P444,Member_Tab,6,FALSE()),BB$5 &lt; VLOOKUP($P444,Member_Tab,7,FALSE())),1,0))</f>
        <v>0</v>
      </c>
    </row>
    <row r="547" s="173" customFormat="true" ht="15.75" hidden="true" customHeight="false" outlineLevel="1" collapsed="false">
      <c r="E547" s="40"/>
      <c r="K547" s="40"/>
      <c r="L547" s="40"/>
      <c r="M547" s="40"/>
      <c r="N547" s="40"/>
      <c r="P547" s="183" t="n">
        <f aca="false">P445</f>
        <v>0</v>
      </c>
      <c r="Q547" s="40"/>
      <c r="R547" s="182"/>
      <c r="S547" s="184" t="n">
        <f aca="false">IF(ISERROR(VLOOKUP($P445,Member_Tab,5,FALSE())),0,VLOOKUP($P445,Member_Tab,5,FALSE())*IF(AND(S$5 &gt; VLOOKUP($P445,Member_Tab,6,FALSE()),S$5 &lt; VLOOKUP($P445,Member_Tab,7,FALSE())),1,0))</f>
        <v>0</v>
      </c>
      <c r="T547" s="184" t="n">
        <f aca="false">IF(ISERROR(VLOOKUP($P445,Member_Tab,5,FALSE())),0,VLOOKUP($P445,Member_Tab,5,FALSE())*IF(AND(T$5 &gt; VLOOKUP($P445,Member_Tab,6,FALSE()),T$5 &lt; VLOOKUP($P445,Member_Tab,7,FALSE())),1,0))</f>
        <v>0</v>
      </c>
      <c r="U547" s="184" t="n">
        <f aca="false">IF(ISERROR(VLOOKUP($P445,Member_Tab,5,FALSE())),0,VLOOKUP($P445,Member_Tab,5,FALSE())*IF(AND(U$5 &gt; VLOOKUP($P445,Member_Tab,6,FALSE()),U$5 &lt; VLOOKUP($P445,Member_Tab,7,FALSE())),1,0))</f>
        <v>0</v>
      </c>
      <c r="V547" s="184" t="n">
        <f aca="false">IF(ISERROR(VLOOKUP($P445,Member_Tab,5,FALSE())),0,VLOOKUP($P445,Member_Tab,5,FALSE())*IF(AND(V$5 &gt; VLOOKUP($P445,Member_Tab,6,FALSE()),V$5 &lt; VLOOKUP($P445,Member_Tab,7,FALSE())),1,0))</f>
        <v>0</v>
      </c>
      <c r="W547" s="184" t="n">
        <f aca="false">IF(ISERROR(VLOOKUP($P445,Member_Tab,5,FALSE())),0,VLOOKUP($P445,Member_Tab,5,FALSE())*IF(AND(W$5 &gt; VLOOKUP($P445,Member_Tab,6,FALSE()),W$5 &lt; VLOOKUP($P445,Member_Tab,7,FALSE())),1,0))</f>
        <v>0</v>
      </c>
      <c r="X547" s="184" t="n">
        <f aca="false">IF(ISERROR(VLOOKUP($P445,Member_Tab,5,FALSE())),0,VLOOKUP($P445,Member_Tab,5,FALSE())*IF(AND(X$5 &gt; VLOOKUP($P445,Member_Tab,6,FALSE()),X$5 &lt; VLOOKUP($P445,Member_Tab,7,FALSE())),1,0))</f>
        <v>0</v>
      </c>
      <c r="Y547" s="184" t="n">
        <f aca="false">IF(ISERROR(VLOOKUP($P445,Member_Tab,5,FALSE())),0,VLOOKUP($P445,Member_Tab,5,FALSE())*IF(AND(Y$5 &gt; VLOOKUP($P445,Member_Tab,6,FALSE()),Y$5 &lt; VLOOKUP($P445,Member_Tab,7,FALSE())),1,0))</f>
        <v>0</v>
      </c>
      <c r="Z547" s="184" t="n">
        <f aca="false">IF(ISERROR(VLOOKUP($P445,Member_Tab,5,FALSE())),0,VLOOKUP($P445,Member_Tab,5,FALSE())*IF(AND(Z$5 &gt; VLOOKUP($P445,Member_Tab,6,FALSE()),Z$5 &lt; VLOOKUP($P445,Member_Tab,7,FALSE())),1,0))</f>
        <v>0</v>
      </c>
      <c r="AA547" s="184" t="n">
        <f aca="false">IF(ISERROR(VLOOKUP($P445,Member_Tab,5,FALSE())),0,VLOOKUP($P445,Member_Tab,5,FALSE())*IF(AND(AA$5 &gt; VLOOKUP($P445,Member_Tab,6,FALSE()),AA$5 &lt; VLOOKUP($P445,Member_Tab,7,FALSE())),1,0))</f>
        <v>0</v>
      </c>
      <c r="AB547" s="184" t="n">
        <f aca="false">IF(ISERROR(VLOOKUP($P445,Member_Tab,5,FALSE())),0,VLOOKUP($P445,Member_Tab,5,FALSE())*IF(AND(AB$5 &gt; VLOOKUP($P445,Member_Tab,6,FALSE()),AB$5 &lt; VLOOKUP($P445,Member_Tab,7,FALSE())),1,0))</f>
        <v>0</v>
      </c>
      <c r="AC547" s="184" t="n">
        <f aca="false">IF(ISERROR(VLOOKUP($P445,Member_Tab,5,FALSE())),0,VLOOKUP($P445,Member_Tab,5,FALSE())*IF(AND(AC$5 &gt; VLOOKUP($P445,Member_Tab,6,FALSE()),AC$5 &lt; VLOOKUP($P445,Member_Tab,7,FALSE())),1,0))</f>
        <v>0</v>
      </c>
      <c r="AD547" s="184" t="n">
        <f aca="false">IF(ISERROR(VLOOKUP($P445,Member_Tab,5,FALSE())),0,VLOOKUP($P445,Member_Tab,5,FALSE())*IF(AND(AD$5 &gt; VLOOKUP($P445,Member_Tab,6,FALSE()),AD$5 &lt; VLOOKUP($P445,Member_Tab,7,FALSE())),1,0))</f>
        <v>0</v>
      </c>
      <c r="AE547" s="184" t="n">
        <f aca="false">IF(ISERROR(VLOOKUP($P445,Member_Tab,5,FALSE())),0,VLOOKUP($P445,Member_Tab,5,FALSE())*IF(AND(AE$5 &gt; VLOOKUP($P445,Member_Tab,6,FALSE()),AE$5 &lt; VLOOKUP($P445,Member_Tab,7,FALSE())),1,0))</f>
        <v>0</v>
      </c>
      <c r="AF547" s="184" t="n">
        <f aca="false">IF(ISERROR(VLOOKUP($P445,Member_Tab,5,FALSE())),0,VLOOKUP($P445,Member_Tab,5,FALSE())*IF(AND(AF$5 &gt; VLOOKUP($P445,Member_Tab,6,FALSE()),AF$5 &lt; VLOOKUP($P445,Member_Tab,7,FALSE())),1,0))</f>
        <v>0</v>
      </c>
      <c r="AG547" s="184" t="n">
        <f aca="false">IF(ISERROR(VLOOKUP($P445,Member_Tab,5,FALSE())),0,VLOOKUP($P445,Member_Tab,5,FALSE())*IF(AND(AG$5 &gt; VLOOKUP($P445,Member_Tab,6,FALSE()),AG$5 &lt; VLOOKUP($P445,Member_Tab,7,FALSE())),1,0))</f>
        <v>0</v>
      </c>
      <c r="AH547" s="184" t="n">
        <f aca="false">IF(ISERROR(VLOOKUP($P445,Member_Tab,5,FALSE())),0,VLOOKUP($P445,Member_Tab,5,FALSE())*IF(AND(AH$5 &gt; VLOOKUP($P445,Member_Tab,6,FALSE()),AH$5 &lt; VLOOKUP($P445,Member_Tab,7,FALSE())),1,0))</f>
        <v>0</v>
      </c>
      <c r="AI547" s="184" t="n">
        <f aca="false">IF(ISERROR(VLOOKUP($P445,Member_Tab,5,FALSE())),0,VLOOKUP($P445,Member_Tab,5,FALSE())*IF(AND(AI$5 &gt; VLOOKUP($P445,Member_Tab,6,FALSE()),AI$5 &lt; VLOOKUP($P445,Member_Tab,7,FALSE())),1,0))</f>
        <v>0</v>
      </c>
      <c r="AJ547" s="184" t="n">
        <f aca="false">IF(ISERROR(VLOOKUP($P445,Member_Tab,5,FALSE())),0,VLOOKUP($P445,Member_Tab,5,FALSE())*IF(AND(AJ$5 &gt; VLOOKUP($P445,Member_Tab,6,FALSE()),AJ$5 &lt; VLOOKUP($P445,Member_Tab,7,FALSE())),1,0))</f>
        <v>0</v>
      </c>
      <c r="AK547" s="184" t="n">
        <f aca="false">IF(ISERROR(VLOOKUP($P445,Member_Tab,5,FALSE())),0,VLOOKUP($P445,Member_Tab,5,FALSE())*IF(AND(AK$5 &gt; VLOOKUP($P445,Member_Tab,6,FALSE()),AK$5 &lt; VLOOKUP($P445,Member_Tab,7,FALSE())),1,0))</f>
        <v>0</v>
      </c>
      <c r="AL547" s="184" t="n">
        <f aca="false">IF(ISERROR(VLOOKUP($P445,Member_Tab,5,FALSE())),0,VLOOKUP($P445,Member_Tab,5,FALSE())*IF(AND(AL$5 &gt; VLOOKUP($P445,Member_Tab,6,FALSE()),AL$5 &lt; VLOOKUP($P445,Member_Tab,7,FALSE())),1,0))</f>
        <v>0</v>
      </c>
      <c r="AM547" s="184" t="n">
        <f aca="false">IF(ISERROR(VLOOKUP($P445,Member_Tab,5,FALSE())),0,VLOOKUP($P445,Member_Tab,5,FALSE())*IF(AND(AM$5 &gt; VLOOKUP($P445,Member_Tab,6,FALSE()),AM$5 &lt; VLOOKUP($P445,Member_Tab,7,FALSE())),1,0))</f>
        <v>0</v>
      </c>
      <c r="AN547" s="184" t="n">
        <f aca="false">IF(ISERROR(VLOOKUP($P445,Member_Tab,5,FALSE())),0,VLOOKUP($P445,Member_Tab,5,FALSE())*IF(AND(AN$5 &gt; VLOOKUP($P445,Member_Tab,6,FALSE()),AN$5 &lt; VLOOKUP($P445,Member_Tab,7,FALSE())),1,0))</f>
        <v>0</v>
      </c>
      <c r="AO547" s="184" t="n">
        <f aca="false">IF(ISERROR(VLOOKUP($P445,Member_Tab,5,FALSE())),0,VLOOKUP($P445,Member_Tab,5,FALSE())*IF(AND(AO$5 &gt; VLOOKUP($P445,Member_Tab,6,FALSE()),AO$5 &lt; VLOOKUP($P445,Member_Tab,7,FALSE())),1,0))</f>
        <v>0</v>
      </c>
      <c r="AP547" s="184" t="n">
        <f aca="false">IF(ISERROR(VLOOKUP($P445,Member_Tab,5,FALSE())),0,VLOOKUP($P445,Member_Tab,5,FALSE())*IF(AND(AP$5 &gt; VLOOKUP($P445,Member_Tab,6,FALSE()),AP$5 &lt; VLOOKUP($P445,Member_Tab,7,FALSE())),1,0))</f>
        <v>0</v>
      </c>
      <c r="AQ547" s="184" t="n">
        <f aca="false">IF(ISERROR(VLOOKUP($P445,Member_Tab,5,FALSE())),0,VLOOKUP($P445,Member_Tab,5,FALSE())*IF(AND(AQ$5 &gt; VLOOKUP($P445,Member_Tab,6,FALSE()),AQ$5 &lt; VLOOKUP($P445,Member_Tab,7,FALSE())),1,0))</f>
        <v>0</v>
      </c>
      <c r="AR547" s="184" t="n">
        <f aca="false">IF(ISERROR(VLOOKUP($P445,Member_Tab,5,FALSE())),0,VLOOKUP($P445,Member_Tab,5,FALSE())*IF(AND(AR$5 &gt; VLOOKUP($P445,Member_Tab,6,FALSE()),AR$5 &lt; VLOOKUP($P445,Member_Tab,7,FALSE())),1,0))</f>
        <v>0</v>
      </c>
      <c r="AS547" s="184" t="n">
        <f aca="false">IF(ISERROR(VLOOKUP($P445,Member_Tab,5,FALSE())),0,VLOOKUP($P445,Member_Tab,5,FALSE())*IF(AND(AS$5 &gt; VLOOKUP($P445,Member_Tab,6,FALSE()),AS$5 &lt; VLOOKUP($P445,Member_Tab,7,FALSE())),1,0))</f>
        <v>0</v>
      </c>
      <c r="AT547" s="184" t="n">
        <f aca="false">IF(ISERROR(VLOOKUP($P445,Member_Tab,5,FALSE())),0,VLOOKUP($P445,Member_Tab,5,FALSE())*IF(AND(AT$5 &gt; VLOOKUP($P445,Member_Tab,6,FALSE()),AT$5 &lt; VLOOKUP($P445,Member_Tab,7,FALSE())),1,0))</f>
        <v>0</v>
      </c>
      <c r="AU547" s="184" t="n">
        <f aca="false">IF(ISERROR(VLOOKUP($P445,Member_Tab,5,FALSE())),0,VLOOKUP($P445,Member_Tab,5,FALSE())*IF(AND(AU$5 &gt; VLOOKUP($P445,Member_Tab,6,FALSE()),AU$5 &lt; VLOOKUP($P445,Member_Tab,7,FALSE())),1,0))</f>
        <v>0</v>
      </c>
      <c r="AV547" s="184" t="n">
        <f aca="false">IF(ISERROR(VLOOKUP($P445,Member_Tab,5,FALSE())),0,VLOOKUP($P445,Member_Tab,5,FALSE())*IF(AND(AV$5 &gt; VLOOKUP($P445,Member_Tab,6,FALSE()),AV$5 &lt; VLOOKUP($P445,Member_Tab,7,FALSE())),1,0))</f>
        <v>0</v>
      </c>
      <c r="AW547" s="184" t="n">
        <f aca="false">IF(ISERROR(VLOOKUP($P445,Member_Tab,5,FALSE())),0,VLOOKUP($P445,Member_Tab,5,FALSE())*IF(AND(AW$5 &gt; VLOOKUP($P445,Member_Tab,6,FALSE()),AW$5 &lt; VLOOKUP($P445,Member_Tab,7,FALSE())),1,0))</f>
        <v>0</v>
      </c>
      <c r="AX547" s="184" t="n">
        <f aca="false">IF(ISERROR(VLOOKUP($P445,Member_Tab,5,FALSE())),0,VLOOKUP($P445,Member_Tab,5,FALSE())*IF(AND(AX$5 &gt; VLOOKUP($P445,Member_Tab,6,FALSE()),AX$5 &lt; VLOOKUP($P445,Member_Tab,7,FALSE())),1,0))</f>
        <v>0</v>
      </c>
      <c r="AY547" s="184" t="n">
        <f aca="false">IF(ISERROR(VLOOKUP($P445,Member_Tab,5,FALSE())),0,VLOOKUP($P445,Member_Tab,5,FALSE())*IF(AND(AY$5 &gt; VLOOKUP($P445,Member_Tab,6,FALSE()),AY$5 &lt; VLOOKUP($P445,Member_Tab,7,FALSE())),1,0))</f>
        <v>0</v>
      </c>
      <c r="AZ547" s="184" t="n">
        <f aca="false">IF(ISERROR(VLOOKUP($P445,Member_Tab,5,FALSE())),0,VLOOKUP($P445,Member_Tab,5,FALSE())*IF(AND(AZ$5 &gt; VLOOKUP($P445,Member_Tab,6,FALSE()),AZ$5 &lt; VLOOKUP($P445,Member_Tab,7,FALSE())),1,0))</f>
        <v>0</v>
      </c>
      <c r="BA547" s="184" t="n">
        <f aca="false">IF(ISERROR(VLOOKUP($P445,Member_Tab,5,FALSE())),0,VLOOKUP($P445,Member_Tab,5,FALSE())*IF(AND(BA$5 &gt; VLOOKUP($P445,Member_Tab,6,FALSE()),BA$5 &lt; VLOOKUP($P445,Member_Tab,7,FALSE())),1,0))</f>
        <v>0</v>
      </c>
      <c r="BB547" s="184" t="n">
        <f aca="false">IF(ISERROR(VLOOKUP($P445,Member_Tab,5,FALSE())),0,VLOOKUP($P445,Member_Tab,5,FALSE())*IF(AND(BB$5 &gt; VLOOKUP($P445,Member_Tab,6,FALSE()),BB$5 &lt; VLOOKUP($P445,Member_Tab,7,FALSE())),1,0))</f>
        <v>0</v>
      </c>
    </row>
    <row r="548" s="173" customFormat="true" ht="15.75" hidden="true" customHeight="false" outlineLevel="1" collapsed="false">
      <c r="E548" s="40"/>
      <c r="K548" s="40"/>
      <c r="L548" s="40"/>
      <c r="M548" s="40"/>
      <c r="N548" s="40"/>
      <c r="P548" s="183" t="n">
        <f aca="false">P446</f>
        <v>0</v>
      </c>
      <c r="Q548" s="40"/>
      <c r="R548" s="182"/>
      <c r="S548" s="184" t="n">
        <f aca="false">IF(ISERROR(VLOOKUP($P446,Member_Tab,5,FALSE())),0,VLOOKUP($P446,Member_Tab,5,FALSE())*IF(AND(S$5 &gt; VLOOKUP($P446,Member_Tab,6,FALSE()),S$5 &lt; VLOOKUP($P446,Member_Tab,7,FALSE())),1,0))</f>
        <v>0</v>
      </c>
      <c r="T548" s="184" t="n">
        <f aca="false">IF(ISERROR(VLOOKUP($P446,Member_Tab,5,FALSE())),0,VLOOKUP($P446,Member_Tab,5,FALSE())*IF(AND(T$5 &gt; VLOOKUP($P446,Member_Tab,6,FALSE()),T$5 &lt; VLOOKUP($P446,Member_Tab,7,FALSE())),1,0))</f>
        <v>0</v>
      </c>
      <c r="U548" s="184" t="n">
        <f aca="false">IF(ISERROR(VLOOKUP($P446,Member_Tab,5,FALSE())),0,VLOOKUP($P446,Member_Tab,5,FALSE())*IF(AND(U$5 &gt; VLOOKUP($P446,Member_Tab,6,FALSE()),U$5 &lt; VLOOKUP($P446,Member_Tab,7,FALSE())),1,0))</f>
        <v>0</v>
      </c>
      <c r="V548" s="184" t="n">
        <f aca="false">IF(ISERROR(VLOOKUP($P446,Member_Tab,5,FALSE())),0,VLOOKUP($P446,Member_Tab,5,FALSE())*IF(AND(V$5 &gt; VLOOKUP($P446,Member_Tab,6,FALSE()),V$5 &lt; VLOOKUP($P446,Member_Tab,7,FALSE())),1,0))</f>
        <v>0</v>
      </c>
      <c r="W548" s="184" t="n">
        <f aca="false">IF(ISERROR(VLOOKUP($P446,Member_Tab,5,FALSE())),0,VLOOKUP($P446,Member_Tab,5,FALSE())*IF(AND(W$5 &gt; VLOOKUP($P446,Member_Tab,6,FALSE()),W$5 &lt; VLOOKUP($P446,Member_Tab,7,FALSE())),1,0))</f>
        <v>0</v>
      </c>
      <c r="X548" s="184" t="n">
        <f aca="false">IF(ISERROR(VLOOKUP($P446,Member_Tab,5,FALSE())),0,VLOOKUP($P446,Member_Tab,5,FALSE())*IF(AND(X$5 &gt; VLOOKUP($P446,Member_Tab,6,FALSE()),X$5 &lt; VLOOKUP($P446,Member_Tab,7,FALSE())),1,0))</f>
        <v>0</v>
      </c>
      <c r="Y548" s="184" t="n">
        <f aca="false">IF(ISERROR(VLOOKUP($P446,Member_Tab,5,FALSE())),0,VLOOKUP($P446,Member_Tab,5,FALSE())*IF(AND(Y$5 &gt; VLOOKUP($P446,Member_Tab,6,FALSE()),Y$5 &lt; VLOOKUP($P446,Member_Tab,7,FALSE())),1,0))</f>
        <v>0</v>
      </c>
      <c r="Z548" s="184" t="n">
        <f aca="false">IF(ISERROR(VLOOKUP($P446,Member_Tab,5,FALSE())),0,VLOOKUP($P446,Member_Tab,5,FALSE())*IF(AND(Z$5 &gt; VLOOKUP($P446,Member_Tab,6,FALSE()),Z$5 &lt; VLOOKUP($P446,Member_Tab,7,FALSE())),1,0))</f>
        <v>0</v>
      </c>
      <c r="AA548" s="184" t="n">
        <f aca="false">IF(ISERROR(VLOOKUP($P446,Member_Tab,5,FALSE())),0,VLOOKUP($P446,Member_Tab,5,FALSE())*IF(AND(AA$5 &gt; VLOOKUP($P446,Member_Tab,6,FALSE()),AA$5 &lt; VLOOKUP($P446,Member_Tab,7,FALSE())),1,0))</f>
        <v>0</v>
      </c>
      <c r="AB548" s="184" t="n">
        <f aca="false">IF(ISERROR(VLOOKUP($P446,Member_Tab,5,FALSE())),0,VLOOKUP($P446,Member_Tab,5,FALSE())*IF(AND(AB$5 &gt; VLOOKUP($P446,Member_Tab,6,FALSE()),AB$5 &lt; VLOOKUP($P446,Member_Tab,7,FALSE())),1,0))</f>
        <v>0</v>
      </c>
      <c r="AC548" s="184" t="n">
        <f aca="false">IF(ISERROR(VLOOKUP($P446,Member_Tab,5,FALSE())),0,VLOOKUP($P446,Member_Tab,5,FALSE())*IF(AND(AC$5 &gt; VLOOKUP($P446,Member_Tab,6,FALSE()),AC$5 &lt; VLOOKUP($P446,Member_Tab,7,FALSE())),1,0))</f>
        <v>0</v>
      </c>
      <c r="AD548" s="184" t="n">
        <f aca="false">IF(ISERROR(VLOOKUP($P446,Member_Tab,5,FALSE())),0,VLOOKUP($P446,Member_Tab,5,FALSE())*IF(AND(AD$5 &gt; VLOOKUP($P446,Member_Tab,6,FALSE()),AD$5 &lt; VLOOKUP($P446,Member_Tab,7,FALSE())),1,0))</f>
        <v>0</v>
      </c>
      <c r="AE548" s="184" t="n">
        <f aca="false">IF(ISERROR(VLOOKUP($P446,Member_Tab,5,FALSE())),0,VLOOKUP($P446,Member_Tab,5,FALSE())*IF(AND(AE$5 &gt; VLOOKUP($P446,Member_Tab,6,FALSE()),AE$5 &lt; VLOOKUP($P446,Member_Tab,7,FALSE())),1,0))</f>
        <v>0</v>
      </c>
      <c r="AF548" s="184" t="n">
        <f aca="false">IF(ISERROR(VLOOKUP($P446,Member_Tab,5,FALSE())),0,VLOOKUP($P446,Member_Tab,5,FALSE())*IF(AND(AF$5 &gt; VLOOKUP($P446,Member_Tab,6,FALSE()),AF$5 &lt; VLOOKUP($P446,Member_Tab,7,FALSE())),1,0))</f>
        <v>0</v>
      </c>
      <c r="AG548" s="184" t="n">
        <f aca="false">IF(ISERROR(VLOOKUP($P446,Member_Tab,5,FALSE())),0,VLOOKUP($P446,Member_Tab,5,FALSE())*IF(AND(AG$5 &gt; VLOOKUP($P446,Member_Tab,6,FALSE()),AG$5 &lt; VLOOKUP($P446,Member_Tab,7,FALSE())),1,0))</f>
        <v>0</v>
      </c>
      <c r="AH548" s="184" t="n">
        <f aca="false">IF(ISERROR(VLOOKUP($P446,Member_Tab,5,FALSE())),0,VLOOKUP($P446,Member_Tab,5,FALSE())*IF(AND(AH$5 &gt; VLOOKUP($P446,Member_Tab,6,FALSE()),AH$5 &lt; VLOOKUP($P446,Member_Tab,7,FALSE())),1,0))</f>
        <v>0</v>
      </c>
      <c r="AI548" s="184" t="n">
        <f aca="false">IF(ISERROR(VLOOKUP($P446,Member_Tab,5,FALSE())),0,VLOOKUP($P446,Member_Tab,5,FALSE())*IF(AND(AI$5 &gt; VLOOKUP($P446,Member_Tab,6,FALSE()),AI$5 &lt; VLOOKUP($P446,Member_Tab,7,FALSE())),1,0))</f>
        <v>0</v>
      </c>
      <c r="AJ548" s="184" t="n">
        <f aca="false">IF(ISERROR(VLOOKUP($P446,Member_Tab,5,FALSE())),0,VLOOKUP($P446,Member_Tab,5,FALSE())*IF(AND(AJ$5 &gt; VLOOKUP($P446,Member_Tab,6,FALSE()),AJ$5 &lt; VLOOKUP($P446,Member_Tab,7,FALSE())),1,0))</f>
        <v>0</v>
      </c>
      <c r="AK548" s="184" t="n">
        <f aca="false">IF(ISERROR(VLOOKUP($P446,Member_Tab,5,FALSE())),0,VLOOKUP($P446,Member_Tab,5,FALSE())*IF(AND(AK$5 &gt; VLOOKUP($P446,Member_Tab,6,FALSE()),AK$5 &lt; VLOOKUP($P446,Member_Tab,7,FALSE())),1,0))</f>
        <v>0</v>
      </c>
      <c r="AL548" s="184" t="n">
        <f aca="false">IF(ISERROR(VLOOKUP($P446,Member_Tab,5,FALSE())),0,VLOOKUP($P446,Member_Tab,5,FALSE())*IF(AND(AL$5 &gt; VLOOKUP($P446,Member_Tab,6,FALSE()),AL$5 &lt; VLOOKUP($P446,Member_Tab,7,FALSE())),1,0))</f>
        <v>0</v>
      </c>
      <c r="AM548" s="184" t="n">
        <f aca="false">IF(ISERROR(VLOOKUP($P446,Member_Tab,5,FALSE())),0,VLOOKUP($P446,Member_Tab,5,FALSE())*IF(AND(AM$5 &gt; VLOOKUP($P446,Member_Tab,6,FALSE()),AM$5 &lt; VLOOKUP($P446,Member_Tab,7,FALSE())),1,0))</f>
        <v>0</v>
      </c>
      <c r="AN548" s="184" t="n">
        <f aca="false">IF(ISERROR(VLOOKUP($P446,Member_Tab,5,FALSE())),0,VLOOKUP($P446,Member_Tab,5,FALSE())*IF(AND(AN$5 &gt; VLOOKUP($P446,Member_Tab,6,FALSE()),AN$5 &lt; VLOOKUP($P446,Member_Tab,7,FALSE())),1,0))</f>
        <v>0</v>
      </c>
      <c r="AO548" s="184" t="n">
        <f aca="false">IF(ISERROR(VLOOKUP($P446,Member_Tab,5,FALSE())),0,VLOOKUP($P446,Member_Tab,5,FALSE())*IF(AND(AO$5 &gt; VLOOKUP($P446,Member_Tab,6,FALSE()),AO$5 &lt; VLOOKUP($P446,Member_Tab,7,FALSE())),1,0))</f>
        <v>0</v>
      </c>
      <c r="AP548" s="184" t="n">
        <f aca="false">IF(ISERROR(VLOOKUP($P446,Member_Tab,5,FALSE())),0,VLOOKUP($P446,Member_Tab,5,FALSE())*IF(AND(AP$5 &gt; VLOOKUP($P446,Member_Tab,6,FALSE()),AP$5 &lt; VLOOKUP($P446,Member_Tab,7,FALSE())),1,0))</f>
        <v>0</v>
      </c>
      <c r="AQ548" s="184" t="n">
        <f aca="false">IF(ISERROR(VLOOKUP($P446,Member_Tab,5,FALSE())),0,VLOOKUP($P446,Member_Tab,5,FALSE())*IF(AND(AQ$5 &gt; VLOOKUP($P446,Member_Tab,6,FALSE()),AQ$5 &lt; VLOOKUP($P446,Member_Tab,7,FALSE())),1,0))</f>
        <v>0</v>
      </c>
      <c r="AR548" s="184" t="n">
        <f aca="false">IF(ISERROR(VLOOKUP($P446,Member_Tab,5,FALSE())),0,VLOOKUP($P446,Member_Tab,5,FALSE())*IF(AND(AR$5 &gt; VLOOKUP($P446,Member_Tab,6,FALSE()),AR$5 &lt; VLOOKUP($P446,Member_Tab,7,FALSE())),1,0))</f>
        <v>0</v>
      </c>
      <c r="AS548" s="184" t="n">
        <f aca="false">IF(ISERROR(VLOOKUP($P446,Member_Tab,5,FALSE())),0,VLOOKUP($P446,Member_Tab,5,FALSE())*IF(AND(AS$5 &gt; VLOOKUP($P446,Member_Tab,6,FALSE()),AS$5 &lt; VLOOKUP($P446,Member_Tab,7,FALSE())),1,0))</f>
        <v>0</v>
      </c>
      <c r="AT548" s="184" t="n">
        <f aca="false">IF(ISERROR(VLOOKUP($P446,Member_Tab,5,FALSE())),0,VLOOKUP($P446,Member_Tab,5,FALSE())*IF(AND(AT$5 &gt; VLOOKUP($P446,Member_Tab,6,FALSE()),AT$5 &lt; VLOOKUP($P446,Member_Tab,7,FALSE())),1,0))</f>
        <v>0</v>
      </c>
      <c r="AU548" s="184" t="n">
        <f aca="false">IF(ISERROR(VLOOKUP($P446,Member_Tab,5,FALSE())),0,VLOOKUP($P446,Member_Tab,5,FALSE())*IF(AND(AU$5 &gt; VLOOKUP($P446,Member_Tab,6,FALSE()),AU$5 &lt; VLOOKUP($P446,Member_Tab,7,FALSE())),1,0))</f>
        <v>0</v>
      </c>
      <c r="AV548" s="184" t="n">
        <f aca="false">IF(ISERROR(VLOOKUP($P446,Member_Tab,5,FALSE())),0,VLOOKUP($P446,Member_Tab,5,FALSE())*IF(AND(AV$5 &gt; VLOOKUP($P446,Member_Tab,6,FALSE()),AV$5 &lt; VLOOKUP($P446,Member_Tab,7,FALSE())),1,0))</f>
        <v>0</v>
      </c>
      <c r="AW548" s="184" t="n">
        <f aca="false">IF(ISERROR(VLOOKUP($P446,Member_Tab,5,FALSE())),0,VLOOKUP($P446,Member_Tab,5,FALSE())*IF(AND(AW$5 &gt; VLOOKUP($P446,Member_Tab,6,FALSE()),AW$5 &lt; VLOOKUP($P446,Member_Tab,7,FALSE())),1,0))</f>
        <v>0</v>
      </c>
      <c r="AX548" s="184" t="n">
        <f aca="false">IF(ISERROR(VLOOKUP($P446,Member_Tab,5,FALSE())),0,VLOOKUP($P446,Member_Tab,5,FALSE())*IF(AND(AX$5 &gt; VLOOKUP($P446,Member_Tab,6,FALSE()),AX$5 &lt; VLOOKUP($P446,Member_Tab,7,FALSE())),1,0))</f>
        <v>0</v>
      </c>
      <c r="AY548" s="184" t="n">
        <f aca="false">IF(ISERROR(VLOOKUP($P446,Member_Tab,5,FALSE())),0,VLOOKUP($P446,Member_Tab,5,FALSE())*IF(AND(AY$5 &gt; VLOOKUP($P446,Member_Tab,6,FALSE()),AY$5 &lt; VLOOKUP($P446,Member_Tab,7,FALSE())),1,0))</f>
        <v>0</v>
      </c>
      <c r="AZ548" s="184" t="n">
        <f aca="false">IF(ISERROR(VLOOKUP($P446,Member_Tab,5,FALSE())),0,VLOOKUP($P446,Member_Tab,5,FALSE())*IF(AND(AZ$5 &gt; VLOOKUP($P446,Member_Tab,6,FALSE()),AZ$5 &lt; VLOOKUP($P446,Member_Tab,7,FALSE())),1,0))</f>
        <v>0</v>
      </c>
      <c r="BA548" s="184" t="n">
        <f aca="false">IF(ISERROR(VLOOKUP($P446,Member_Tab,5,FALSE())),0,VLOOKUP($P446,Member_Tab,5,FALSE())*IF(AND(BA$5 &gt; VLOOKUP($P446,Member_Tab,6,FALSE()),BA$5 &lt; VLOOKUP($P446,Member_Tab,7,FALSE())),1,0))</f>
        <v>0</v>
      </c>
      <c r="BB548" s="184" t="n">
        <f aca="false">IF(ISERROR(VLOOKUP($P446,Member_Tab,5,FALSE())),0,VLOOKUP($P446,Member_Tab,5,FALSE())*IF(AND(BB$5 &gt; VLOOKUP($P446,Member_Tab,6,FALSE()),BB$5 &lt; VLOOKUP($P446,Member_Tab,7,FALSE())),1,0))</f>
        <v>0</v>
      </c>
    </row>
    <row r="549" s="173" customFormat="true" ht="15.75" hidden="true" customHeight="false" outlineLevel="1" collapsed="false">
      <c r="E549" s="40"/>
      <c r="K549" s="40"/>
      <c r="L549" s="40"/>
      <c r="M549" s="40"/>
      <c r="N549" s="40"/>
      <c r="P549" s="183" t="n">
        <f aca="false">P447</f>
        <v>0</v>
      </c>
      <c r="Q549" s="40"/>
      <c r="R549" s="182"/>
      <c r="S549" s="184" t="n">
        <f aca="false">IF(ISERROR(VLOOKUP($P447,Member_Tab,5,FALSE())),0,VLOOKUP($P447,Member_Tab,5,FALSE())*IF(AND(S$5 &gt; VLOOKUP($P447,Member_Tab,6,FALSE()),S$5 &lt; VLOOKUP($P447,Member_Tab,7,FALSE())),1,0))</f>
        <v>0</v>
      </c>
      <c r="T549" s="184" t="n">
        <f aca="false">IF(ISERROR(VLOOKUP($P447,Member_Tab,5,FALSE())),0,VLOOKUP($P447,Member_Tab,5,FALSE())*IF(AND(T$5 &gt; VLOOKUP($P447,Member_Tab,6,FALSE()),T$5 &lt; VLOOKUP($P447,Member_Tab,7,FALSE())),1,0))</f>
        <v>0</v>
      </c>
      <c r="U549" s="184" t="n">
        <f aca="false">IF(ISERROR(VLOOKUP($P447,Member_Tab,5,FALSE())),0,VLOOKUP($P447,Member_Tab,5,FALSE())*IF(AND(U$5 &gt; VLOOKUP($P447,Member_Tab,6,FALSE()),U$5 &lt; VLOOKUP($P447,Member_Tab,7,FALSE())),1,0))</f>
        <v>0</v>
      </c>
      <c r="V549" s="184" t="n">
        <f aca="false">IF(ISERROR(VLOOKUP($P447,Member_Tab,5,FALSE())),0,VLOOKUP($P447,Member_Tab,5,FALSE())*IF(AND(V$5 &gt; VLOOKUP($P447,Member_Tab,6,FALSE()),V$5 &lt; VLOOKUP($P447,Member_Tab,7,FALSE())),1,0))</f>
        <v>0</v>
      </c>
      <c r="W549" s="184" t="n">
        <f aca="false">IF(ISERROR(VLOOKUP($P447,Member_Tab,5,FALSE())),0,VLOOKUP($P447,Member_Tab,5,FALSE())*IF(AND(W$5 &gt; VLOOKUP($P447,Member_Tab,6,FALSE()),W$5 &lt; VLOOKUP($P447,Member_Tab,7,FALSE())),1,0))</f>
        <v>0</v>
      </c>
      <c r="X549" s="184" t="n">
        <f aca="false">IF(ISERROR(VLOOKUP($P447,Member_Tab,5,FALSE())),0,VLOOKUP($P447,Member_Tab,5,FALSE())*IF(AND(X$5 &gt; VLOOKUP($P447,Member_Tab,6,FALSE()),X$5 &lt; VLOOKUP($P447,Member_Tab,7,FALSE())),1,0))</f>
        <v>0</v>
      </c>
      <c r="Y549" s="184" t="n">
        <f aca="false">IF(ISERROR(VLOOKUP($P447,Member_Tab,5,FALSE())),0,VLOOKUP($P447,Member_Tab,5,FALSE())*IF(AND(Y$5 &gt; VLOOKUP($P447,Member_Tab,6,FALSE()),Y$5 &lt; VLOOKUP($P447,Member_Tab,7,FALSE())),1,0))</f>
        <v>0</v>
      </c>
      <c r="Z549" s="184" t="n">
        <f aca="false">IF(ISERROR(VLOOKUP($P447,Member_Tab,5,FALSE())),0,VLOOKUP($P447,Member_Tab,5,FALSE())*IF(AND(Z$5 &gt; VLOOKUP($P447,Member_Tab,6,FALSE()),Z$5 &lt; VLOOKUP($P447,Member_Tab,7,FALSE())),1,0))</f>
        <v>0</v>
      </c>
      <c r="AA549" s="184" t="n">
        <f aca="false">IF(ISERROR(VLOOKUP($P447,Member_Tab,5,FALSE())),0,VLOOKUP($P447,Member_Tab,5,FALSE())*IF(AND(AA$5 &gt; VLOOKUP($P447,Member_Tab,6,FALSE()),AA$5 &lt; VLOOKUP($P447,Member_Tab,7,FALSE())),1,0))</f>
        <v>0</v>
      </c>
      <c r="AB549" s="184" t="n">
        <f aca="false">IF(ISERROR(VLOOKUP($P447,Member_Tab,5,FALSE())),0,VLOOKUP($P447,Member_Tab,5,FALSE())*IF(AND(AB$5 &gt; VLOOKUP($P447,Member_Tab,6,FALSE()),AB$5 &lt; VLOOKUP($P447,Member_Tab,7,FALSE())),1,0))</f>
        <v>0</v>
      </c>
      <c r="AC549" s="184" t="n">
        <f aca="false">IF(ISERROR(VLOOKUP($P447,Member_Tab,5,FALSE())),0,VLOOKUP($P447,Member_Tab,5,FALSE())*IF(AND(AC$5 &gt; VLOOKUP($P447,Member_Tab,6,FALSE()),AC$5 &lt; VLOOKUP($P447,Member_Tab,7,FALSE())),1,0))</f>
        <v>0</v>
      </c>
      <c r="AD549" s="184" t="n">
        <f aca="false">IF(ISERROR(VLOOKUP($P447,Member_Tab,5,FALSE())),0,VLOOKUP($P447,Member_Tab,5,FALSE())*IF(AND(AD$5 &gt; VLOOKUP($P447,Member_Tab,6,FALSE()),AD$5 &lt; VLOOKUP($P447,Member_Tab,7,FALSE())),1,0))</f>
        <v>0</v>
      </c>
      <c r="AE549" s="184" t="n">
        <f aca="false">IF(ISERROR(VLOOKUP($P447,Member_Tab,5,FALSE())),0,VLOOKUP($P447,Member_Tab,5,FALSE())*IF(AND(AE$5 &gt; VLOOKUP($P447,Member_Tab,6,FALSE()),AE$5 &lt; VLOOKUP($P447,Member_Tab,7,FALSE())),1,0))</f>
        <v>0</v>
      </c>
      <c r="AF549" s="184" t="n">
        <f aca="false">IF(ISERROR(VLOOKUP($P447,Member_Tab,5,FALSE())),0,VLOOKUP($P447,Member_Tab,5,FALSE())*IF(AND(AF$5 &gt; VLOOKUP($P447,Member_Tab,6,FALSE()),AF$5 &lt; VLOOKUP($P447,Member_Tab,7,FALSE())),1,0))</f>
        <v>0</v>
      </c>
      <c r="AG549" s="184" t="n">
        <f aca="false">IF(ISERROR(VLOOKUP($P447,Member_Tab,5,FALSE())),0,VLOOKUP($P447,Member_Tab,5,FALSE())*IF(AND(AG$5 &gt; VLOOKUP($P447,Member_Tab,6,FALSE()),AG$5 &lt; VLOOKUP($P447,Member_Tab,7,FALSE())),1,0))</f>
        <v>0</v>
      </c>
      <c r="AH549" s="184" t="n">
        <f aca="false">IF(ISERROR(VLOOKUP($P447,Member_Tab,5,FALSE())),0,VLOOKUP($P447,Member_Tab,5,FALSE())*IF(AND(AH$5 &gt; VLOOKUP($P447,Member_Tab,6,FALSE()),AH$5 &lt; VLOOKUP($P447,Member_Tab,7,FALSE())),1,0))</f>
        <v>0</v>
      </c>
      <c r="AI549" s="184" t="n">
        <f aca="false">IF(ISERROR(VLOOKUP($P447,Member_Tab,5,FALSE())),0,VLOOKUP($P447,Member_Tab,5,FALSE())*IF(AND(AI$5 &gt; VLOOKUP($P447,Member_Tab,6,FALSE()),AI$5 &lt; VLOOKUP($P447,Member_Tab,7,FALSE())),1,0))</f>
        <v>0</v>
      </c>
      <c r="AJ549" s="184" t="n">
        <f aca="false">IF(ISERROR(VLOOKUP($P447,Member_Tab,5,FALSE())),0,VLOOKUP($P447,Member_Tab,5,FALSE())*IF(AND(AJ$5 &gt; VLOOKUP($P447,Member_Tab,6,FALSE()),AJ$5 &lt; VLOOKUP($P447,Member_Tab,7,FALSE())),1,0))</f>
        <v>0</v>
      </c>
      <c r="AK549" s="184" t="n">
        <f aca="false">IF(ISERROR(VLOOKUP($P447,Member_Tab,5,FALSE())),0,VLOOKUP($P447,Member_Tab,5,FALSE())*IF(AND(AK$5 &gt; VLOOKUP($P447,Member_Tab,6,FALSE()),AK$5 &lt; VLOOKUP($P447,Member_Tab,7,FALSE())),1,0))</f>
        <v>0</v>
      </c>
      <c r="AL549" s="184" t="n">
        <f aca="false">IF(ISERROR(VLOOKUP($P447,Member_Tab,5,FALSE())),0,VLOOKUP($P447,Member_Tab,5,FALSE())*IF(AND(AL$5 &gt; VLOOKUP($P447,Member_Tab,6,FALSE()),AL$5 &lt; VLOOKUP($P447,Member_Tab,7,FALSE())),1,0))</f>
        <v>0</v>
      </c>
      <c r="AM549" s="184" t="n">
        <f aca="false">IF(ISERROR(VLOOKUP($P447,Member_Tab,5,FALSE())),0,VLOOKUP($P447,Member_Tab,5,FALSE())*IF(AND(AM$5 &gt; VLOOKUP($P447,Member_Tab,6,FALSE()),AM$5 &lt; VLOOKUP($P447,Member_Tab,7,FALSE())),1,0))</f>
        <v>0</v>
      </c>
      <c r="AN549" s="184" t="n">
        <f aca="false">IF(ISERROR(VLOOKUP($P447,Member_Tab,5,FALSE())),0,VLOOKUP($P447,Member_Tab,5,FALSE())*IF(AND(AN$5 &gt; VLOOKUP($P447,Member_Tab,6,FALSE()),AN$5 &lt; VLOOKUP($P447,Member_Tab,7,FALSE())),1,0))</f>
        <v>0</v>
      </c>
      <c r="AO549" s="184" t="n">
        <f aca="false">IF(ISERROR(VLOOKUP($P447,Member_Tab,5,FALSE())),0,VLOOKUP($P447,Member_Tab,5,FALSE())*IF(AND(AO$5 &gt; VLOOKUP($P447,Member_Tab,6,FALSE()),AO$5 &lt; VLOOKUP($P447,Member_Tab,7,FALSE())),1,0))</f>
        <v>0</v>
      </c>
      <c r="AP549" s="184" t="n">
        <f aca="false">IF(ISERROR(VLOOKUP($P447,Member_Tab,5,FALSE())),0,VLOOKUP($P447,Member_Tab,5,FALSE())*IF(AND(AP$5 &gt; VLOOKUP($P447,Member_Tab,6,FALSE()),AP$5 &lt; VLOOKUP($P447,Member_Tab,7,FALSE())),1,0))</f>
        <v>0</v>
      </c>
      <c r="AQ549" s="184" t="n">
        <f aca="false">IF(ISERROR(VLOOKUP($P447,Member_Tab,5,FALSE())),0,VLOOKUP($P447,Member_Tab,5,FALSE())*IF(AND(AQ$5 &gt; VLOOKUP($P447,Member_Tab,6,FALSE()),AQ$5 &lt; VLOOKUP($P447,Member_Tab,7,FALSE())),1,0))</f>
        <v>0</v>
      </c>
      <c r="AR549" s="184" t="n">
        <f aca="false">IF(ISERROR(VLOOKUP($P447,Member_Tab,5,FALSE())),0,VLOOKUP($P447,Member_Tab,5,FALSE())*IF(AND(AR$5 &gt; VLOOKUP($P447,Member_Tab,6,FALSE()),AR$5 &lt; VLOOKUP($P447,Member_Tab,7,FALSE())),1,0))</f>
        <v>0</v>
      </c>
      <c r="AS549" s="184" t="n">
        <f aca="false">IF(ISERROR(VLOOKUP($P447,Member_Tab,5,FALSE())),0,VLOOKUP($P447,Member_Tab,5,FALSE())*IF(AND(AS$5 &gt; VLOOKUP($P447,Member_Tab,6,FALSE()),AS$5 &lt; VLOOKUP($P447,Member_Tab,7,FALSE())),1,0))</f>
        <v>0</v>
      </c>
      <c r="AT549" s="184" t="n">
        <f aca="false">IF(ISERROR(VLOOKUP($P447,Member_Tab,5,FALSE())),0,VLOOKUP($P447,Member_Tab,5,FALSE())*IF(AND(AT$5 &gt; VLOOKUP($P447,Member_Tab,6,FALSE()),AT$5 &lt; VLOOKUP($P447,Member_Tab,7,FALSE())),1,0))</f>
        <v>0</v>
      </c>
      <c r="AU549" s="184" t="n">
        <f aca="false">IF(ISERROR(VLOOKUP($P447,Member_Tab,5,FALSE())),0,VLOOKUP($P447,Member_Tab,5,FALSE())*IF(AND(AU$5 &gt; VLOOKUP($P447,Member_Tab,6,FALSE()),AU$5 &lt; VLOOKUP($P447,Member_Tab,7,FALSE())),1,0))</f>
        <v>0</v>
      </c>
      <c r="AV549" s="184" t="n">
        <f aca="false">IF(ISERROR(VLOOKUP($P447,Member_Tab,5,FALSE())),0,VLOOKUP($P447,Member_Tab,5,FALSE())*IF(AND(AV$5 &gt; VLOOKUP($P447,Member_Tab,6,FALSE()),AV$5 &lt; VLOOKUP($P447,Member_Tab,7,FALSE())),1,0))</f>
        <v>0</v>
      </c>
      <c r="AW549" s="184" t="n">
        <f aca="false">IF(ISERROR(VLOOKUP($P447,Member_Tab,5,FALSE())),0,VLOOKUP($P447,Member_Tab,5,FALSE())*IF(AND(AW$5 &gt; VLOOKUP($P447,Member_Tab,6,FALSE()),AW$5 &lt; VLOOKUP($P447,Member_Tab,7,FALSE())),1,0))</f>
        <v>0</v>
      </c>
      <c r="AX549" s="184" t="n">
        <f aca="false">IF(ISERROR(VLOOKUP($P447,Member_Tab,5,FALSE())),0,VLOOKUP($P447,Member_Tab,5,FALSE())*IF(AND(AX$5 &gt; VLOOKUP($P447,Member_Tab,6,FALSE()),AX$5 &lt; VLOOKUP($P447,Member_Tab,7,FALSE())),1,0))</f>
        <v>0</v>
      </c>
      <c r="AY549" s="184" t="n">
        <f aca="false">IF(ISERROR(VLOOKUP($P447,Member_Tab,5,FALSE())),0,VLOOKUP($P447,Member_Tab,5,FALSE())*IF(AND(AY$5 &gt; VLOOKUP($P447,Member_Tab,6,FALSE()),AY$5 &lt; VLOOKUP($P447,Member_Tab,7,FALSE())),1,0))</f>
        <v>0</v>
      </c>
      <c r="AZ549" s="184" t="n">
        <f aca="false">IF(ISERROR(VLOOKUP($P447,Member_Tab,5,FALSE())),0,VLOOKUP($P447,Member_Tab,5,FALSE())*IF(AND(AZ$5 &gt; VLOOKUP($P447,Member_Tab,6,FALSE()),AZ$5 &lt; VLOOKUP($P447,Member_Tab,7,FALSE())),1,0))</f>
        <v>0</v>
      </c>
      <c r="BA549" s="184" t="n">
        <f aca="false">IF(ISERROR(VLOOKUP($P447,Member_Tab,5,FALSE())),0,VLOOKUP($P447,Member_Tab,5,FALSE())*IF(AND(BA$5 &gt; VLOOKUP($P447,Member_Tab,6,FALSE()),BA$5 &lt; VLOOKUP($P447,Member_Tab,7,FALSE())),1,0))</f>
        <v>0</v>
      </c>
      <c r="BB549" s="184" t="n">
        <f aca="false">IF(ISERROR(VLOOKUP($P447,Member_Tab,5,FALSE())),0,VLOOKUP($P447,Member_Tab,5,FALSE())*IF(AND(BB$5 &gt; VLOOKUP($P447,Member_Tab,6,FALSE()),BB$5 &lt; VLOOKUP($P447,Member_Tab,7,FALSE())),1,0))</f>
        <v>0</v>
      </c>
    </row>
    <row r="550" s="173" customFormat="true" ht="15.75" hidden="true" customHeight="false" outlineLevel="1" collapsed="false">
      <c r="E550" s="40"/>
      <c r="K550" s="40"/>
      <c r="L550" s="40"/>
      <c r="M550" s="40"/>
      <c r="N550" s="40"/>
      <c r="P550" s="183" t="n">
        <f aca="false">P448</f>
        <v>0</v>
      </c>
      <c r="Q550" s="40"/>
      <c r="R550" s="182"/>
      <c r="S550" s="184" t="n">
        <f aca="false">IF(ISERROR(VLOOKUP($P448,Member_Tab,5,FALSE())),0,VLOOKUP($P448,Member_Tab,5,FALSE())*IF(AND(S$5 &gt; VLOOKUP($P448,Member_Tab,6,FALSE()),S$5 &lt; VLOOKUP($P448,Member_Tab,7,FALSE())),1,0))</f>
        <v>0</v>
      </c>
      <c r="T550" s="184" t="n">
        <f aca="false">IF(ISERROR(VLOOKUP($P448,Member_Tab,5,FALSE())),0,VLOOKUP($P448,Member_Tab,5,FALSE())*IF(AND(T$5 &gt; VLOOKUP($P448,Member_Tab,6,FALSE()),T$5 &lt; VLOOKUP($P448,Member_Tab,7,FALSE())),1,0))</f>
        <v>0</v>
      </c>
      <c r="U550" s="184" t="n">
        <f aca="false">IF(ISERROR(VLOOKUP($P448,Member_Tab,5,FALSE())),0,VLOOKUP($P448,Member_Tab,5,FALSE())*IF(AND(U$5 &gt; VLOOKUP($P448,Member_Tab,6,FALSE()),U$5 &lt; VLOOKUP($P448,Member_Tab,7,FALSE())),1,0))</f>
        <v>0</v>
      </c>
      <c r="V550" s="184" t="n">
        <f aca="false">IF(ISERROR(VLOOKUP($P448,Member_Tab,5,FALSE())),0,VLOOKUP($P448,Member_Tab,5,FALSE())*IF(AND(V$5 &gt; VLOOKUP($P448,Member_Tab,6,FALSE()),V$5 &lt; VLOOKUP($P448,Member_Tab,7,FALSE())),1,0))</f>
        <v>0</v>
      </c>
      <c r="W550" s="184" t="n">
        <f aca="false">IF(ISERROR(VLOOKUP($P448,Member_Tab,5,FALSE())),0,VLOOKUP($P448,Member_Tab,5,FALSE())*IF(AND(W$5 &gt; VLOOKUP($P448,Member_Tab,6,FALSE()),W$5 &lt; VLOOKUP($P448,Member_Tab,7,FALSE())),1,0))</f>
        <v>0</v>
      </c>
      <c r="X550" s="184" t="n">
        <f aca="false">IF(ISERROR(VLOOKUP($P448,Member_Tab,5,FALSE())),0,VLOOKUP($P448,Member_Tab,5,FALSE())*IF(AND(X$5 &gt; VLOOKUP($P448,Member_Tab,6,FALSE()),X$5 &lt; VLOOKUP($P448,Member_Tab,7,FALSE())),1,0))</f>
        <v>0</v>
      </c>
      <c r="Y550" s="184" t="n">
        <f aca="false">IF(ISERROR(VLOOKUP($P448,Member_Tab,5,FALSE())),0,VLOOKUP($P448,Member_Tab,5,FALSE())*IF(AND(Y$5 &gt; VLOOKUP($P448,Member_Tab,6,FALSE()),Y$5 &lt; VLOOKUP($P448,Member_Tab,7,FALSE())),1,0))</f>
        <v>0</v>
      </c>
      <c r="Z550" s="184" t="n">
        <f aca="false">IF(ISERROR(VLOOKUP($P448,Member_Tab,5,FALSE())),0,VLOOKUP($P448,Member_Tab,5,FALSE())*IF(AND(Z$5 &gt; VLOOKUP($P448,Member_Tab,6,FALSE()),Z$5 &lt; VLOOKUP($P448,Member_Tab,7,FALSE())),1,0))</f>
        <v>0</v>
      </c>
      <c r="AA550" s="184" t="n">
        <f aca="false">IF(ISERROR(VLOOKUP($P448,Member_Tab,5,FALSE())),0,VLOOKUP($P448,Member_Tab,5,FALSE())*IF(AND(AA$5 &gt; VLOOKUP($P448,Member_Tab,6,FALSE()),AA$5 &lt; VLOOKUP($P448,Member_Tab,7,FALSE())),1,0))</f>
        <v>0</v>
      </c>
      <c r="AB550" s="184" t="n">
        <f aca="false">IF(ISERROR(VLOOKUP($P448,Member_Tab,5,FALSE())),0,VLOOKUP($P448,Member_Tab,5,FALSE())*IF(AND(AB$5 &gt; VLOOKUP($P448,Member_Tab,6,FALSE()),AB$5 &lt; VLOOKUP($P448,Member_Tab,7,FALSE())),1,0))</f>
        <v>0</v>
      </c>
      <c r="AC550" s="184" t="n">
        <f aca="false">IF(ISERROR(VLOOKUP($P448,Member_Tab,5,FALSE())),0,VLOOKUP($P448,Member_Tab,5,FALSE())*IF(AND(AC$5 &gt; VLOOKUP($P448,Member_Tab,6,FALSE()),AC$5 &lt; VLOOKUP($P448,Member_Tab,7,FALSE())),1,0))</f>
        <v>0</v>
      </c>
      <c r="AD550" s="184" t="n">
        <f aca="false">IF(ISERROR(VLOOKUP($P448,Member_Tab,5,FALSE())),0,VLOOKUP($P448,Member_Tab,5,FALSE())*IF(AND(AD$5 &gt; VLOOKUP($P448,Member_Tab,6,FALSE()),AD$5 &lt; VLOOKUP($P448,Member_Tab,7,FALSE())),1,0))</f>
        <v>0</v>
      </c>
      <c r="AE550" s="184" t="n">
        <f aca="false">IF(ISERROR(VLOOKUP($P448,Member_Tab,5,FALSE())),0,VLOOKUP($P448,Member_Tab,5,FALSE())*IF(AND(AE$5 &gt; VLOOKUP($P448,Member_Tab,6,FALSE()),AE$5 &lt; VLOOKUP($P448,Member_Tab,7,FALSE())),1,0))</f>
        <v>0</v>
      </c>
      <c r="AF550" s="184" t="n">
        <f aca="false">IF(ISERROR(VLOOKUP($P448,Member_Tab,5,FALSE())),0,VLOOKUP($P448,Member_Tab,5,FALSE())*IF(AND(AF$5 &gt; VLOOKUP($P448,Member_Tab,6,FALSE()),AF$5 &lt; VLOOKUP($P448,Member_Tab,7,FALSE())),1,0))</f>
        <v>0</v>
      </c>
      <c r="AG550" s="184" t="n">
        <f aca="false">IF(ISERROR(VLOOKUP($P448,Member_Tab,5,FALSE())),0,VLOOKUP($P448,Member_Tab,5,FALSE())*IF(AND(AG$5 &gt; VLOOKUP($P448,Member_Tab,6,FALSE()),AG$5 &lt; VLOOKUP($P448,Member_Tab,7,FALSE())),1,0))</f>
        <v>0</v>
      </c>
      <c r="AH550" s="184" t="n">
        <f aca="false">IF(ISERROR(VLOOKUP($P448,Member_Tab,5,FALSE())),0,VLOOKUP($P448,Member_Tab,5,FALSE())*IF(AND(AH$5 &gt; VLOOKUP($P448,Member_Tab,6,FALSE()),AH$5 &lt; VLOOKUP($P448,Member_Tab,7,FALSE())),1,0))</f>
        <v>0</v>
      </c>
      <c r="AI550" s="184" t="n">
        <f aca="false">IF(ISERROR(VLOOKUP($P448,Member_Tab,5,FALSE())),0,VLOOKUP($P448,Member_Tab,5,FALSE())*IF(AND(AI$5 &gt; VLOOKUP($P448,Member_Tab,6,FALSE()),AI$5 &lt; VLOOKUP($P448,Member_Tab,7,FALSE())),1,0))</f>
        <v>0</v>
      </c>
      <c r="AJ550" s="184" t="n">
        <f aca="false">IF(ISERROR(VLOOKUP($P448,Member_Tab,5,FALSE())),0,VLOOKUP($P448,Member_Tab,5,FALSE())*IF(AND(AJ$5 &gt; VLOOKUP($P448,Member_Tab,6,FALSE()),AJ$5 &lt; VLOOKUP($P448,Member_Tab,7,FALSE())),1,0))</f>
        <v>0</v>
      </c>
      <c r="AK550" s="184" t="n">
        <f aca="false">IF(ISERROR(VLOOKUP($P448,Member_Tab,5,FALSE())),0,VLOOKUP($P448,Member_Tab,5,FALSE())*IF(AND(AK$5 &gt; VLOOKUP($P448,Member_Tab,6,FALSE()),AK$5 &lt; VLOOKUP($P448,Member_Tab,7,FALSE())),1,0))</f>
        <v>0</v>
      </c>
      <c r="AL550" s="184" t="n">
        <f aca="false">IF(ISERROR(VLOOKUP($P448,Member_Tab,5,FALSE())),0,VLOOKUP($P448,Member_Tab,5,FALSE())*IF(AND(AL$5 &gt; VLOOKUP($P448,Member_Tab,6,FALSE()),AL$5 &lt; VLOOKUP($P448,Member_Tab,7,FALSE())),1,0))</f>
        <v>0</v>
      </c>
      <c r="AM550" s="184" t="n">
        <f aca="false">IF(ISERROR(VLOOKUP($P448,Member_Tab,5,FALSE())),0,VLOOKUP($P448,Member_Tab,5,FALSE())*IF(AND(AM$5 &gt; VLOOKUP($P448,Member_Tab,6,FALSE()),AM$5 &lt; VLOOKUP($P448,Member_Tab,7,FALSE())),1,0))</f>
        <v>0</v>
      </c>
      <c r="AN550" s="184" t="n">
        <f aca="false">IF(ISERROR(VLOOKUP($P448,Member_Tab,5,FALSE())),0,VLOOKUP($P448,Member_Tab,5,FALSE())*IF(AND(AN$5 &gt; VLOOKUP($P448,Member_Tab,6,FALSE()),AN$5 &lt; VLOOKUP($P448,Member_Tab,7,FALSE())),1,0))</f>
        <v>0</v>
      </c>
      <c r="AO550" s="184" t="n">
        <f aca="false">IF(ISERROR(VLOOKUP($P448,Member_Tab,5,FALSE())),0,VLOOKUP($P448,Member_Tab,5,FALSE())*IF(AND(AO$5 &gt; VLOOKUP($P448,Member_Tab,6,FALSE()),AO$5 &lt; VLOOKUP($P448,Member_Tab,7,FALSE())),1,0))</f>
        <v>0</v>
      </c>
      <c r="AP550" s="184" t="n">
        <f aca="false">IF(ISERROR(VLOOKUP($P448,Member_Tab,5,FALSE())),0,VLOOKUP($P448,Member_Tab,5,FALSE())*IF(AND(AP$5 &gt; VLOOKUP($P448,Member_Tab,6,FALSE()),AP$5 &lt; VLOOKUP($P448,Member_Tab,7,FALSE())),1,0))</f>
        <v>0</v>
      </c>
      <c r="AQ550" s="184" t="n">
        <f aca="false">IF(ISERROR(VLOOKUP($P448,Member_Tab,5,FALSE())),0,VLOOKUP($P448,Member_Tab,5,FALSE())*IF(AND(AQ$5 &gt; VLOOKUP($P448,Member_Tab,6,FALSE()),AQ$5 &lt; VLOOKUP($P448,Member_Tab,7,FALSE())),1,0))</f>
        <v>0</v>
      </c>
      <c r="AR550" s="184" t="n">
        <f aca="false">IF(ISERROR(VLOOKUP($P448,Member_Tab,5,FALSE())),0,VLOOKUP($P448,Member_Tab,5,FALSE())*IF(AND(AR$5 &gt; VLOOKUP($P448,Member_Tab,6,FALSE()),AR$5 &lt; VLOOKUP($P448,Member_Tab,7,FALSE())),1,0))</f>
        <v>0</v>
      </c>
      <c r="AS550" s="184" t="n">
        <f aca="false">IF(ISERROR(VLOOKUP($P448,Member_Tab,5,FALSE())),0,VLOOKUP($P448,Member_Tab,5,FALSE())*IF(AND(AS$5 &gt; VLOOKUP($P448,Member_Tab,6,FALSE()),AS$5 &lt; VLOOKUP($P448,Member_Tab,7,FALSE())),1,0))</f>
        <v>0</v>
      </c>
      <c r="AT550" s="184" t="n">
        <f aca="false">IF(ISERROR(VLOOKUP($P448,Member_Tab,5,FALSE())),0,VLOOKUP($P448,Member_Tab,5,FALSE())*IF(AND(AT$5 &gt; VLOOKUP($P448,Member_Tab,6,FALSE()),AT$5 &lt; VLOOKUP($P448,Member_Tab,7,FALSE())),1,0))</f>
        <v>0</v>
      </c>
      <c r="AU550" s="184" t="n">
        <f aca="false">IF(ISERROR(VLOOKUP($P448,Member_Tab,5,FALSE())),0,VLOOKUP($P448,Member_Tab,5,FALSE())*IF(AND(AU$5 &gt; VLOOKUP($P448,Member_Tab,6,FALSE()),AU$5 &lt; VLOOKUP($P448,Member_Tab,7,FALSE())),1,0))</f>
        <v>0</v>
      </c>
      <c r="AV550" s="184" t="n">
        <f aca="false">IF(ISERROR(VLOOKUP($P448,Member_Tab,5,FALSE())),0,VLOOKUP($P448,Member_Tab,5,FALSE())*IF(AND(AV$5 &gt; VLOOKUP($P448,Member_Tab,6,FALSE()),AV$5 &lt; VLOOKUP($P448,Member_Tab,7,FALSE())),1,0))</f>
        <v>0</v>
      </c>
      <c r="AW550" s="184" t="n">
        <f aca="false">IF(ISERROR(VLOOKUP($P448,Member_Tab,5,FALSE())),0,VLOOKUP($P448,Member_Tab,5,FALSE())*IF(AND(AW$5 &gt; VLOOKUP($P448,Member_Tab,6,FALSE()),AW$5 &lt; VLOOKUP($P448,Member_Tab,7,FALSE())),1,0))</f>
        <v>0</v>
      </c>
      <c r="AX550" s="184" t="n">
        <f aca="false">IF(ISERROR(VLOOKUP($P448,Member_Tab,5,FALSE())),0,VLOOKUP($P448,Member_Tab,5,FALSE())*IF(AND(AX$5 &gt; VLOOKUP($P448,Member_Tab,6,FALSE()),AX$5 &lt; VLOOKUP($P448,Member_Tab,7,FALSE())),1,0))</f>
        <v>0</v>
      </c>
      <c r="AY550" s="184" t="n">
        <f aca="false">IF(ISERROR(VLOOKUP($P448,Member_Tab,5,FALSE())),0,VLOOKUP($P448,Member_Tab,5,FALSE())*IF(AND(AY$5 &gt; VLOOKUP($P448,Member_Tab,6,FALSE()),AY$5 &lt; VLOOKUP($P448,Member_Tab,7,FALSE())),1,0))</f>
        <v>0</v>
      </c>
      <c r="AZ550" s="184" t="n">
        <f aca="false">IF(ISERROR(VLOOKUP($P448,Member_Tab,5,FALSE())),0,VLOOKUP($P448,Member_Tab,5,FALSE())*IF(AND(AZ$5 &gt; VLOOKUP($P448,Member_Tab,6,FALSE()),AZ$5 &lt; VLOOKUP($P448,Member_Tab,7,FALSE())),1,0))</f>
        <v>0</v>
      </c>
      <c r="BA550" s="184" t="n">
        <f aca="false">IF(ISERROR(VLOOKUP($P448,Member_Tab,5,FALSE())),0,VLOOKUP($P448,Member_Tab,5,FALSE())*IF(AND(BA$5 &gt; VLOOKUP($P448,Member_Tab,6,FALSE()),BA$5 &lt; VLOOKUP($P448,Member_Tab,7,FALSE())),1,0))</f>
        <v>0</v>
      </c>
      <c r="BB550" s="184" t="n">
        <f aca="false">IF(ISERROR(VLOOKUP($P448,Member_Tab,5,FALSE())),0,VLOOKUP($P448,Member_Tab,5,FALSE())*IF(AND(BB$5 &gt; VLOOKUP($P448,Member_Tab,6,FALSE()),BB$5 &lt; VLOOKUP($P448,Member_Tab,7,FALSE())),1,0))</f>
        <v>0</v>
      </c>
    </row>
    <row r="551" s="173" customFormat="true" ht="15.75" hidden="true" customHeight="false" outlineLevel="1" collapsed="false">
      <c r="E551" s="40"/>
      <c r="K551" s="40"/>
      <c r="L551" s="40"/>
      <c r="M551" s="40"/>
      <c r="N551" s="40"/>
      <c r="P551" s="183" t="n">
        <f aca="false">P449</f>
        <v>0</v>
      </c>
      <c r="Q551" s="40"/>
      <c r="R551" s="182"/>
      <c r="S551" s="184" t="n">
        <f aca="false">IF(ISERROR(VLOOKUP($P449,Member_Tab,5,FALSE())),0,VLOOKUP($P449,Member_Tab,5,FALSE())*IF(AND(S$5 &gt; VLOOKUP($P449,Member_Tab,6,FALSE()),S$5 &lt; VLOOKUP($P449,Member_Tab,7,FALSE())),1,0))</f>
        <v>0</v>
      </c>
      <c r="T551" s="184" t="n">
        <f aca="false">IF(ISERROR(VLOOKUP($P449,Member_Tab,5,FALSE())),0,VLOOKUP($P449,Member_Tab,5,FALSE())*IF(AND(T$5 &gt; VLOOKUP($P449,Member_Tab,6,FALSE()),T$5 &lt; VLOOKUP($P449,Member_Tab,7,FALSE())),1,0))</f>
        <v>0</v>
      </c>
      <c r="U551" s="184" t="n">
        <f aca="false">IF(ISERROR(VLOOKUP($P449,Member_Tab,5,FALSE())),0,VLOOKUP($P449,Member_Tab,5,FALSE())*IF(AND(U$5 &gt; VLOOKUP($P449,Member_Tab,6,FALSE()),U$5 &lt; VLOOKUP($P449,Member_Tab,7,FALSE())),1,0))</f>
        <v>0</v>
      </c>
      <c r="V551" s="184" t="n">
        <f aca="false">IF(ISERROR(VLOOKUP($P449,Member_Tab,5,FALSE())),0,VLOOKUP($P449,Member_Tab,5,FALSE())*IF(AND(V$5 &gt; VLOOKUP($P449,Member_Tab,6,FALSE()),V$5 &lt; VLOOKUP($P449,Member_Tab,7,FALSE())),1,0))</f>
        <v>0</v>
      </c>
      <c r="W551" s="184" t="n">
        <f aca="false">IF(ISERROR(VLOOKUP($P449,Member_Tab,5,FALSE())),0,VLOOKUP($P449,Member_Tab,5,FALSE())*IF(AND(W$5 &gt; VLOOKUP($P449,Member_Tab,6,FALSE()),W$5 &lt; VLOOKUP($P449,Member_Tab,7,FALSE())),1,0))</f>
        <v>0</v>
      </c>
      <c r="X551" s="184" t="n">
        <f aca="false">IF(ISERROR(VLOOKUP($P449,Member_Tab,5,FALSE())),0,VLOOKUP($P449,Member_Tab,5,FALSE())*IF(AND(X$5 &gt; VLOOKUP($P449,Member_Tab,6,FALSE()),X$5 &lt; VLOOKUP($P449,Member_Tab,7,FALSE())),1,0))</f>
        <v>0</v>
      </c>
      <c r="Y551" s="184" t="n">
        <f aca="false">IF(ISERROR(VLOOKUP($P449,Member_Tab,5,FALSE())),0,VLOOKUP($P449,Member_Tab,5,FALSE())*IF(AND(Y$5 &gt; VLOOKUP($P449,Member_Tab,6,FALSE()),Y$5 &lt; VLOOKUP($P449,Member_Tab,7,FALSE())),1,0))</f>
        <v>0</v>
      </c>
      <c r="Z551" s="184" t="n">
        <f aca="false">IF(ISERROR(VLOOKUP($P449,Member_Tab,5,FALSE())),0,VLOOKUP($P449,Member_Tab,5,FALSE())*IF(AND(Z$5 &gt; VLOOKUP($P449,Member_Tab,6,FALSE()),Z$5 &lt; VLOOKUP($P449,Member_Tab,7,FALSE())),1,0))</f>
        <v>0</v>
      </c>
      <c r="AA551" s="184" t="n">
        <f aca="false">IF(ISERROR(VLOOKUP($P449,Member_Tab,5,FALSE())),0,VLOOKUP($P449,Member_Tab,5,FALSE())*IF(AND(AA$5 &gt; VLOOKUP($P449,Member_Tab,6,FALSE()),AA$5 &lt; VLOOKUP($P449,Member_Tab,7,FALSE())),1,0))</f>
        <v>0</v>
      </c>
      <c r="AB551" s="184" t="n">
        <f aca="false">IF(ISERROR(VLOOKUP($P449,Member_Tab,5,FALSE())),0,VLOOKUP($P449,Member_Tab,5,FALSE())*IF(AND(AB$5 &gt; VLOOKUP($P449,Member_Tab,6,FALSE()),AB$5 &lt; VLOOKUP($P449,Member_Tab,7,FALSE())),1,0))</f>
        <v>0</v>
      </c>
      <c r="AC551" s="184" t="n">
        <f aca="false">IF(ISERROR(VLOOKUP($P449,Member_Tab,5,FALSE())),0,VLOOKUP($P449,Member_Tab,5,FALSE())*IF(AND(AC$5 &gt; VLOOKUP($P449,Member_Tab,6,FALSE()),AC$5 &lt; VLOOKUP($P449,Member_Tab,7,FALSE())),1,0))</f>
        <v>0</v>
      </c>
      <c r="AD551" s="184" t="n">
        <f aca="false">IF(ISERROR(VLOOKUP($P449,Member_Tab,5,FALSE())),0,VLOOKUP($P449,Member_Tab,5,FALSE())*IF(AND(AD$5 &gt; VLOOKUP($P449,Member_Tab,6,FALSE()),AD$5 &lt; VLOOKUP($P449,Member_Tab,7,FALSE())),1,0))</f>
        <v>0</v>
      </c>
      <c r="AE551" s="184" t="n">
        <f aca="false">IF(ISERROR(VLOOKUP($P449,Member_Tab,5,FALSE())),0,VLOOKUP($P449,Member_Tab,5,FALSE())*IF(AND(AE$5 &gt; VLOOKUP($P449,Member_Tab,6,FALSE()),AE$5 &lt; VLOOKUP($P449,Member_Tab,7,FALSE())),1,0))</f>
        <v>0</v>
      </c>
      <c r="AF551" s="184" t="n">
        <f aca="false">IF(ISERROR(VLOOKUP($P449,Member_Tab,5,FALSE())),0,VLOOKUP($P449,Member_Tab,5,FALSE())*IF(AND(AF$5 &gt; VLOOKUP($P449,Member_Tab,6,FALSE()),AF$5 &lt; VLOOKUP($P449,Member_Tab,7,FALSE())),1,0))</f>
        <v>0</v>
      </c>
      <c r="AG551" s="184" t="n">
        <f aca="false">IF(ISERROR(VLOOKUP($P449,Member_Tab,5,FALSE())),0,VLOOKUP($P449,Member_Tab,5,FALSE())*IF(AND(AG$5 &gt; VLOOKUP($P449,Member_Tab,6,FALSE()),AG$5 &lt; VLOOKUP($P449,Member_Tab,7,FALSE())),1,0))</f>
        <v>0</v>
      </c>
      <c r="AH551" s="184" t="n">
        <f aca="false">IF(ISERROR(VLOOKUP($P449,Member_Tab,5,FALSE())),0,VLOOKUP($P449,Member_Tab,5,FALSE())*IF(AND(AH$5 &gt; VLOOKUP($P449,Member_Tab,6,FALSE()),AH$5 &lt; VLOOKUP($P449,Member_Tab,7,FALSE())),1,0))</f>
        <v>0</v>
      </c>
      <c r="AI551" s="184" t="n">
        <f aca="false">IF(ISERROR(VLOOKUP($P449,Member_Tab,5,FALSE())),0,VLOOKUP($P449,Member_Tab,5,FALSE())*IF(AND(AI$5 &gt; VLOOKUP($P449,Member_Tab,6,FALSE()),AI$5 &lt; VLOOKUP($P449,Member_Tab,7,FALSE())),1,0))</f>
        <v>0</v>
      </c>
      <c r="AJ551" s="184" t="n">
        <f aca="false">IF(ISERROR(VLOOKUP($P449,Member_Tab,5,FALSE())),0,VLOOKUP($P449,Member_Tab,5,FALSE())*IF(AND(AJ$5 &gt; VLOOKUP($P449,Member_Tab,6,FALSE()),AJ$5 &lt; VLOOKUP($P449,Member_Tab,7,FALSE())),1,0))</f>
        <v>0</v>
      </c>
      <c r="AK551" s="184" t="n">
        <f aca="false">IF(ISERROR(VLOOKUP($P449,Member_Tab,5,FALSE())),0,VLOOKUP($P449,Member_Tab,5,FALSE())*IF(AND(AK$5 &gt; VLOOKUP($P449,Member_Tab,6,FALSE()),AK$5 &lt; VLOOKUP($P449,Member_Tab,7,FALSE())),1,0))</f>
        <v>0</v>
      </c>
      <c r="AL551" s="184" t="n">
        <f aca="false">IF(ISERROR(VLOOKUP($P449,Member_Tab,5,FALSE())),0,VLOOKUP($P449,Member_Tab,5,FALSE())*IF(AND(AL$5 &gt; VLOOKUP($P449,Member_Tab,6,FALSE()),AL$5 &lt; VLOOKUP($P449,Member_Tab,7,FALSE())),1,0))</f>
        <v>0</v>
      </c>
      <c r="AM551" s="184" t="n">
        <f aca="false">IF(ISERROR(VLOOKUP($P449,Member_Tab,5,FALSE())),0,VLOOKUP($P449,Member_Tab,5,FALSE())*IF(AND(AM$5 &gt; VLOOKUP($P449,Member_Tab,6,FALSE()),AM$5 &lt; VLOOKUP($P449,Member_Tab,7,FALSE())),1,0))</f>
        <v>0</v>
      </c>
      <c r="AN551" s="184" t="n">
        <f aca="false">IF(ISERROR(VLOOKUP($P449,Member_Tab,5,FALSE())),0,VLOOKUP($P449,Member_Tab,5,FALSE())*IF(AND(AN$5 &gt; VLOOKUP($P449,Member_Tab,6,FALSE()),AN$5 &lt; VLOOKUP($P449,Member_Tab,7,FALSE())),1,0))</f>
        <v>0</v>
      </c>
      <c r="AO551" s="184" t="n">
        <f aca="false">IF(ISERROR(VLOOKUP($P449,Member_Tab,5,FALSE())),0,VLOOKUP($P449,Member_Tab,5,FALSE())*IF(AND(AO$5 &gt; VLOOKUP($P449,Member_Tab,6,FALSE()),AO$5 &lt; VLOOKUP($P449,Member_Tab,7,FALSE())),1,0))</f>
        <v>0</v>
      </c>
      <c r="AP551" s="184" t="n">
        <f aca="false">IF(ISERROR(VLOOKUP($P449,Member_Tab,5,FALSE())),0,VLOOKUP($P449,Member_Tab,5,FALSE())*IF(AND(AP$5 &gt; VLOOKUP($P449,Member_Tab,6,FALSE()),AP$5 &lt; VLOOKUP($P449,Member_Tab,7,FALSE())),1,0))</f>
        <v>0</v>
      </c>
      <c r="AQ551" s="184" t="n">
        <f aca="false">IF(ISERROR(VLOOKUP($P449,Member_Tab,5,FALSE())),0,VLOOKUP($P449,Member_Tab,5,FALSE())*IF(AND(AQ$5 &gt; VLOOKUP($P449,Member_Tab,6,FALSE()),AQ$5 &lt; VLOOKUP($P449,Member_Tab,7,FALSE())),1,0))</f>
        <v>0</v>
      </c>
      <c r="AR551" s="184" t="n">
        <f aca="false">IF(ISERROR(VLOOKUP($P449,Member_Tab,5,FALSE())),0,VLOOKUP($P449,Member_Tab,5,FALSE())*IF(AND(AR$5 &gt; VLOOKUP($P449,Member_Tab,6,FALSE()),AR$5 &lt; VLOOKUP($P449,Member_Tab,7,FALSE())),1,0))</f>
        <v>0</v>
      </c>
      <c r="AS551" s="184" t="n">
        <f aca="false">IF(ISERROR(VLOOKUP($P449,Member_Tab,5,FALSE())),0,VLOOKUP($P449,Member_Tab,5,FALSE())*IF(AND(AS$5 &gt; VLOOKUP($P449,Member_Tab,6,FALSE()),AS$5 &lt; VLOOKUP($P449,Member_Tab,7,FALSE())),1,0))</f>
        <v>0</v>
      </c>
      <c r="AT551" s="184" t="n">
        <f aca="false">IF(ISERROR(VLOOKUP($P449,Member_Tab,5,FALSE())),0,VLOOKUP($P449,Member_Tab,5,FALSE())*IF(AND(AT$5 &gt; VLOOKUP($P449,Member_Tab,6,FALSE()),AT$5 &lt; VLOOKUP($P449,Member_Tab,7,FALSE())),1,0))</f>
        <v>0</v>
      </c>
      <c r="AU551" s="184" t="n">
        <f aca="false">IF(ISERROR(VLOOKUP($P449,Member_Tab,5,FALSE())),0,VLOOKUP($P449,Member_Tab,5,FALSE())*IF(AND(AU$5 &gt; VLOOKUP($P449,Member_Tab,6,FALSE()),AU$5 &lt; VLOOKUP($P449,Member_Tab,7,FALSE())),1,0))</f>
        <v>0</v>
      </c>
      <c r="AV551" s="184" t="n">
        <f aca="false">IF(ISERROR(VLOOKUP($P449,Member_Tab,5,FALSE())),0,VLOOKUP($P449,Member_Tab,5,FALSE())*IF(AND(AV$5 &gt; VLOOKUP($P449,Member_Tab,6,FALSE()),AV$5 &lt; VLOOKUP($P449,Member_Tab,7,FALSE())),1,0))</f>
        <v>0</v>
      </c>
      <c r="AW551" s="184" t="n">
        <f aca="false">IF(ISERROR(VLOOKUP($P449,Member_Tab,5,FALSE())),0,VLOOKUP($P449,Member_Tab,5,FALSE())*IF(AND(AW$5 &gt; VLOOKUP($P449,Member_Tab,6,FALSE()),AW$5 &lt; VLOOKUP($P449,Member_Tab,7,FALSE())),1,0))</f>
        <v>0</v>
      </c>
      <c r="AX551" s="184" t="n">
        <f aca="false">IF(ISERROR(VLOOKUP($P449,Member_Tab,5,FALSE())),0,VLOOKUP($P449,Member_Tab,5,FALSE())*IF(AND(AX$5 &gt; VLOOKUP($P449,Member_Tab,6,FALSE()),AX$5 &lt; VLOOKUP($P449,Member_Tab,7,FALSE())),1,0))</f>
        <v>0</v>
      </c>
      <c r="AY551" s="184" t="n">
        <f aca="false">IF(ISERROR(VLOOKUP($P449,Member_Tab,5,FALSE())),0,VLOOKUP($P449,Member_Tab,5,FALSE())*IF(AND(AY$5 &gt; VLOOKUP($P449,Member_Tab,6,FALSE()),AY$5 &lt; VLOOKUP($P449,Member_Tab,7,FALSE())),1,0))</f>
        <v>0</v>
      </c>
      <c r="AZ551" s="184" t="n">
        <f aca="false">IF(ISERROR(VLOOKUP($P449,Member_Tab,5,FALSE())),0,VLOOKUP($P449,Member_Tab,5,FALSE())*IF(AND(AZ$5 &gt; VLOOKUP($P449,Member_Tab,6,FALSE()),AZ$5 &lt; VLOOKUP($P449,Member_Tab,7,FALSE())),1,0))</f>
        <v>0</v>
      </c>
      <c r="BA551" s="184" t="n">
        <f aca="false">IF(ISERROR(VLOOKUP($P449,Member_Tab,5,FALSE())),0,VLOOKUP($P449,Member_Tab,5,FALSE())*IF(AND(BA$5 &gt; VLOOKUP($P449,Member_Tab,6,FALSE()),BA$5 &lt; VLOOKUP($P449,Member_Tab,7,FALSE())),1,0))</f>
        <v>0</v>
      </c>
      <c r="BB551" s="184" t="n">
        <f aca="false">IF(ISERROR(VLOOKUP($P449,Member_Tab,5,FALSE())),0,VLOOKUP($P449,Member_Tab,5,FALSE())*IF(AND(BB$5 &gt; VLOOKUP($P449,Member_Tab,6,FALSE()),BB$5 &lt; VLOOKUP($P449,Member_Tab,7,FALSE())),1,0))</f>
        <v>0</v>
      </c>
    </row>
    <row r="552" s="173" customFormat="true" ht="15.75" hidden="true" customHeight="false" outlineLevel="1" collapsed="false">
      <c r="E552" s="40"/>
      <c r="K552" s="40"/>
      <c r="L552" s="40"/>
      <c r="M552" s="40"/>
      <c r="N552" s="40"/>
      <c r="P552" s="183" t="n">
        <f aca="false">P450</f>
        <v>0</v>
      </c>
      <c r="Q552" s="40"/>
      <c r="R552" s="182"/>
      <c r="S552" s="184" t="n">
        <f aca="false">IF(ISERROR(VLOOKUP($P450,Member_Tab,5,FALSE())),0,VLOOKUP($P450,Member_Tab,5,FALSE())*IF(AND(S$5 &gt; VLOOKUP($P450,Member_Tab,6,FALSE()),S$5 &lt; VLOOKUP($P450,Member_Tab,7,FALSE())),1,0))</f>
        <v>0</v>
      </c>
      <c r="T552" s="184" t="n">
        <f aca="false">IF(ISERROR(VLOOKUP($P450,Member_Tab,5,FALSE())),0,VLOOKUP($P450,Member_Tab,5,FALSE())*IF(AND(T$5 &gt; VLOOKUP($P450,Member_Tab,6,FALSE()),T$5 &lt; VLOOKUP($P450,Member_Tab,7,FALSE())),1,0))</f>
        <v>0</v>
      </c>
      <c r="U552" s="184" t="n">
        <f aca="false">IF(ISERROR(VLOOKUP($P450,Member_Tab,5,FALSE())),0,VLOOKUP($P450,Member_Tab,5,FALSE())*IF(AND(U$5 &gt; VLOOKUP($P450,Member_Tab,6,FALSE()),U$5 &lt; VLOOKUP($P450,Member_Tab,7,FALSE())),1,0))</f>
        <v>0</v>
      </c>
      <c r="V552" s="184" t="n">
        <f aca="false">IF(ISERROR(VLOOKUP($P450,Member_Tab,5,FALSE())),0,VLOOKUP($P450,Member_Tab,5,FALSE())*IF(AND(V$5 &gt; VLOOKUP($P450,Member_Tab,6,FALSE()),V$5 &lt; VLOOKUP($P450,Member_Tab,7,FALSE())),1,0))</f>
        <v>0</v>
      </c>
      <c r="W552" s="184" t="n">
        <f aca="false">IF(ISERROR(VLOOKUP($P450,Member_Tab,5,FALSE())),0,VLOOKUP($P450,Member_Tab,5,FALSE())*IF(AND(W$5 &gt; VLOOKUP($P450,Member_Tab,6,FALSE()),W$5 &lt; VLOOKUP($P450,Member_Tab,7,FALSE())),1,0))</f>
        <v>0</v>
      </c>
      <c r="X552" s="184" t="n">
        <f aca="false">IF(ISERROR(VLOOKUP($P450,Member_Tab,5,FALSE())),0,VLOOKUP($P450,Member_Tab,5,FALSE())*IF(AND(X$5 &gt; VLOOKUP($P450,Member_Tab,6,FALSE()),X$5 &lt; VLOOKUP($P450,Member_Tab,7,FALSE())),1,0))</f>
        <v>0</v>
      </c>
      <c r="Y552" s="184" t="n">
        <f aca="false">IF(ISERROR(VLOOKUP($P450,Member_Tab,5,FALSE())),0,VLOOKUP($P450,Member_Tab,5,FALSE())*IF(AND(Y$5 &gt; VLOOKUP($P450,Member_Tab,6,FALSE()),Y$5 &lt; VLOOKUP($P450,Member_Tab,7,FALSE())),1,0))</f>
        <v>0</v>
      </c>
      <c r="Z552" s="184" t="n">
        <f aca="false">IF(ISERROR(VLOOKUP($P450,Member_Tab,5,FALSE())),0,VLOOKUP($P450,Member_Tab,5,FALSE())*IF(AND(Z$5 &gt; VLOOKUP($P450,Member_Tab,6,FALSE()),Z$5 &lt; VLOOKUP($P450,Member_Tab,7,FALSE())),1,0))</f>
        <v>0</v>
      </c>
      <c r="AA552" s="184" t="n">
        <f aca="false">IF(ISERROR(VLOOKUP($P450,Member_Tab,5,FALSE())),0,VLOOKUP($P450,Member_Tab,5,FALSE())*IF(AND(AA$5 &gt; VLOOKUP($P450,Member_Tab,6,FALSE()),AA$5 &lt; VLOOKUP($P450,Member_Tab,7,FALSE())),1,0))</f>
        <v>0</v>
      </c>
      <c r="AB552" s="184" t="n">
        <f aca="false">IF(ISERROR(VLOOKUP($P450,Member_Tab,5,FALSE())),0,VLOOKUP($P450,Member_Tab,5,FALSE())*IF(AND(AB$5 &gt; VLOOKUP($P450,Member_Tab,6,FALSE()),AB$5 &lt; VLOOKUP($P450,Member_Tab,7,FALSE())),1,0))</f>
        <v>0</v>
      </c>
      <c r="AC552" s="184" t="n">
        <f aca="false">IF(ISERROR(VLOOKUP($P450,Member_Tab,5,FALSE())),0,VLOOKUP($P450,Member_Tab,5,FALSE())*IF(AND(AC$5 &gt; VLOOKUP($P450,Member_Tab,6,FALSE()),AC$5 &lt; VLOOKUP($P450,Member_Tab,7,FALSE())),1,0))</f>
        <v>0</v>
      </c>
      <c r="AD552" s="184" t="n">
        <f aca="false">IF(ISERROR(VLOOKUP($P450,Member_Tab,5,FALSE())),0,VLOOKUP($P450,Member_Tab,5,FALSE())*IF(AND(AD$5 &gt; VLOOKUP($P450,Member_Tab,6,FALSE()),AD$5 &lt; VLOOKUP($P450,Member_Tab,7,FALSE())),1,0))</f>
        <v>0</v>
      </c>
      <c r="AE552" s="184" t="n">
        <f aca="false">IF(ISERROR(VLOOKUP($P450,Member_Tab,5,FALSE())),0,VLOOKUP($P450,Member_Tab,5,FALSE())*IF(AND(AE$5 &gt; VLOOKUP($P450,Member_Tab,6,FALSE()),AE$5 &lt; VLOOKUP($P450,Member_Tab,7,FALSE())),1,0))</f>
        <v>0</v>
      </c>
      <c r="AF552" s="184" t="n">
        <f aca="false">IF(ISERROR(VLOOKUP($P450,Member_Tab,5,FALSE())),0,VLOOKUP($P450,Member_Tab,5,FALSE())*IF(AND(AF$5 &gt; VLOOKUP($P450,Member_Tab,6,FALSE()),AF$5 &lt; VLOOKUP($P450,Member_Tab,7,FALSE())),1,0))</f>
        <v>0</v>
      </c>
      <c r="AG552" s="184" t="n">
        <f aca="false">IF(ISERROR(VLOOKUP($P450,Member_Tab,5,FALSE())),0,VLOOKUP($P450,Member_Tab,5,FALSE())*IF(AND(AG$5 &gt; VLOOKUP($P450,Member_Tab,6,FALSE()),AG$5 &lt; VLOOKUP($P450,Member_Tab,7,FALSE())),1,0))</f>
        <v>0</v>
      </c>
      <c r="AH552" s="184" t="n">
        <f aca="false">IF(ISERROR(VLOOKUP($P450,Member_Tab,5,FALSE())),0,VLOOKUP($P450,Member_Tab,5,FALSE())*IF(AND(AH$5 &gt; VLOOKUP($P450,Member_Tab,6,FALSE()),AH$5 &lt; VLOOKUP($P450,Member_Tab,7,FALSE())),1,0))</f>
        <v>0</v>
      </c>
      <c r="AI552" s="184" t="n">
        <f aca="false">IF(ISERROR(VLOOKUP($P450,Member_Tab,5,FALSE())),0,VLOOKUP($P450,Member_Tab,5,FALSE())*IF(AND(AI$5 &gt; VLOOKUP($P450,Member_Tab,6,FALSE()),AI$5 &lt; VLOOKUP($P450,Member_Tab,7,FALSE())),1,0))</f>
        <v>0</v>
      </c>
      <c r="AJ552" s="184" t="n">
        <f aca="false">IF(ISERROR(VLOOKUP($P450,Member_Tab,5,FALSE())),0,VLOOKUP($P450,Member_Tab,5,FALSE())*IF(AND(AJ$5 &gt; VLOOKUP($P450,Member_Tab,6,FALSE()),AJ$5 &lt; VLOOKUP($P450,Member_Tab,7,FALSE())),1,0))</f>
        <v>0</v>
      </c>
      <c r="AK552" s="184" t="n">
        <f aca="false">IF(ISERROR(VLOOKUP($P450,Member_Tab,5,FALSE())),0,VLOOKUP($P450,Member_Tab,5,FALSE())*IF(AND(AK$5 &gt; VLOOKUP($P450,Member_Tab,6,FALSE()),AK$5 &lt; VLOOKUP($P450,Member_Tab,7,FALSE())),1,0))</f>
        <v>0</v>
      </c>
      <c r="AL552" s="184" t="n">
        <f aca="false">IF(ISERROR(VLOOKUP($P450,Member_Tab,5,FALSE())),0,VLOOKUP($P450,Member_Tab,5,FALSE())*IF(AND(AL$5 &gt; VLOOKUP($P450,Member_Tab,6,FALSE()),AL$5 &lt; VLOOKUP($P450,Member_Tab,7,FALSE())),1,0))</f>
        <v>0</v>
      </c>
      <c r="AM552" s="184" t="n">
        <f aca="false">IF(ISERROR(VLOOKUP($P450,Member_Tab,5,FALSE())),0,VLOOKUP($P450,Member_Tab,5,FALSE())*IF(AND(AM$5 &gt; VLOOKUP($P450,Member_Tab,6,FALSE()),AM$5 &lt; VLOOKUP($P450,Member_Tab,7,FALSE())),1,0))</f>
        <v>0</v>
      </c>
      <c r="AN552" s="184" t="n">
        <f aca="false">IF(ISERROR(VLOOKUP($P450,Member_Tab,5,FALSE())),0,VLOOKUP($P450,Member_Tab,5,FALSE())*IF(AND(AN$5 &gt; VLOOKUP($P450,Member_Tab,6,FALSE()),AN$5 &lt; VLOOKUP($P450,Member_Tab,7,FALSE())),1,0))</f>
        <v>0</v>
      </c>
      <c r="AO552" s="184" t="n">
        <f aca="false">IF(ISERROR(VLOOKUP($P450,Member_Tab,5,FALSE())),0,VLOOKUP($P450,Member_Tab,5,FALSE())*IF(AND(AO$5 &gt; VLOOKUP($P450,Member_Tab,6,FALSE()),AO$5 &lt; VLOOKUP($P450,Member_Tab,7,FALSE())),1,0))</f>
        <v>0</v>
      </c>
      <c r="AP552" s="184" t="n">
        <f aca="false">IF(ISERROR(VLOOKUP($P450,Member_Tab,5,FALSE())),0,VLOOKUP($P450,Member_Tab,5,FALSE())*IF(AND(AP$5 &gt; VLOOKUP($P450,Member_Tab,6,FALSE()),AP$5 &lt; VLOOKUP($P450,Member_Tab,7,FALSE())),1,0))</f>
        <v>0</v>
      </c>
      <c r="AQ552" s="184" t="n">
        <f aca="false">IF(ISERROR(VLOOKUP($P450,Member_Tab,5,FALSE())),0,VLOOKUP($P450,Member_Tab,5,FALSE())*IF(AND(AQ$5 &gt; VLOOKUP($P450,Member_Tab,6,FALSE()),AQ$5 &lt; VLOOKUP($P450,Member_Tab,7,FALSE())),1,0))</f>
        <v>0</v>
      </c>
      <c r="AR552" s="184" t="n">
        <f aca="false">IF(ISERROR(VLOOKUP($P450,Member_Tab,5,FALSE())),0,VLOOKUP($P450,Member_Tab,5,FALSE())*IF(AND(AR$5 &gt; VLOOKUP($P450,Member_Tab,6,FALSE()),AR$5 &lt; VLOOKUP($P450,Member_Tab,7,FALSE())),1,0))</f>
        <v>0</v>
      </c>
      <c r="AS552" s="184" t="n">
        <f aca="false">IF(ISERROR(VLOOKUP($P450,Member_Tab,5,FALSE())),0,VLOOKUP($P450,Member_Tab,5,FALSE())*IF(AND(AS$5 &gt; VLOOKUP($P450,Member_Tab,6,FALSE()),AS$5 &lt; VLOOKUP($P450,Member_Tab,7,FALSE())),1,0))</f>
        <v>0</v>
      </c>
      <c r="AT552" s="184" t="n">
        <f aca="false">IF(ISERROR(VLOOKUP($P450,Member_Tab,5,FALSE())),0,VLOOKUP($P450,Member_Tab,5,FALSE())*IF(AND(AT$5 &gt; VLOOKUP($P450,Member_Tab,6,FALSE()),AT$5 &lt; VLOOKUP($P450,Member_Tab,7,FALSE())),1,0))</f>
        <v>0</v>
      </c>
      <c r="AU552" s="184" t="n">
        <f aca="false">IF(ISERROR(VLOOKUP($P450,Member_Tab,5,FALSE())),0,VLOOKUP($P450,Member_Tab,5,FALSE())*IF(AND(AU$5 &gt; VLOOKUP($P450,Member_Tab,6,FALSE()),AU$5 &lt; VLOOKUP($P450,Member_Tab,7,FALSE())),1,0))</f>
        <v>0</v>
      </c>
      <c r="AV552" s="184" t="n">
        <f aca="false">IF(ISERROR(VLOOKUP($P450,Member_Tab,5,FALSE())),0,VLOOKUP($P450,Member_Tab,5,FALSE())*IF(AND(AV$5 &gt; VLOOKUP($P450,Member_Tab,6,FALSE()),AV$5 &lt; VLOOKUP($P450,Member_Tab,7,FALSE())),1,0))</f>
        <v>0</v>
      </c>
      <c r="AW552" s="184" t="n">
        <f aca="false">IF(ISERROR(VLOOKUP($P450,Member_Tab,5,FALSE())),0,VLOOKUP($P450,Member_Tab,5,FALSE())*IF(AND(AW$5 &gt; VLOOKUP($P450,Member_Tab,6,FALSE()),AW$5 &lt; VLOOKUP($P450,Member_Tab,7,FALSE())),1,0))</f>
        <v>0</v>
      </c>
      <c r="AX552" s="184" t="n">
        <f aca="false">IF(ISERROR(VLOOKUP($P450,Member_Tab,5,FALSE())),0,VLOOKUP($P450,Member_Tab,5,FALSE())*IF(AND(AX$5 &gt; VLOOKUP($P450,Member_Tab,6,FALSE()),AX$5 &lt; VLOOKUP($P450,Member_Tab,7,FALSE())),1,0))</f>
        <v>0</v>
      </c>
      <c r="AY552" s="184" t="n">
        <f aca="false">IF(ISERROR(VLOOKUP($P450,Member_Tab,5,FALSE())),0,VLOOKUP($P450,Member_Tab,5,FALSE())*IF(AND(AY$5 &gt; VLOOKUP($P450,Member_Tab,6,FALSE()),AY$5 &lt; VLOOKUP($P450,Member_Tab,7,FALSE())),1,0))</f>
        <v>0</v>
      </c>
      <c r="AZ552" s="184" t="n">
        <f aca="false">IF(ISERROR(VLOOKUP($P450,Member_Tab,5,FALSE())),0,VLOOKUP($P450,Member_Tab,5,FALSE())*IF(AND(AZ$5 &gt; VLOOKUP($P450,Member_Tab,6,FALSE()),AZ$5 &lt; VLOOKUP($P450,Member_Tab,7,FALSE())),1,0))</f>
        <v>0</v>
      </c>
      <c r="BA552" s="184" t="n">
        <f aca="false">IF(ISERROR(VLOOKUP($P450,Member_Tab,5,FALSE())),0,VLOOKUP($P450,Member_Tab,5,FALSE())*IF(AND(BA$5 &gt; VLOOKUP($P450,Member_Tab,6,FALSE()),BA$5 &lt; VLOOKUP($P450,Member_Tab,7,FALSE())),1,0))</f>
        <v>0</v>
      </c>
      <c r="BB552" s="184" t="n">
        <f aca="false">IF(ISERROR(VLOOKUP($P450,Member_Tab,5,FALSE())),0,VLOOKUP($P450,Member_Tab,5,FALSE())*IF(AND(BB$5 &gt; VLOOKUP($P450,Member_Tab,6,FALSE()),BB$5 &lt; VLOOKUP($P450,Member_Tab,7,FALSE())),1,0))</f>
        <v>0</v>
      </c>
    </row>
    <row r="553" s="173" customFormat="true" ht="15.75" hidden="true" customHeight="false" outlineLevel="1" collapsed="false">
      <c r="E553" s="40"/>
      <c r="K553" s="40"/>
      <c r="L553" s="40"/>
      <c r="M553" s="40"/>
      <c r="N553" s="40"/>
      <c r="P553" s="183" t="n">
        <f aca="false">P451</f>
        <v>0</v>
      </c>
      <c r="Q553" s="40"/>
      <c r="R553" s="182"/>
      <c r="S553" s="184" t="n">
        <f aca="false">IF(ISERROR(VLOOKUP($P451,Member_Tab,5,FALSE())),0,VLOOKUP($P451,Member_Tab,5,FALSE())*IF(AND(S$5 &gt; VLOOKUP($P451,Member_Tab,6,FALSE()),S$5 &lt; VLOOKUP($P451,Member_Tab,7,FALSE())),1,0))</f>
        <v>0</v>
      </c>
      <c r="T553" s="184" t="n">
        <f aca="false">IF(ISERROR(VLOOKUP($P451,Member_Tab,5,FALSE())),0,VLOOKUP($P451,Member_Tab,5,FALSE())*IF(AND(T$5 &gt; VLOOKUP($P451,Member_Tab,6,FALSE()),T$5 &lt; VLOOKUP($P451,Member_Tab,7,FALSE())),1,0))</f>
        <v>0</v>
      </c>
      <c r="U553" s="184" t="n">
        <f aca="false">IF(ISERROR(VLOOKUP($P451,Member_Tab,5,FALSE())),0,VLOOKUP($P451,Member_Tab,5,FALSE())*IF(AND(U$5 &gt; VLOOKUP($P451,Member_Tab,6,FALSE()),U$5 &lt; VLOOKUP($P451,Member_Tab,7,FALSE())),1,0))</f>
        <v>0</v>
      </c>
      <c r="V553" s="184" t="n">
        <f aca="false">IF(ISERROR(VLOOKUP($P451,Member_Tab,5,FALSE())),0,VLOOKUP($P451,Member_Tab,5,FALSE())*IF(AND(V$5 &gt; VLOOKUP($P451,Member_Tab,6,FALSE()),V$5 &lt; VLOOKUP($P451,Member_Tab,7,FALSE())),1,0))</f>
        <v>0</v>
      </c>
      <c r="W553" s="184" t="n">
        <f aca="false">IF(ISERROR(VLOOKUP($P451,Member_Tab,5,FALSE())),0,VLOOKUP($P451,Member_Tab,5,FALSE())*IF(AND(W$5 &gt; VLOOKUP($P451,Member_Tab,6,FALSE()),W$5 &lt; VLOOKUP($P451,Member_Tab,7,FALSE())),1,0))</f>
        <v>0</v>
      </c>
      <c r="X553" s="184" t="n">
        <f aca="false">IF(ISERROR(VLOOKUP($P451,Member_Tab,5,FALSE())),0,VLOOKUP($P451,Member_Tab,5,FALSE())*IF(AND(X$5 &gt; VLOOKUP($P451,Member_Tab,6,FALSE()),X$5 &lt; VLOOKUP($P451,Member_Tab,7,FALSE())),1,0))</f>
        <v>0</v>
      </c>
      <c r="Y553" s="184" t="n">
        <f aca="false">IF(ISERROR(VLOOKUP($P451,Member_Tab,5,FALSE())),0,VLOOKUP($P451,Member_Tab,5,FALSE())*IF(AND(Y$5 &gt; VLOOKUP($P451,Member_Tab,6,FALSE()),Y$5 &lt; VLOOKUP($P451,Member_Tab,7,FALSE())),1,0))</f>
        <v>0</v>
      </c>
      <c r="Z553" s="184" t="n">
        <f aca="false">IF(ISERROR(VLOOKUP($P451,Member_Tab,5,FALSE())),0,VLOOKUP($P451,Member_Tab,5,FALSE())*IF(AND(Z$5 &gt; VLOOKUP($P451,Member_Tab,6,FALSE()),Z$5 &lt; VLOOKUP($P451,Member_Tab,7,FALSE())),1,0))</f>
        <v>0</v>
      </c>
      <c r="AA553" s="184" t="n">
        <f aca="false">IF(ISERROR(VLOOKUP($P451,Member_Tab,5,FALSE())),0,VLOOKUP($P451,Member_Tab,5,FALSE())*IF(AND(AA$5 &gt; VLOOKUP($P451,Member_Tab,6,FALSE()),AA$5 &lt; VLOOKUP($P451,Member_Tab,7,FALSE())),1,0))</f>
        <v>0</v>
      </c>
      <c r="AB553" s="184" t="n">
        <f aca="false">IF(ISERROR(VLOOKUP($P451,Member_Tab,5,FALSE())),0,VLOOKUP($P451,Member_Tab,5,FALSE())*IF(AND(AB$5 &gt; VLOOKUP($P451,Member_Tab,6,FALSE()),AB$5 &lt; VLOOKUP($P451,Member_Tab,7,FALSE())),1,0))</f>
        <v>0</v>
      </c>
      <c r="AC553" s="184" t="n">
        <f aca="false">IF(ISERROR(VLOOKUP($P451,Member_Tab,5,FALSE())),0,VLOOKUP($P451,Member_Tab,5,FALSE())*IF(AND(AC$5 &gt; VLOOKUP($P451,Member_Tab,6,FALSE()),AC$5 &lt; VLOOKUP($P451,Member_Tab,7,FALSE())),1,0))</f>
        <v>0</v>
      </c>
      <c r="AD553" s="184" t="n">
        <f aca="false">IF(ISERROR(VLOOKUP($P451,Member_Tab,5,FALSE())),0,VLOOKUP($P451,Member_Tab,5,FALSE())*IF(AND(AD$5 &gt; VLOOKUP($P451,Member_Tab,6,FALSE()),AD$5 &lt; VLOOKUP($P451,Member_Tab,7,FALSE())),1,0))</f>
        <v>0</v>
      </c>
      <c r="AE553" s="184" t="n">
        <f aca="false">IF(ISERROR(VLOOKUP($P451,Member_Tab,5,FALSE())),0,VLOOKUP($P451,Member_Tab,5,FALSE())*IF(AND(AE$5 &gt; VLOOKUP($P451,Member_Tab,6,FALSE()),AE$5 &lt; VLOOKUP($P451,Member_Tab,7,FALSE())),1,0))</f>
        <v>0</v>
      </c>
      <c r="AF553" s="184" t="n">
        <f aca="false">IF(ISERROR(VLOOKUP($P451,Member_Tab,5,FALSE())),0,VLOOKUP($P451,Member_Tab,5,FALSE())*IF(AND(AF$5 &gt; VLOOKUP($P451,Member_Tab,6,FALSE()),AF$5 &lt; VLOOKUP($P451,Member_Tab,7,FALSE())),1,0))</f>
        <v>0</v>
      </c>
      <c r="AG553" s="184" t="n">
        <f aca="false">IF(ISERROR(VLOOKUP($P451,Member_Tab,5,FALSE())),0,VLOOKUP($P451,Member_Tab,5,FALSE())*IF(AND(AG$5 &gt; VLOOKUP($P451,Member_Tab,6,FALSE()),AG$5 &lt; VLOOKUP($P451,Member_Tab,7,FALSE())),1,0))</f>
        <v>0</v>
      </c>
      <c r="AH553" s="184" t="n">
        <f aca="false">IF(ISERROR(VLOOKUP($P451,Member_Tab,5,FALSE())),0,VLOOKUP($P451,Member_Tab,5,FALSE())*IF(AND(AH$5 &gt; VLOOKUP($P451,Member_Tab,6,FALSE()),AH$5 &lt; VLOOKUP($P451,Member_Tab,7,FALSE())),1,0))</f>
        <v>0</v>
      </c>
      <c r="AI553" s="184" t="n">
        <f aca="false">IF(ISERROR(VLOOKUP($P451,Member_Tab,5,FALSE())),0,VLOOKUP($P451,Member_Tab,5,FALSE())*IF(AND(AI$5 &gt; VLOOKUP($P451,Member_Tab,6,FALSE()),AI$5 &lt; VLOOKUP($P451,Member_Tab,7,FALSE())),1,0))</f>
        <v>0</v>
      </c>
      <c r="AJ553" s="184" t="n">
        <f aca="false">IF(ISERROR(VLOOKUP($P451,Member_Tab,5,FALSE())),0,VLOOKUP($P451,Member_Tab,5,FALSE())*IF(AND(AJ$5 &gt; VLOOKUP($P451,Member_Tab,6,FALSE()),AJ$5 &lt; VLOOKUP($P451,Member_Tab,7,FALSE())),1,0))</f>
        <v>0</v>
      </c>
      <c r="AK553" s="184" t="n">
        <f aca="false">IF(ISERROR(VLOOKUP($P451,Member_Tab,5,FALSE())),0,VLOOKUP($P451,Member_Tab,5,FALSE())*IF(AND(AK$5 &gt; VLOOKUP($P451,Member_Tab,6,FALSE()),AK$5 &lt; VLOOKUP($P451,Member_Tab,7,FALSE())),1,0))</f>
        <v>0</v>
      </c>
      <c r="AL553" s="184" t="n">
        <f aca="false">IF(ISERROR(VLOOKUP($P451,Member_Tab,5,FALSE())),0,VLOOKUP($P451,Member_Tab,5,FALSE())*IF(AND(AL$5 &gt; VLOOKUP($P451,Member_Tab,6,FALSE()),AL$5 &lt; VLOOKUP($P451,Member_Tab,7,FALSE())),1,0))</f>
        <v>0</v>
      </c>
      <c r="AM553" s="184" t="n">
        <f aca="false">IF(ISERROR(VLOOKUP($P451,Member_Tab,5,FALSE())),0,VLOOKUP($P451,Member_Tab,5,FALSE())*IF(AND(AM$5 &gt; VLOOKUP($P451,Member_Tab,6,FALSE()),AM$5 &lt; VLOOKUP($P451,Member_Tab,7,FALSE())),1,0))</f>
        <v>0</v>
      </c>
      <c r="AN553" s="184" t="n">
        <f aca="false">IF(ISERROR(VLOOKUP($P451,Member_Tab,5,FALSE())),0,VLOOKUP($P451,Member_Tab,5,FALSE())*IF(AND(AN$5 &gt; VLOOKUP($P451,Member_Tab,6,FALSE()),AN$5 &lt; VLOOKUP($P451,Member_Tab,7,FALSE())),1,0))</f>
        <v>0</v>
      </c>
      <c r="AO553" s="184" t="n">
        <f aca="false">IF(ISERROR(VLOOKUP($P451,Member_Tab,5,FALSE())),0,VLOOKUP($P451,Member_Tab,5,FALSE())*IF(AND(AO$5 &gt; VLOOKUP($P451,Member_Tab,6,FALSE()),AO$5 &lt; VLOOKUP($P451,Member_Tab,7,FALSE())),1,0))</f>
        <v>0</v>
      </c>
      <c r="AP553" s="184" t="n">
        <f aca="false">IF(ISERROR(VLOOKUP($P451,Member_Tab,5,FALSE())),0,VLOOKUP($P451,Member_Tab,5,FALSE())*IF(AND(AP$5 &gt; VLOOKUP($P451,Member_Tab,6,FALSE()),AP$5 &lt; VLOOKUP($P451,Member_Tab,7,FALSE())),1,0))</f>
        <v>0</v>
      </c>
      <c r="AQ553" s="184" t="n">
        <f aca="false">IF(ISERROR(VLOOKUP($P451,Member_Tab,5,FALSE())),0,VLOOKUP($P451,Member_Tab,5,FALSE())*IF(AND(AQ$5 &gt; VLOOKUP($P451,Member_Tab,6,FALSE()),AQ$5 &lt; VLOOKUP($P451,Member_Tab,7,FALSE())),1,0))</f>
        <v>0</v>
      </c>
      <c r="AR553" s="184" t="n">
        <f aca="false">IF(ISERROR(VLOOKUP($P451,Member_Tab,5,FALSE())),0,VLOOKUP($P451,Member_Tab,5,FALSE())*IF(AND(AR$5 &gt; VLOOKUP($P451,Member_Tab,6,FALSE()),AR$5 &lt; VLOOKUP($P451,Member_Tab,7,FALSE())),1,0))</f>
        <v>0</v>
      </c>
      <c r="AS553" s="184" t="n">
        <f aca="false">IF(ISERROR(VLOOKUP($P451,Member_Tab,5,FALSE())),0,VLOOKUP($P451,Member_Tab,5,FALSE())*IF(AND(AS$5 &gt; VLOOKUP($P451,Member_Tab,6,FALSE()),AS$5 &lt; VLOOKUP($P451,Member_Tab,7,FALSE())),1,0))</f>
        <v>0</v>
      </c>
      <c r="AT553" s="184" t="n">
        <f aca="false">IF(ISERROR(VLOOKUP($P451,Member_Tab,5,FALSE())),0,VLOOKUP($P451,Member_Tab,5,FALSE())*IF(AND(AT$5 &gt; VLOOKUP($P451,Member_Tab,6,FALSE()),AT$5 &lt; VLOOKUP($P451,Member_Tab,7,FALSE())),1,0))</f>
        <v>0</v>
      </c>
      <c r="AU553" s="184" t="n">
        <f aca="false">IF(ISERROR(VLOOKUP($P451,Member_Tab,5,FALSE())),0,VLOOKUP($P451,Member_Tab,5,FALSE())*IF(AND(AU$5 &gt; VLOOKUP($P451,Member_Tab,6,FALSE()),AU$5 &lt; VLOOKUP($P451,Member_Tab,7,FALSE())),1,0))</f>
        <v>0</v>
      </c>
      <c r="AV553" s="184" t="n">
        <f aca="false">IF(ISERROR(VLOOKUP($P451,Member_Tab,5,FALSE())),0,VLOOKUP($P451,Member_Tab,5,FALSE())*IF(AND(AV$5 &gt; VLOOKUP($P451,Member_Tab,6,FALSE()),AV$5 &lt; VLOOKUP($P451,Member_Tab,7,FALSE())),1,0))</f>
        <v>0</v>
      </c>
      <c r="AW553" s="184" t="n">
        <f aca="false">IF(ISERROR(VLOOKUP($P451,Member_Tab,5,FALSE())),0,VLOOKUP($P451,Member_Tab,5,FALSE())*IF(AND(AW$5 &gt; VLOOKUP($P451,Member_Tab,6,FALSE()),AW$5 &lt; VLOOKUP($P451,Member_Tab,7,FALSE())),1,0))</f>
        <v>0</v>
      </c>
      <c r="AX553" s="184" t="n">
        <f aca="false">IF(ISERROR(VLOOKUP($P451,Member_Tab,5,FALSE())),0,VLOOKUP($P451,Member_Tab,5,FALSE())*IF(AND(AX$5 &gt; VLOOKUP($P451,Member_Tab,6,FALSE()),AX$5 &lt; VLOOKUP($P451,Member_Tab,7,FALSE())),1,0))</f>
        <v>0</v>
      </c>
      <c r="AY553" s="184" t="n">
        <f aca="false">IF(ISERROR(VLOOKUP($P451,Member_Tab,5,FALSE())),0,VLOOKUP($P451,Member_Tab,5,FALSE())*IF(AND(AY$5 &gt; VLOOKUP($P451,Member_Tab,6,FALSE()),AY$5 &lt; VLOOKUP($P451,Member_Tab,7,FALSE())),1,0))</f>
        <v>0</v>
      </c>
      <c r="AZ553" s="184" t="n">
        <f aca="false">IF(ISERROR(VLOOKUP($P451,Member_Tab,5,FALSE())),0,VLOOKUP($P451,Member_Tab,5,FALSE())*IF(AND(AZ$5 &gt; VLOOKUP($P451,Member_Tab,6,FALSE()),AZ$5 &lt; VLOOKUP($P451,Member_Tab,7,FALSE())),1,0))</f>
        <v>0</v>
      </c>
      <c r="BA553" s="184" t="n">
        <f aca="false">IF(ISERROR(VLOOKUP($P451,Member_Tab,5,FALSE())),0,VLOOKUP($P451,Member_Tab,5,FALSE())*IF(AND(BA$5 &gt; VLOOKUP($P451,Member_Tab,6,FALSE()),BA$5 &lt; VLOOKUP($P451,Member_Tab,7,FALSE())),1,0))</f>
        <v>0</v>
      </c>
      <c r="BB553" s="184" t="n">
        <f aca="false">IF(ISERROR(VLOOKUP($P451,Member_Tab,5,FALSE())),0,VLOOKUP($P451,Member_Tab,5,FALSE())*IF(AND(BB$5 &gt; VLOOKUP($P451,Member_Tab,6,FALSE()),BB$5 &lt; VLOOKUP($P451,Member_Tab,7,FALSE())),1,0))</f>
        <v>0</v>
      </c>
    </row>
    <row r="554" s="173" customFormat="true" ht="15.75" hidden="true" customHeight="false" outlineLevel="1" collapsed="false">
      <c r="E554" s="40"/>
      <c r="K554" s="40"/>
      <c r="L554" s="40"/>
      <c r="M554" s="40"/>
      <c r="N554" s="40"/>
      <c r="P554" s="183" t="n">
        <f aca="false">P452</f>
        <v>0</v>
      </c>
      <c r="Q554" s="40"/>
      <c r="R554" s="182"/>
      <c r="S554" s="184" t="n">
        <f aca="false">IF(ISERROR(VLOOKUP($P452,Member_Tab,5,FALSE())),0,VLOOKUP($P452,Member_Tab,5,FALSE())*IF(AND(S$5 &gt; VLOOKUP($P452,Member_Tab,6,FALSE()),S$5 &lt; VLOOKUP($P452,Member_Tab,7,FALSE())),1,0))</f>
        <v>0</v>
      </c>
      <c r="T554" s="184" t="n">
        <f aca="false">IF(ISERROR(VLOOKUP($P452,Member_Tab,5,FALSE())),0,VLOOKUP($P452,Member_Tab,5,FALSE())*IF(AND(T$5 &gt; VLOOKUP($P452,Member_Tab,6,FALSE()),T$5 &lt; VLOOKUP($P452,Member_Tab,7,FALSE())),1,0))</f>
        <v>0</v>
      </c>
      <c r="U554" s="184" t="n">
        <f aca="false">IF(ISERROR(VLOOKUP($P452,Member_Tab,5,FALSE())),0,VLOOKUP($P452,Member_Tab,5,FALSE())*IF(AND(U$5 &gt; VLOOKUP($P452,Member_Tab,6,FALSE()),U$5 &lt; VLOOKUP($P452,Member_Tab,7,FALSE())),1,0))</f>
        <v>0</v>
      </c>
      <c r="V554" s="184" t="n">
        <f aca="false">IF(ISERROR(VLOOKUP($P452,Member_Tab,5,FALSE())),0,VLOOKUP($P452,Member_Tab,5,FALSE())*IF(AND(V$5 &gt; VLOOKUP($P452,Member_Tab,6,FALSE()),V$5 &lt; VLOOKUP($P452,Member_Tab,7,FALSE())),1,0))</f>
        <v>0</v>
      </c>
      <c r="W554" s="184" t="n">
        <f aca="false">IF(ISERROR(VLOOKUP($P452,Member_Tab,5,FALSE())),0,VLOOKUP($P452,Member_Tab,5,FALSE())*IF(AND(W$5 &gt; VLOOKUP($P452,Member_Tab,6,FALSE()),W$5 &lt; VLOOKUP($P452,Member_Tab,7,FALSE())),1,0))</f>
        <v>0</v>
      </c>
      <c r="X554" s="184" t="n">
        <f aca="false">IF(ISERROR(VLOOKUP($P452,Member_Tab,5,FALSE())),0,VLOOKUP($P452,Member_Tab,5,FALSE())*IF(AND(X$5 &gt; VLOOKUP($P452,Member_Tab,6,FALSE()),X$5 &lt; VLOOKUP($P452,Member_Tab,7,FALSE())),1,0))</f>
        <v>0</v>
      </c>
      <c r="Y554" s="184" t="n">
        <f aca="false">IF(ISERROR(VLOOKUP($P452,Member_Tab,5,FALSE())),0,VLOOKUP($P452,Member_Tab,5,FALSE())*IF(AND(Y$5 &gt; VLOOKUP($P452,Member_Tab,6,FALSE()),Y$5 &lt; VLOOKUP($P452,Member_Tab,7,FALSE())),1,0))</f>
        <v>0</v>
      </c>
      <c r="Z554" s="184" t="n">
        <f aca="false">IF(ISERROR(VLOOKUP($P452,Member_Tab,5,FALSE())),0,VLOOKUP($P452,Member_Tab,5,FALSE())*IF(AND(Z$5 &gt; VLOOKUP($P452,Member_Tab,6,FALSE()),Z$5 &lt; VLOOKUP($P452,Member_Tab,7,FALSE())),1,0))</f>
        <v>0</v>
      </c>
      <c r="AA554" s="184" t="n">
        <f aca="false">IF(ISERROR(VLOOKUP($P452,Member_Tab,5,FALSE())),0,VLOOKUP($P452,Member_Tab,5,FALSE())*IF(AND(AA$5 &gt; VLOOKUP($P452,Member_Tab,6,FALSE()),AA$5 &lt; VLOOKUP($P452,Member_Tab,7,FALSE())),1,0))</f>
        <v>0</v>
      </c>
      <c r="AB554" s="184" t="n">
        <f aca="false">IF(ISERROR(VLOOKUP($P452,Member_Tab,5,FALSE())),0,VLOOKUP($P452,Member_Tab,5,FALSE())*IF(AND(AB$5 &gt; VLOOKUP($P452,Member_Tab,6,FALSE()),AB$5 &lt; VLOOKUP($P452,Member_Tab,7,FALSE())),1,0))</f>
        <v>0</v>
      </c>
      <c r="AC554" s="184" t="n">
        <f aca="false">IF(ISERROR(VLOOKUP($P452,Member_Tab,5,FALSE())),0,VLOOKUP($P452,Member_Tab,5,FALSE())*IF(AND(AC$5 &gt; VLOOKUP($P452,Member_Tab,6,FALSE()),AC$5 &lt; VLOOKUP($P452,Member_Tab,7,FALSE())),1,0))</f>
        <v>0</v>
      </c>
      <c r="AD554" s="184" t="n">
        <f aca="false">IF(ISERROR(VLOOKUP($P452,Member_Tab,5,FALSE())),0,VLOOKUP($P452,Member_Tab,5,FALSE())*IF(AND(AD$5 &gt; VLOOKUP($P452,Member_Tab,6,FALSE()),AD$5 &lt; VLOOKUP($P452,Member_Tab,7,FALSE())),1,0))</f>
        <v>0</v>
      </c>
      <c r="AE554" s="184" t="n">
        <f aca="false">IF(ISERROR(VLOOKUP($P452,Member_Tab,5,FALSE())),0,VLOOKUP($P452,Member_Tab,5,FALSE())*IF(AND(AE$5 &gt; VLOOKUP($P452,Member_Tab,6,FALSE()),AE$5 &lt; VLOOKUP($P452,Member_Tab,7,FALSE())),1,0))</f>
        <v>0</v>
      </c>
      <c r="AF554" s="184" t="n">
        <f aca="false">IF(ISERROR(VLOOKUP($P452,Member_Tab,5,FALSE())),0,VLOOKUP($P452,Member_Tab,5,FALSE())*IF(AND(AF$5 &gt; VLOOKUP($P452,Member_Tab,6,FALSE()),AF$5 &lt; VLOOKUP($P452,Member_Tab,7,FALSE())),1,0))</f>
        <v>0</v>
      </c>
      <c r="AG554" s="184" t="n">
        <f aca="false">IF(ISERROR(VLOOKUP($P452,Member_Tab,5,FALSE())),0,VLOOKUP($P452,Member_Tab,5,FALSE())*IF(AND(AG$5 &gt; VLOOKUP($P452,Member_Tab,6,FALSE()),AG$5 &lt; VLOOKUP($P452,Member_Tab,7,FALSE())),1,0))</f>
        <v>0</v>
      </c>
      <c r="AH554" s="184" t="n">
        <f aca="false">IF(ISERROR(VLOOKUP($P452,Member_Tab,5,FALSE())),0,VLOOKUP($P452,Member_Tab,5,FALSE())*IF(AND(AH$5 &gt; VLOOKUP($P452,Member_Tab,6,FALSE()),AH$5 &lt; VLOOKUP($P452,Member_Tab,7,FALSE())),1,0))</f>
        <v>0</v>
      </c>
      <c r="AI554" s="184" t="n">
        <f aca="false">IF(ISERROR(VLOOKUP($P452,Member_Tab,5,FALSE())),0,VLOOKUP($P452,Member_Tab,5,FALSE())*IF(AND(AI$5 &gt; VLOOKUP($P452,Member_Tab,6,FALSE()),AI$5 &lt; VLOOKUP($P452,Member_Tab,7,FALSE())),1,0))</f>
        <v>0</v>
      </c>
      <c r="AJ554" s="184" t="n">
        <f aca="false">IF(ISERROR(VLOOKUP($P452,Member_Tab,5,FALSE())),0,VLOOKUP($P452,Member_Tab,5,FALSE())*IF(AND(AJ$5 &gt; VLOOKUP($P452,Member_Tab,6,FALSE()),AJ$5 &lt; VLOOKUP($P452,Member_Tab,7,FALSE())),1,0))</f>
        <v>0</v>
      </c>
      <c r="AK554" s="184" t="n">
        <f aca="false">IF(ISERROR(VLOOKUP($P452,Member_Tab,5,FALSE())),0,VLOOKUP($P452,Member_Tab,5,FALSE())*IF(AND(AK$5 &gt; VLOOKUP($P452,Member_Tab,6,FALSE()),AK$5 &lt; VLOOKUP($P452,Member_Tab,7,FALSE())),1,0))</f>
        <v>0</v>
      </c>
      <c r="AL554" s="184" t="n">
        <f aca="false">IF(ISERROR(VLOOKUP($P452,Member_Tab,5,FALSE())),0,VLOOKUP($P452,Member_Tab,5,FALSE())*IF(AND(AL$5 &gt; VLOOKUP($P452,Member_Tab,6,FALSE()),AL$5 &lt; VLOOKUP($P452,Member_Tab,7,FALSE())),1,0))</f>
        <v>0</v>
      </c>
      <c r="AM554" s="184" t="n">
        <f aca="false">IF(ISERROR(VLOOKUP($P452,Member_Tab,5,FALSE())),0,VLOOKUP($P452,Member_Tab,5,FALSE())*IF(AND(AM$5 &gt; VLOOKUP($P452,Member_Tab,6,FALSE()),AM$5 &lt; VLOOKUP($P452,Member_Tab,7,FALSE())),1,0))</f>
        <v>0</v>
      </c>
      <c r="AN554" s="184" t="n">
        <f aca="false">IF(ISERROR(VLOOKUP($P452,Member_Tab,5,FALSE())),0,VLOOKUP($P452,Member_Tab,5,FALSE())*IF(AND(AN$5 &gt; VLOOKUP($P452,Member_Tab,6,FALSE()),AN$5 &lt; VLOOKUP($P452,Member_Tab,7,FALSE())),1,0))</f>
        <v>0</v>
      </c>
      <c r="AO554" s="184" t="n">
        <f aca="false">IF(ISERROR(VLOOKUP($P452,Member_Tab,5,FALSE())),0,VLOOKUP($P452,Member_Tab,5,FALSE())*IF(AND(AO$5 &gt; VLOOKUP($P452,Member_Tab,6,FALSE()),AO$5 &lt; VLOOKUP($P452,Member_Tab,7,FALSE())),1,0))</f>
        <v>0</v>
      </c>
      <c r="AP554" s="184" t="n">
        <f aca="false">IF(ISERROR(VLOOKUP($P452,Member_Tab,5,FALSE())),0,VLOOKUP($P452,Member_Tab,5,FALSE())*IF(AND(AP$5 &gt; VLOOKUP($P452,Member_Tab,6,FALSE()),AP$5 &lt; VLOOKUP($P452,Member_Tab,7,FALSE())),1,0))</f>
        <v>0</v>
      </c>
      <c r="AQ554" s="184" t="n">
        <f aca="false">IF(ISERROR(VLOOKUP($P452,Member_Tab,5,FALSE())),0,VLOOKUP($P452,Member_Tab,5,FALSE())*IF(AND(AQ$5 &gt; VLOOKUP($P452,Member_Tab,6,FALSE()),AQ$5 &lt; VLOOKUP($P452,Member_Tab,7,FALSE())),1,0))</f>
        <v>0</v>
      </c>
      <c r="AR554" s="184" t="n">
        <f aca="false">IF(ISERROR(VLOOKUP($P452,Member_Tab,5,FALSE())),0,VLOOKUP($P452,Member_Tab,5,FALSE())*IF(AND(AR$5 &gt; VLOOKUP($P452,Member_Tab,6,FALSE()),AR$5 &lt; VLOOKUP($P452,Member_Tab,7,FALSE())),1,0))</f>
        <v>0</v>
      </c>
      <c r="AS554" s="184" t="n">
        <f aca="false">IF(ISERROR(VLOOKUP($P452,Member_Tab,5,FALSE())),0,VLOOKUP($P452,Member_Tab,5,FALSE())*IF(AND(AS$5 &gt; VLOOKUP($P452,Member_Tab,6,FALSE()),AS$5 &lt; VLOOKUP($P452,Member_Tab,7,FALSE())),1,0))</f>
        <v>0</v>
      </c>
      <c r="AT554" s="184" t="n">
        <f aca="false">IF(ISERROR(VLOOKUP($P452,Member_Tab,5,FALSE())),0,VLOOKUP($P452,Member_Tab,5,FALSE())*IF(AND(AT$5 &gt; VLOOKUP($P452,Member_Tab,6,FALSE()),AT$5 &lt; VLOOKUP($P452,Member_Tab,7,FALSE())),1,0))</f>
        <v>0</v>
      </c>
      <c r="AU554" s="184" t="n">
        <f aca="false">IF(ISERROR(VLOOKUP($P452,Member_Tab,5,FALSE())),0,VLOOKUP($P452,Member_Tab,5,FALSE())*IF(AND(AU$5 &gt; VLOOKUP($P452,Member_Tab,6,FALSE()),AU$5 &lt; VLOOKUP($P452,Member_Tab,7,FALSE())),1,0))</f>
        <v>0</v>
      </c>
      <c r="AV554" s="184" t="n">
        <f aca="false">IF(ISERROR(VLOOKUP($P452,Member_Tab,5,FALSE())),0,VLOOKUP($P452,Member_Tab,5,FALSE())*IF(AND(AV$5 &gt; VLOOKUP($P452,Member_Tab,6,FALSE()),AV$5 &lt; VLOOKUP($P452,Member_Tab,7,FALSE())),1,0))</f>
        <v>0</v>
      </c>
      <c r="AW554" s="184" t="n">
        <f aca="false">IF(ISERROR(VLOOKUP($P452,Member_Tab,5,FALSE())),0,VLOOKUP($P452,Member_Tab,5,FALSE())*IF(AND(AW$5 &gt; VLOOKUP($P452,Member_Tab,6,FALSE()),AW$5 &lt; VLOOKUP($P452,Member_Tab,7,FALSE())),1,0))</f>
        <v>0</v>
      </c>
      <c r="AX554" s="184" t="n">
        <f aca="false">IF(ISERROR(VLOOKUP($P452,Member_Tab,5,FALSE())),0,VLOOKUP($P452,Member_Tab,5,FALSE())*IF(AND(AX$5 &gt; VLOOKUP($P452,Member_Tab,6,FALSE()),AX$5 &lt; VLOOKUP($P452,Member_Tab,7,FALSE())),1,0))</f>
        <v>0</v>
      </c>
      <c r="AY554" s="184" t="n">
        <f aca="false">IF(ISERROR(VLOOKUP($P452,Member_Tab,5,FALSE())),0,VLOOKUP($P452,Member_Tab,5,FALSE())*IF(AND(AY$5 &gt; VLOOKUP($P452,Member_Tab,6,FALSE()),AY$5 &lt; VLOOKUP($P452,Member_Tab,7,FALSE())),1,0))</f>
        <v>0</v>
      </c>
      <c r="AZ554" s="184" t="n">
        <f aca="false">IF(ISERROR(VLOOKUP($P452,Member_Tab,5,FALSE())),0,VLOOKUP($P452,Member_Tab,5,FALSE())*IF(AND(AZ$5 &gt; VLOOKUP($P452,Member_Tab,6,FALSE()),AZ$5 &lt; VLOOKUP($P452,Member_Tab,7,FALSE())),1,0))</f>
        <v>0</v>
      </c>
      <c r="BA554" s="184" t="n">
        <f aca="false">IF(ISERROR(VLOOKUP($P452,Member_Tab,5,FALSE())),0,VLOOKUP($P452,Member_Tab,5,FALSE())*IF(AND(BA$5 &gt; VLOOKUP($P452,Member_Tab,6,FALSE()),BA$5 &lt; VLOOKUP($P452,Member_Tab,7,FALSE())),1,0))</f>
        <v>0</v>
      </c>
      <c r="BB554" s="184" t="n">
        <f aca="false">IF(ISERROR(VLOOKUP($P452,Member_Tab,5,FALSE())),0,VLOOKUP($P452,Member_Tab,5,FALSE())*IF(AND(BB$5 &gt; VLOOKUP($P452,Member_Tab,6,FALSE()),BB$5 &lt; VLOOKUP($P452,Member_Tab,7,FALSE())),1,0))</f>
        <v>0</v>
      </c>
    </row>
    <row r="555" s="173" customFormat="true" ht="15.75" hidden="true" customHeight="false" outlineLevel="1" collapsed="false">
      <c r="E555" s="40"/>
      <c r="K555" s="40"/>
      <c r="L555" s="40"/>
      <c r="M555" s="40"/>
      <c r="N555" s="40"/>
      <c r="P555" s="183" t="n">
        <f aca="false">P453</f>
        <v>0</v>
      </c>
      <c r="Q555" s="40"/>
      <c r="R555" s="182"/>
      <c r="S555" s="184" t="n">
        <f aca="false">IF(ISERROR(VLOOKUP($P453,Member_Tab,5,FALSE())),0,VLOOKUP($P453,Member_Tab,5,FALSE())*IF(AND(S$5 &gt; VLOOKUP($P453,Member_Tab,6,FALSE()),S$5 &lt; VLOOKUP($P453,Member_Tab,7,FALSE())),1,0))</f>
        <v>0</v>
      </c>
      <c r="T555" s="184" t="n">
        <f aca="false">IF(ISERROR(VLOOKUP($P453,Member_Tab,5,FALSE())),0,VLOOKUP($P453,Member_Tab,5,FALSE())*IF(AND(T$5 &gt; VLOOKUP($P453,Member_Tab,6,FALSE()),T$5 &lt; VLOOKUP($P453,Member_Tab,7,FALSE())),1,0))</f>
        <v>0</v>
      </c>
      <c r="U555" s="184" t="n">
        <f aca="false">IF(ISERROR(VLOOKUP($P453,Member_Tab,5,FALSE())),0,VLOOKUP($P453,Member_Tab,5,FALSE())*IF(AND(U$5 &gt; VLOOKUP($P453,Member_Tab,6,FALSE()),U$5 &lt; VLOOKUP($P453,Member_Tab,7,FALSE())),1,0))</f>
        <v>0</v>
      </c>
      <c r="V555" s="184" t="n">
        <f aca="false">IF(ISERROR(VLOOKUP($P453,Member_Tab,5,FALSE())),0,VLOOKUP($P453,Member_Tab,5,FALSE())*IF(AND(V$5 &gt; VLOOKUP($P453,Member_Tab,6,FALSE()),V$5 &lt; VLOOKUP($P453,Member_Tab,7,FALSE())),1,0))</f>
        <v>0</v>
      </c>
      <c r="W555" s="184" t="n">
        <f aca="false">IF(ISERROR(VLOOKUP($P453,Member_Tab,5,FALSE())),0,VLOOKUP($P453,Member_Tab,5,FALSE())*IF(AND(W$5 &gt; VLOOKUP($P453,Member_Tab,6,FALSE()),W$5 &lt; VLOOKUP($P453,Member_Tab,7,FALSE())),1,0))</f>
        <v>0</v>
      </c>
      <c r="X555" s="184" t="n">
        <f aca="false">IF(ISERROR(VLOOKUP($P453,Member_Tab,5,FALSE())),0,VLOOKUP($P453,Member_Tab,5,FALSE())*IF(AND(X$5 &gt; VLOOKUP($P453,Member_Tab,6,FALSE()),X$5 &lt; VLOOKUP($P453,Member_Tab,7,FALSE())),1,0))</f>
        <v>0</v>
      </c>
      <c r="Y555" s="184" t="n">
        <f aca="false">IF(ISERROR(VLOOKUP($P453,Member_Tab,5,FALSE())),0,VLOOKUP($P453,Member_Tab,5,FALSE())*IF(AND(Y$5 &gt; VLOOKUP($P453,Member_Tab,6,FALSE()),Y$5 &lt; VLOOKUP($P453,Member_Tab,7,FALSE())),1,0))</f>
        <v>0</v>
      </c>
      <c r="Z555" s="184" t="n">
        <f aca="false">IF(ISERROR(VLOOKUP($P453,Member_Tab,5,FALSE())),0,VLOOKUP($P453,Member_Tab,5,FALSE())*IF(AND(Z$5 &gt; VLOOKUP($P453,Member_Tab,6,FALSE()),Z$5 &lt; VLOOKUP($P453,Member_Tab,7,FALSE())),1,0))</f>
        <v>0</v>
      </c>
      <c r="AA555" s="184" t="n">
        <f aca="false">IF(ISERROR(VLOOKUP($P453,Member_Tab,5,FALSE())),0,VLOOKUP($P453,Member_Tab,5,FALSE())*IF(AND(AA$5 &gt; VLOOKUP($P453,Member_Tab,6,FALSE()),AA$5 &lt; VLOOKUP($P453,Member_Tab,7,FALSE())),1,0))</f>
        <v>0</v>
      </c>
      <c r="AB555" s="184" t="n">
        <f aca="false">IF(ISERROR(VLOOKUP($P453,Member_Tab,5,FALSE())),0,VLOOKUP($P453,Member_Tab,5,FALSE())*IF(AND(AB$5 &gt; VLOOKUP($P453,Member_Tab,6,FALSE()),AB$5 &lt; VLOOKUP($P453,Member_Tab,7,FALSE())),1,0))</f>
        <v>0</v>
      </c>
      <c r="AC555" s="184" t="n">
        <f aca="false">IF(ISERROR(VLOOKUP($P453,Member_Tab,5,FALSE())),0,VLOOKUP($P453,Member_Tab,5,FALSE())*IF(AND(AC$5 &gt; VLOOKUP($P453,Member_Tab,6,FALSE()),AC$5 &lt; VLOOKUP($P453,Member_Tab,7,FALSE())),1,0))</f>
        <v>0</v>
      </c>
      <c r="AD555" s="184" t="n">
        <f aca="false">IF(ISERROR(VLOOKUP($P453,Member_Tab,5,FALSE())),0,VLOOKUP($P453,Member_Tab,5,FALSE())*IF(AND(AD$5 &gt; VLOOKUP($P453,Member_Tab,6,FALSE()),AD$5 &lt; VLOOKUP($P453,Member_Tab,7,FALSE())),1,0))</f>
        <v>0</v>
      </c>
      <c r="AE555" s="184" t="n">
        <f aca="false">IF(ISERROR(VLOOKUP($P453,Member_Tab,5,FALSE())),0,VLOOKUP($P453,Member_Tab,5,FALSE())*IF(AND(AE$5 &gt; VLOOKUP($P453,Member_Tab,6,FALSE()),AE$5 &lt; VLOOKUP($P453,Member_Tab,7,FALSE())),1,0))</f>
        <v>0</v>
      </c>
      <c r="AF555" s="184" t="n">
        <f aca="false">IF(ISERROR(VLOOKUP($P453,Member_Tab,5,FALSE())),0,VLOOKUP($P453,Member_Tab,5,FALSE())*IF(AND(AF$5 &gt; VLOOKUP($P453,Member_Tab,6,FALSE()),AF$5 &lt; VLOOKUP($P453,Member_Tab,7,FALSE())),1,0))</f>
        <v>0</v>
      </c>
      <c r="AG555" s="184" t="n">
        <f aca="false">IF(ISERROR(VLOOKUP($P453,Member_Tab,5,FALSE())),0,VLOOKUP($P453,Member_Tab,5,FALSE())*IF(AND(AG$5 &gt; VLOOKUP($P453,Member_Tab,6,FALSE()),AG$5 &lt; VLOOKUP($P453,Member_Tab,7,FALSE())),1,0))</f>
        <v>0</v>
      </c>
      <c r="AH555" s="184" t="n">
        <f aca="false">IF(ISERROR(VLOOKUP($P453,Member_Tab,5,FALSE())),0,VLOOKUP($P453,Member_Tab,5,FALSE())*IF(AND(AH$5 &gt; VLOOKUP($P453,Member_Tab,6,FALSE()),AH$5 &lt; VLOOKUP($P453,Member_Tab,7,FALSE())),1,0))</f>
        <v>0</v>
      </c>
      <c r="AI555" s="184" t="n">
        <f aca="false">IF(ISERROR(VLOOKUP($P453,Member_Tab,5,FALSE())),0,VLOOKUP($P453,Member_Tab,5,FALSE())*IF(AND(AI$5 &gt; VLOOKUP($P453,Member_Tab,6,FALSE()),AI$5 &lt; VLOOKUP($P453,Member_Tab,7,FALSE())),1,0))</f>
        <v>0</v>
      </c>
      <c r="AJ555" s="184" t="n">
        <f aca="false">IF(ISERROR(VLOOKUP($P453,Member_Tab,5,FALSE())),0,VLOOKUP($P453,Member_Tab,5,FALSE())*IF(AND(AJ$5 &gt; VLOOKUP($P453,Member_Tab,6,FALSE()),AJ$5 &lt; VLOOKUP($P453,Member_Tab,7,FALSE())),1,0))</f>
        <v>0</v>
      </c>
      <c r="AK555" s="184" t="n">
        <f aca="false">IF(ISERROR(VLOOKUP($P453,Member_Tab,5,FALSE())),0,VLOOKUP($P453,Member_Tab,5,FALSE())*IF(AND(AK$5 &gt; VLOOKUP($P453,Member_Tab,6,FALSE()),AK$5 &lt; VLOOKUP($P453,Member_Tab,7,FALSE())),1,0))</f>
        <v>0</v>
      </c>
      <c r="AL555" s="184" t="n">
        <f aca="false">IF(ISERROR(VLOOKUP($P453,Member_Tab,5,FALSE())),0,VLOOKUP($P453,Member_Tab,5,FALSE())*IF(AND(AL$5 &gt; VLOOKUP($P453,Member_Tab,6,FALSE()),AL$5 &lt; VLOOKUP($P453,Member_Tab,7,FALSE())),1,0))</f>
        <v>0</v>
      </c>
      <c r="AM555" s="184" t="n">
        <f aca="false">IF(ISERROR(VLOOKUP($P453,Member_Tab,5,FALSE())),0,VLOOKUP($P453,Member_Tab,5,FALSE())*IF(AND(AM$5 &gt; VLOOKUP($P453,Member_Tab,6,FALSE()),AM$5 &lt; VLOOKUP($P453,Member_Tab,7,FALSE())),1,0))</f>
        <v>0</v>
      </c>
      <c r="AN555" s="184" t="n">
        <f aca="false">IF(ISERROR(VLOOKUP($P453,Member_Tab,5,FALSE())),0,VLOOKUP($P453,Member_Tab,5,FALSE())*IF(AND(AN$5 &gt; VLOOKUP($P453,Member_Tab,6,FALSE()),AN$5 &lt; VLOOKUP($P453,Member_Tab,7,FALSE())),1,0))</f>
        <v>0</v>
      </c>
      <c r="AO555" s="184" t="n">
        <f aca="false">IF(ISERROR(VLOOKUP($P453,Member_Tab,5,FALSE())),0,VLOOKUP($P453,Member_Tab,5,FALSE())*IF(AND(AO$5 &gt; VLOOKUP($P453,Member_Tab,6,FALSE()),AO$5 &lt; VLOOKUP($P453,Member_Tab,7,FALSE())),1,0))</f>
        <v>0</v>
      </c>
      <c r="AP555" s="184" t="n">
        <f aca="false">IF(ISERROR(VLOOKUP($P453,Member_Tab,5,FALSE())),0,VLOOKUP($P453,Member_Tab,5,FALSE())*IF(AND(AP$5 &gt; VLOOKUP($P453,Member_Tab,6,FALSE()),AP$5 &lt; VLOOKUP($P453,Member_Tab,7,FALSE())),1,0))</f>
        <v>0</v>
      </c>
      <c r="AQ555" s="184" t="n">
        <f aca="false">IF(ISERROR(VLOOKUP($P453,Member_Tab,5,FALSE())),0,VLOOKUP($P453,Member_Tab,5,FALSE())*IF(AND(AQ$5 &gt; VLOOKUP($P453,Member_Tab,6,FALSE()),AQ$5 &lt; VLOOKUP($P453,Member_Tab,7,FALSE())),1,0))</f>
        <v>0</v>
      </c>
      <c r="AR555" s="184" t="n">
        <f aca="false">IF(ISERROR(VLOOKUP($P453,Member_Tab,5,FALSE())),0,VLOOKUP($P453,Member_Tab,5,FALSE())*IF(AND(AR$5 &gt; VLOOKUP($P453,Member_Tab,6,FALSE()),AR$5 &lt; VLOOKUP($P453,Member_Tab,7,FALSE())),1,0))</f>
        <v>0</v>
      </c>
      <c r="AS555" s="184" t="n">
        <f aca="false">IF(ISERROR(VLOOKUP($P453,Member_Tab,5,FALSE())),0,VLOOKUP($P453,Member_Tab,5,FALSE())*IF(AND(AS$5 &gt; VLOOKUP($P453,Member_Tab,6,FALSE()),AS$5 &lt; VLOOKUP($P453,Member_Tab,7,FALSE())),1,0))</f>
        <v>0</v>
      </c>
      <c r="AT555" s="184" t="n">
        <f aca="false">IF(ISERROR(VLOOKUP($P453,Member_Tab,5,FALSE())),0,VLOOKUP($P453,Member_Tab,5,FALSE())*IF(AND(AT$5 &gt; VLOOKUP($P453,Member_Tab,6,FALSE()),AT$5 &lt; VLOOKUP($P453,Member_Tab,7,FALSE())),1,0))</f>
        <v>0</v>
      </c>
      <c r="AU555" s="184" t="n">
        <f aca="false">IF(ISERROR(VLOOKUP($P453,Member_Tab,5,FALSE())),0,VLOOKUP($P453,Member_Tab,5,FALSE())*IF(AND(AU$5 &gt; VLOOKUP($P453,Member_Tab,6,FALSE()),AU$5 &lt; VLOOKUP($P453,Member_Tab,7,FALSE())),1,0))</f>
        <v>0</v>
      </c>
      <c r="AV555" s="184" t="n">
        <f aca="false">IF(ISERROR(VLOOKUP($P453,Member_Tab,5,FALSE())),0,VLOOKUP($P453,Member_Tab,5,FALSE())*IF(AND(AV$5 &gt; VLOOKUP($P453,Member_Tab,6,FALSE()),AV$5 &lt; VLOOKUP($P453,Member_Tab,7,FALSE())),1,0))</f>
        <v>0</v>
      </c>
      <c r="AW555" s="184" t="n">
        <f aca="false">IF(ISERROR(VLOOKUP($P453,Member_Tab,5,FALSE())),0,VLOOKUP($P453,Member_Tab,5,FALSE())*IF(AND(AW$5 &gt; VLOOKUP($P453,Member_Tab,6,FALSE()),AW$5 &lt; VLOOKUP($P453,Member_Tab,7,FALSE())),1,0))</f>
        <v>0</v>
      </c>
      <c r="AX555" s="184" t="n">
        <f aca="false">IF(ISERROR(VLOOKUP($P453,Member_Tab,5,FALSE())),0,VLOOKUP($P453,Member_Tab,5,FALSE())*IF(AND(AX$5 &gt; VLOOKUP($P453,Member_Tab,6,FALSE()),AX$5 &lt; VLOOKUP($P453,Member_Tab,7,FALSE())),1,0))</f>
        <v>0</v>
      </c>
      <c r="AY555" s="184" t="n">
        <f aca="false">IF(ISERROR(VLOOKUP($P453,Member_Tab,5,FALSE())),0,VLOOKUP($P453,Member_Tab,5,FALSE())*IF(AND(AY$5 &gt; VLOOKUP($P453,Member_Tab,6,FALSE()),AY$5 &lt; VLOOKUP($P453,Member_Tab,7,FALSE())),1,0))</f>
        <v>0</v>
      </c>
      <c r="AZ555" s="184" t="n">
        <f aca="false">IF(ISERROR(VLOOKUP($P453,Member_Tab,5,FALSE())),0,VLOOKUP($P453,Member_Tab,5,FALSE())*IF(AND(AZ$5 &gt; VLOOKUP($P453,Member_Tab,6,FALSE()),AZ$5 &lt; VLOOKUP($P453,Member_Tab,7,FALSE())),1,0))</f>
        <v>0</v>
      </c>
      <c r="BA555" s="184" t="n">
        <f aca="false">IF(ISERROR(VLOOKUP($P453,Member_Tab,5,FALSE())),0,VLOOKUP($P453,Member_Tab,5,FALSE())*IF(AND(BA$5 &gt; VLOOKUP($P453,Member_Tab,6,FALSE()),BA$5 &lt; VLOOKUP($P453,Member_Tab,7,FALSE())),1,0))</f>
        <v>0</v>
      </c>
      <c r="BB555" s="184" t="n">
        <f aca="false">IF(ISERROR(VLOOKUP($P453,Member_Tab,5,FALSE())),0,VLOOKUP($P453,Member_Tab,5,FALSE())*IF(AND(BB$5 &gt; VLOOKUP($P453,Member_Tab,6,FALSE()),BB$5 &lt; VLOOKUP($P453,Member_Tab,7,FALSE())),1,0))</f>
        <v>0</v>
      </c>
    </row>
    <row r="556" s="173" customFormat="true" ht="15.75" hidden="true" customHeight="false" outlineLevel="1" collapsed="false">
      <c r="E556" s="40"/>
      <c r="K556" s="40"/>
      <c r="L556" s="40"/>
      <c r="M556" s="40"/>
      <c r="N556" s="40"/>
      <c r="P556" s="183" t="n">
        <f aca="false">P454</f>
        <v>0</v>
      </c>
      <c r="Q556" s="40"/>
      <c r="R556" s="182"/>
      <c r="S556" s="184" t="n">
        <f aca="false">IF(ISERROR(VLOOKUP($P454,Member_Tab,5,FALSE())),0,VLOOKUP($P454,Member_Tab,5,FALSE())*IF(AND(S$5 &gt; VLOOKUP($P454,Member_Tab,6,FALSE()),S$5 &lt; VLOOKUP($P454,Member_Tab,7,FALSE())),1,0))</f>
        <v>0</v>
      </c>
      <c r="T556" s="184" t="n">
        <f aca="false">IF(ISERROR(VLOOKUP($P454,Member_Tab,5,FALSE())),0,VLOOKUP($P454,Member_Tab,5,FALSE())*IF(AND(T$5 &gt; VLOOKUP($P454,Member_Tab,6,FALSE()),T$5 &lt; VLOOKUP($P454,Member_Tab,7,FALSE())),1,0))</f>
        <v>0</v>
      </c>
      <c r="U556" s="184" t="n">
        <f aca="false">IF(ISERROR(VLOOKUP($P454,Member_Tab,5,FALSE())),0,VLOOKUP($P454,Member_Tab,5,FALSE())*IF(AND(U$5 &gt; VLOOKUP($P454,Member_Tab,6,FALSE()),U$5 &lt; VLOOKUP($P454,Member_Tab,7,FALSE())),1,0))</f>
        <v>0</v>
      </c>
      <c r="V556" s="184" t="n">
        <f aca="false">IF(ISERROR(VLOOKUP($P454,Member_Tab,5,FALSE())),0,VLOOKUP($P454,Member_Tab,5,FALSE())*IF(AND(V$5 &gt; VLOOKUP($P454,Member_Tab,6,FALSE()),V$5 &lt; VLOOKUP($P454,Member_Tab,7,FALSE())),1,0))</f>
        <v>0</v>
      </c>
      <c r="W556" s="184" t="n">
        <f aca="false">IF(ISERROR(VLOOKUP($P454,Member_Tab,5,FALSE())),0,VLOOKUP($P454,Member_Tab,5,FALSE())*IF(AND(W$5 &gt; VLOOKUP($P454,Member_Tab,6,FALSE()),W$5 &lt; VLOOKUP($P454,Member_Tab,7,FALSE())),1,0))</f>
        <v>0</v>
      </c>
      <c r="X556" s="184" t="n">
        <f aca="false">IF(ISERROR(VLOOKUP($P454,Member_Tab,5,FALSE())),0,VLOOKUP($P454,Member_Tab,5,FALSE())*IF(AND(X$5 &gt; VLOOKUP($P454,Member_Tab,6,FALSE()),X$5 &lt; VLOOKUP($P454,Member_Tab,7,FALSE())),1,0))</f>
        <v>0</v>
      </c>
      <c r="Y556" s="184" t="n">
        <f aca="false">IF(ISERROR(VLOOKUP($P454,Member_Tab,5,FALSE())),0,VLOOKUP($P454,Member_Tab,5,FALSE())*IF(AND(Y$5 &gt; VLOOKUP($P454,Member_Tab,6,FALSE()),Y$5 &lt; VLOOKUP($P454,Member_Tab,7,FALSE())),1,0))</f>
        <v>0</v>
      </c>
      <c r="Z556" s="184" t="n">
        <f aca="false">IF(ISERROR(VLOOKUP($P454,Member_Tab,5,FALSE())),0,VLOOKUP($P454,Member_Tab,5,FALSE())*IF(AND(Z$5 &gt; VLOOKUP($P454,Member_Tab,6,FALSE()),Z$5 &lt; VLOOKUP($P454,Member_Tab,7,FALSE())),1,0))</f>
        <v>0</v>
      </c>
      <c r="AA556" s="184" t="n">
        <f aca="false">IF(ISERROR(VLOOKUP($P454,Member_Tab,5,FALSE())),0,VLOOKUP($P454,Member_Tab,5,FALSE())*IF(AND(AA$5 &gt; VLOOKUP($P454,Member_Tab,6,FALSE()),AA$5 &lt; VLOOKUP($P454,Member_Tab,7,FALSE())),1,0))</f>
        <v>0</v>
      </c>
      <c r="AB556" s="184" t="n">
        <f aca="false">IF(ISERROR(VLOOKUP($P454,Member_Tab,5,FALSE())),0,VLOOKUP($P454,Member_Tab,5,FALSE())*IF(AND(AB$5 &gt; VLOOKUP($P454,Member_Tab,6,FALSE()),AB$5 &lt; VLOOKUP($P454,Member_Tab,7,FALSE())),1,0))</f>
        <v>0</v>
      </c>
      <c r="AC556" s="184" t="n">
        <f aca="false">IF(ISERROR(VLOOKUP($P454,Member_Tab,5,FALSE())),0,VLOOKUP($P454,Member_Tab,5,FALSE())*IF(AND(AC$5 &gt; VLOOKUP($P454,Member_Tab,6,FALSE()),AC$5 &lt; VLOOKUP($P454,Member_Tab,7,FALSE())),1,0))</f>
        <v>0</v>
      </c>
      <c r="AD556" s="184" t="n">
        <f aca="false">IF(ISERROR(VLOOKUP($P454,Member_Tab,5,FALSE())),0,VLOOKUP($P454,Member_Tab,5,FALSE())*IF(AND(AD$5 &gt; VLOOKUP($P454,Member_Tab,6,FALSE()),AD$5 &lt; VLOOKUP($P454,Member_Tab,7,FALSE())),1,0))</f>
        <v>0</v>
      </c>
      <c r="AE556" s="184" t="n">
        <f aca="false">IF(ISERROR(VLOOKUP($P454,Member_Tab,5,FALSE())),0,VLOOKUP($P454,Member_Tab,5,FALSE())*IF(AND(AE$5 &gt; VLOOKUP($P454,Member_Tab,6,FALSE()),AE$5 &lt; VLOOKUP($P454,Member_Tab,7,FALSE())),1,0))</f>
        <v>0</v>
      </c>
      <c r="AF556" s="184" t="n">
        <f aca="false">IF(ISERROR(VLOOKUP($P454,Member_Tab,5,FALSE())),0,VLOOKUP($P454,Member_Tab,5,FALSE())*IF(AND(AF$5 &gt; VLOOKUP($P454,Member_Tab,6,FALSE()),AF$5 &lt; VLOOKUP($P454,Member_Tab,7,FALSE())),1,0))</f>
        <v>0</v>
      </c>
      <c r="AG556" s="184" t="n">
        <f aca="false">IF(ISERROR(VLOOKUP($P454,Member_Tab,5,FALSE())),0,VLOOKUP($P454,Member_Tab,5,FALSE())*IF(AND(AG$5 &gt; VLOOKUP($P454,Member_Tab,6,FALSE()),AG$5 &lt; VLOOKUP($P454,Member_Tab,7,FALSE())),1,0))</f>
        <v>0</v>
      </c>
      <c r="AH556" s="184" t="n">
        <f aca="false">IF(ISERROR(VLOOKUP($P454,Member_Tab,5,FALSE())),0,VLOOKUP($P454,Member_Tab,5,FALSE())*IF(AND(AH$5 &gt; VLOOKUP($P454,Member_Tab,6,FALSE()),AH$5 &lt; VLOOKUP($P454,Member_Tab,7,FALSE())),1,0))</f>
        <v>0</v>
      </c>
      <c r="AI556" s="184" t="n">
        <f aca="false">IF(ISERROR(VLOOKUP($P454,Member_Tab,5,FALSE())),0,VLOOKUP($P454,Member_Tab,5,FALSE())*IF(AND(AI$5 &gt; VLOOKUP($P454,Member_Tab,6,FALSE()),AI$5 &lt; VLOOKUP($P454,Member_Tab,7,FALSE())),1,0))</f>
        <v>0</v>
      </c>
      <c r="AJ556" s="184" t="n">
        <f aca="false">IF(ISERROR(VLOOKUP($P454,Member_Tab,5,FALSE())),0,VLOOKUP($P454,Member_Tab,5,FALSE())*IF(AND(AJ$5 &gt; VLOOKUP($P454,Member_Tab,6,FALSE()),AJ$5 &lt; VLOOKUP($P454,Member_Tab,7,FALSE())),1,0))</f>
        <v>0</v>
      </c>
      <c r="AK556" s="184" t="n">
        <f aca="false">IF(ISERROR(VLOOKUP($P454,Member_Tab,5,FALSE())),0,VLOOKUP($P454,Member_Tab,5,FALSE())*IF(AND(AK$5 &gt; VLOOKUP($P454,Member_Tab,6,FALSE()),AK$5 &lt; VLOOKUP($P454,Member_Tab,7,FALSE())),1,0))</f>
        <v>0</v>
      </c>
      <c r="AL556" s="184" t="n">
        <f aca="false">IF(ISERROR(VLOOKUP($P454,Member_Tab,5,FALSE())),0,VLOOKUP($P454,Member_Tab,5,FALSE())*IF(AND(AL$5 &gt; VLOOKUP($P454,Member_Tab,6,FALSE()),AL$5 &lt; VLOOKUP($P454,Member_Tab,7,FALSE())),1,0))</f>
        <v>0</v>
      </c>
      <c r="AM556" s="184" t="n">
        <f aca="false">IF(ISERROR(VLOOKUP($P454,Member_Tab,5,FALSE())),0,VLOOKUP($P454,Member_Tab,5,FALSE())*IF(AND(AM$5 &gt; VLOOKUP($P454,Member_Tab,6,FALSE()),AM$5 &lt; VLOOKUP($P454,Member_Tab,7,FALSE())),1,0))</f>
        <v>0</v>
      </c>
      <c r="AN556" s="184" t="n">
        <f aca="false">IF(ISERROR(VLOOKUP($P454,Member_Tab,5,FALSE())),0,VLOOKUP($P454,Member_Tab,5,FALSE())*IF(AND(AN$5 &gt; VLOOKUP($P454,Member_Tab,6,FALSE()),AN$5 &lt; VLOOKUP($P454,Member_Tab,7,FALSE())),1,0))</f>
        <v>0</v>
      </c>
      <c r="AO556" s="184" t="n">
        <f aca="false">IF(ISERROR(VLOOKUP($P454,Member_Tab,5,FALSE())),0,VLOOKUP($P454,Member_Tab,5,FALSE())*IF(AND(AO$5 &gt; VLOOKUP($P454,Member_Tab,6,FALSE()),AO$5 &lt; VLOOKUP($P454,Member_Tab,7,FALSE())),1,0))</f>
        <v>0</v>
      </c>
      <c r="AP556" s="184" t="n">
        <f aca="false">IF(ISERROR(VLOOKUP($P454,Member_Tab,5,FALSE())),0,VLOOKUP($P454,Member_Tab,5,FALSE())*IF(AND(AP$5 &gt; VLOOKUP($P454,Member_Tab,6,FALSE()),AP$5 &lt; VLOOKUP($P454,Member_Tab,7,FALSE())),1,0))</f>
        <v>0</v>
      </c>
      <c r="AQ556" s="184" t="n">
        <f aca="false">IF(ISERROR(VLOOKUP($P454,Member_Tab,5,FALSE())),0,VLOOKUP($P454,Member_Tab,5,FALSE())*IF(AND(AQ$5 &gt; VLOOKUP($P454,Member_Tab,6,FALSE()),AQ$5 &lt; VLOOKUP($P454,Member_Tab,7,FALSE())),1,0))</f>
        <v>0</v>
      </c>
      <c r="AR556" s="184" t="n">
        <f aca="false">IF(ISERROR(VLOOKUP($P454,Member_Tab,5,FALSE())),0,VLOOKUP($P454,Member_Tab,5,FALSE())*IF(AND(AR$5 &gt; VLOOKUP($P454,Member_Tab,6,FALSE()),AR$5 &lt; VLOOKUP($P454,Member_Tab,7,FALSE())),1,0))</f>
        <v>0</v>
      </c>
      <c r="AS556" s="184" t="n">
        <f aca="false">IF(ISERROR(VLOOKUP($P454,Member_Tab,5,FALSE())),0,VLOOKUP($P454,Member_Tab,5,FALSE())*IF(AND(AS$5 &gt; VLOOKUP($P454,Member_Tab,6,FALSE()),AS$5 &lt; VLOOKUP($P454,Member_Tab,7,FALSE())),1,0))</f>
        <v>0</v>
      </c>
      <c r="AT556" s="184" t="n">
        <f aca="false">IF(ISERROR(VLOOKUP($P454,Member_Tab,5,FALSE())),0,VLOOKUP($P454,Member_Tab,5,FALSE())*IF(AND(AT$5 &gt; VLOOKUP($P454,Member_Tab,6,FALSE()),AT$5 &lt; VLOOKUP($P454,Member_Tab,7,FALSE())),1,0))</f>
        <v>0</v>
      </c>
      <c r="AU556" s="184" t="n">
        <f aca="false">IF(ISERROR(VLOOKUP($P454,Member_Tab,5,FALSE())),0,VLOOKUP($P454,Member_Tab,5,FALSE())*IF(AND(AU$5 &gt; VLOOKUP($P454,Member_Tab,6,FALSE()),AU$5 &lt; VLOOKUP($P454,Member_Tab,7,FALSE())),1,0))</f>
        <v>0</v>
      </c>
      <c r="AV556" s="184" t="n">
        <f aca="false">IF(ISERROR(VLOOKUP($P454,Member_Tab,5,FALSE())),0,VLOOKUP($P454,Member_Tab,5,FALSE())*IF(AND(AV$5 &gt; VLOOKUP($P454,Member_Tab,6,FALSE()),AV$5 &lt; VLOOKUP($P454,Member_Tab,7,FALSE())),1,0))</f>
        <v>0</v>
      </c>
      <c r="AW556" s="184" t="n">
        <f aca="false">IF(ISERROR(VLOOKUP($P454,Member_Tab,5,FALSE())),0,VLOOKUP($P454,Member_Tab,5,FALSE())*IF(AND(AW$5 &gt; VLOOKUP($P454,Member_Tab,6,FALSE()),AW$5 &lt; VLOOKUP($P454,Member_Tab,7,FALSE())),1,0))</f>
        <v>0</v>
      </c>
      <c r="AX556" s="184" t="n">
        <f aca="false">IF(ISERROR(VLOOKUP($P454,Member_Tab,5,FALSE())),0,VLOOKUP($P454,Member_Tab,5,FALSE())*IF(AND(AX$5 &gt; VLOOKUP($P454,Member_Tab,6,FALSE()),AX$5 &lt; VLOOKUP($P454,Member_Tab,7,FALSE())),1,0))</f>
        <v>0</v>
      </c>
      <c r="AY556" s="184" t="n">
        <f aca="false">IF(ISERROR(VLOOKUP($P454,Member_Tab,5,FALSE())),0,VLOOKUP($P454,Member_Tab,5,FALSE())*IF(AND(AY$5 &gt; VLOOKUP($P454,Member_Tab,6,FALSE()),AY$5 &lt; VLOOKUP($P454,Member_Tab,7,FALSE())),1,0))</f>
        <v>0</v>
      </c>
      <c r="AZ556" s="184" t="n">
        <f aca="false">IF(ISERROR(VLOOKUP($P454,Member_Tab,5,FALSE())),0,VLOOKUP($P454,Member_Tab,5,FALSE())*IF(AND(AZ$5 &gt; VLOOKUP($P454,Member_Tab,6,FALSE()),AZ$5 &lt; VLOOKUP($P454,Member_Tab,7,FALSE())),1,0))</f>
        <v>0</v>
      </c>
      <c r="BA556" s="184" t="n">
        <f aca="false">IF(ISERROR(VLOOKUP($P454,Member_Tab,5,FALSE())),0,VLOOKUP($P454,Member_Tab,5,FALSE())*IF(AND(BA$5 &gt; VLOOKUP($P454,Member_Tab,6,FALSE()),BA$5 &lt; VLOOKUP($P454,Member_Tab,7,FALSE())),1,0))</f>
        <v>0</v>
      </c>
      <c r="BB556" s="184" t="n">
        <f aca="false">IF(ISERROR(VLOOKUP($P454,Member_Tab,5,FALSE())),0,VLOOKUP($P454,Member_Tab,5,FALSE())*IF(AND(BB$5 &gt; VLOOKUP($P454,Member_Tab,6,FALSE()),BB$5 &lt; VLOOKUP($P454,Member_Tab,7,FALSE())),1,0))</f>
        <v>0</v>
      </c>
    </row>
    <row r="557" s="173" customFormat="true" ht="15.75" hidden="true" customHeight="false" outlineLevel="1" collapsed="false">
      <c r="E557" s="40"/>
      <c r="K557" s="40"/>
      <c r="L557" s="40"/>
      <c r="M557" s="40"/>
      <c r="N557" s="40"/>
      <c r="P557" s="183" t="n">
        <f aca="false">P455</f>
        <v>0</v>
      </c>
      <c r="Q557" s="40"/>
      <c r="R557" s="182"/>
      <c r="S557" s="184" t="n">
        <f aca="false">IF(ISERROR(VLOOKUP($P455,Member_Tab,5,FALSE())),0,VLOOKUP($P455,Member_Tab,5,FALSE())*IF(AND(S$5 &gt; VLOOKUP($P455,Member_Tab,6,FALSE()),S$5 &lt; VLOOKUP($P455,Member_Tab,7,FALSE())),1,0))</f>
        <v>0</v>
      </c>
      <c r="T557" s="184" t="n">
        <f aca="false">IF(ISERROR(VLOOKUP($P455,Member_Tab,5,FALSE())),0,VLOOKUP($P455,Member_Tab,5,FALSE())*IF(AND(T$5 &gt; VLOOKUP($P455,Member_Tab,6,FALSE()),T$5 &lt; VLOOKUP($P455,Member_Tab,7,FALSE())),1,0))</f>
        <v>0</v>
      </c>
      <c r="U557" s="184" t="n">
        <f aca="false">IF(ISERROR(VLOOKUP($P455,Member_Tab,5,FALSE())),0,VLOOKUP($P455,Member_Tab,5,FALSE())*IF(AND(U$5 &gt; VLOOKUP($P455,Member_Tab,6,FALSE()),U$5 &lt; VLOOKUP($P455,Member_Tab,7,FALSE())),1,0))</f>
        <v>0</v>
      </c>
      <c r="V557" s="184" t="n">
        <f aca="false">IF(ISERROR(VLOOKUP($P455,Member_Tab,5,FALSE())),0,VLOOKUP($P455,Member_Tab,5,FALSE())*IF(AND(V$5 &gt; VLOOKUP($P455,Member_Tab,6,FALSE()),V$5 &lt; VLOOKUP($P455,Member_Tab,7,FALSE())),1,0))</f>
        <v>0</v>
      </c>
      <c r="W557" s="184" t="n">
        <f aca="false">IF(ISERROR(VLOOKUP($P455,Member_Tab,5,FALSE())),0,VLOOKUP($P455,Member_Tab,5,FALSE())*IF(AND(W$5 &gt; VLOOKUP($P455,Member_Tab,6,FALSE()),W$5 &lt; VLOOKUP($P455,Member_Tab,7,FALSE())),1,0))</f>
        <v>0</v>
      </c>
      <c r="X557" s="184" t="n">
        <f aca="false">IF(ISERROR(VLOOKUP($P455,Member_Tab,5,FALSE())),0,VLOOKUP($P455,Member_Tab,5,FALSE())*IF(AND(X$5 &gt; VLOOKUP($P455,Member_Tab,6,FALSE()),X$5 &lt; VLOOKUP($P455,Member_Tab,7,FALSE())),1,0))</f>
        <v>0</v>
      </c>
      <c r="Y557" s="184" t="n">
        <f aca="false">IF(ISERROR(VLOOKUP($P455,Member_Tab,5,FALSE())),0,VLOOKUP($P455,Member_Tab,5,FALSE())*IF(AND(Y$5 &gt; VLOOKUP($P455,Member_Tab,6,FALSE()),Y$5 &lt; VLOOKUP($P455,Member_Tab,7,FALSE())),1,0))</f>
        <v>0</v>
      </c>
      <c r="Z557" s="184" t="n">
        <f aca="false">IF(ISERROR(VLOOKUP($P455,Member_Tab,5,FALSE())),0,VLOOKUP($P455,Member_Tab,5,FALSE())*IF(AND(Z$5 &gt; VLOOKUP($P455,Member_Tab,6,FALSE()),Z$5 &lt; VLOOKUP($P455,Member_Tab,7,FALSE())),1,0))</f>
        <v>0</v>
      </c>
      <c r="AA557" s="184" t="n">
        <f aca="false">IF(ISERROR(VLOOKUP($P455,Member_Tab,5,FALSE())),0,VLOOKUP($P455,Member_Tab,5,FALSE())*IF(AND(AA$5 &gt; VLOOKUP($P455,Member_Tab,6,FALSE()),AA$5 &lt; VLOOKUP($P455,Member_Tab,7,FALSE())),1,0))</f>
        <v>0</v>
      </c>
      <c r="AB557" s="184" t="n">
        <f aca="false">IF(ISERROR(VLOOKUP($P455,Member_Tab,5,FALSE())),0,VLOOKUP($P455,Member_Tab,5,FALSE())*IF(AND(AB$5 &gt; VLOOKUP($P455,Member_Tab,6,FALSE()),AB$5 &lt; VLOOKUP($P455,Member_Tab,7,FALSE())),1,0))</f>
        <v>0</v>
      </c>
      <c r="AC557" s="184" t="n">
        <f aca="false">IF(ISERROR(VLOOKUP($P455,Member_Tab,5,FALSE())),0,VLOOKUP($P455,Member_Tab,5,FALSE())*IF(AND(AC$5 &gt; VLOOKUP($P455,Member_Tab,6,FALSE()),AC$5 &lt; VLOOKUP($P455,Member_Tab,7,FALSE())),1,0))</f>
        <v>0</v>
      </c>
      <c r="AD557" s="184" t="n">
        <f aca="false">IF(ISERROR(VLOOKUP($P455,Member_Tab,5,FALSE())),0,VLOOKUP($P455,Member_Tab,5,FALSE())*IF(AND(AD$5 &gt; VLOOKUP($P455,Member_Tab,6,FALSE()),AD$5 &lt; VLOOKUP($P455,Member_Tab,7,FALSE())),1,0))</f>
        <v>0</v>
      </c>
      <c r="AE557" s="184" t="n">
        <f aca="false">IF(ISERROR(VLOOKUP($P455,Member_Tab,5,FALSE())),0,VLOOKUP($P455,Member_Tab,5,FALSE())*IF(AND(AE$5 &gt; VLOOKUP($P455,Member_Tab,6,FALSE()),AE$5 &lt; VLOOKUP($P455,Member_Tab,7,FALSE())),1,0))</f>
        <v>0</v>
      </c>
      <c r="AF557" s="184" t="n">
        <f aca="false">IF(ISERROR(VLOOKUP($P455,Member_Tab,5,FALSE())),0,VLOOKUP($P455,Member_Tab,5,FALSE())*IF(AND(AF$5 &gt; VLOOKUP($P455,Member_Tab,6,FALSE()),AF$5 &lt; VLOOKUP($P455,Member_Tab,7,FALSE())),1,0))</f>
        <v>0</v>
      </c>
      <c r="AG557" s="184" t="n">
        <f aca="false">IF(ISERROR(VLOOKUP($P455,Member_Tab,5,FALSE())),0,VLOOKUP($P455,Member_Tab,5,FALSE())*IF(AND(AG$5 &gt; VLOOKUP($P455,Member_Tab,6,FALSE()),AG$5 &lt; VLOOKUP($P455,Member_Tab,7,FALSE())),1,0))</f>
        <v>0</v>
      </c>
      <c r="AH557" s="184" t="n">
        <f aca="false">IF(ISERROR(VLOOKUP($P455,Member_Tab,5,FALSE())),0,VLOOKUP($P455,Member_Tab,5,FALSE())*IF(AND(AH$5 &gt; VLOOKUP($P455,Member_Tab,6,FALSE()),AH$5 &lt; VLOOKUP($P455,Member_Tab,7,FALSE())),1,0))</f>
        <v>0</v>
      </c>
      <c r="AI557" s="184" t="n">
        <f aca="false">IF(ISERROR(VLOOKUP($P455,Member_Tab,5,FALSE())),0,VLOOKUP($P455,Member_Tab,5,FALSE())*IF(AND(AI$5 &gt; VLOOKUP($P455,Member_Tab,6,FALSE()),AI$5 &lt; VLOOKUP($P455,Member_Tab,7,FALSE())),1,0))</f>
        <v>0</v>
      </c>
      <c r="AJ557" s="184" t="n">
        <f aca="false">IF(ISERROR(VLOOKUP($P455,Member_Tab,5,FALSE())),0,VLOOKUP($P455,Member_Tab,5,FALSE())*IF(AND(AJ$5 &gt; VLOOKUP($P455,Member_Tab,6,FALSE()),AJ$5 &lt; VLOOKUP($P455,Member_Tab,7,FALSE())),1,0))</f>
        <v>0</v>
      </c>
      <c r="AK557" s="184" t="n">
        <f aca="false">IF(ISERROR(VLOOKUP($P455,Member_Tab,5,FALSE())),0,VLOOKUP($P455,Member_Tab,5,FALSE())*IF(AND(AK$5 &gt; VLOOKUP($P455,Member_Tab,6,FALSE()),AK$5 &lt; VLOOKUP($P455,Member_Tab,7,FALSE())),1,0))</f>
        <v>0</v>
      </c>
      <c r="AL557" s="184" t="n">
        <f aca="false">IF(ISERROR(VLOOKUP($P455,Member_Tab,5,FALSE())),0,VLOOKUP($P455,Member_Tab,5,FALSE())*IF(AND(AL$5 &gt; VLOOKUP($P455,Member_Tab,6,FALSE()),AL$5 &lt; VLOOKUP($P455,Member_Tab,7,FALSE())),1,0))</f>
        <v>0</v>
      </c>
      <c r="AM557" s="184" t="n">
        <f aca="false">IF(ISERROR(VLOOKUP($P455,Member_Tab,5,FALSE())),0,VLOOKUP($P455,Member_Tab,5,FALSE())*IF(AND(AM$5 &gt; VLOOKUP($P455,Member_Tab,6,FALSE()),AM$5 &lt; VLOOKUP($P455,Member_Tab,7,FALSE())),1,0))</f>
        <v>0</v>
      </c>
      <c r="AN557" s="184" t="n">
        <f aca="false">IF(ISERROR(VLOOKUP($P455,Member_Tab,5,FALSE())),0,VLOOKUP($P455,Member_Tab,5,FALSE())*IF(AND(AN$5 &gt; VLOOKUP($P455,Member_Tab,6,FALSE()),AN$5 &lt; VLOOKUP($P455,Member_Tab,7,FALSE())),1,0))</f>
        <v>0</v>
      </c>
      <c r="AO557" s="184" t="n">
        <f aca="false">IF(ISERROR(VLOOKUP($P455,Member_Tab,5,FALSE())),0,VLOOKUP($P455,Member_Tab,5,FALSE())*IF(AND(AO$5 &gt; VLOOKUP($P455,Member_Tab,6,FALSE()),AO$5 &lt; VLOOKUP($P455,Member_Tab,7,FALSE())),1,0))</f>
        <v>0</v>
      </c>
      <c r="AP557" s="184" t="n">
        <f aca="false">IF(ISERROR(VLOOKUP($P455,Member_Tab,5,FALSE())),0,VLOOKUP($P455,Member_Tab,5,FALSE())*IF(AND(AP$5 &gt; VLOOKUP($P455,Member_Tab,6,FALSE()),AP$5 &lt; VLOOKUP($P455,Member_Tab,7,FALSE())),1,0))</f>
        <v>0</v>
      </c>
      <c r="AQ557" s="184" t="n">
        <f aca="false">IF(ISERROR(VLOOKUP($P455,Member_Tab,5,FALSE())),0,VLOOKUP($P455,Member_Tab,5,FALSE())*IF(AND(AQ$5 &gt; VLOOKUP($P455,Member_Tab,6,FALSE()),AQ$5 &lt; VLOOKUP($P455,Member_Tab,7,FALSE())),1,0))</f>
        <v>0</v>
      </c>
      <c r="AR557" s="184" t="n">
        <f aca="false">IF(ISERROR(VLOOKUP($P455,Member_Tab,5,FALSE())),0,VLOOKUP($P455,Member_Tab,5,FALSE())*IF(AND(AR$5 &gt; VLOOKUP($P455,Member_Tab,6,FALSE()),AR$5 &lt; VLOOKUP($P455,Member_Tab,7,FALSE())),1,0))</f>
        <v>0</v>
      </c>
      <c r="AS557" s="184" t="n">
        <f aca="false">IF(ISERROR(VLOOKUP($P455,Member_Tab,5,FALSE())),0,VLOOKUP($P455,Member_Tab,5,FALSE())*IF(AND(AS$5 &gt; VLOOKUP($P455,Member_Tab,6,FALSE()),AS$5 &lt; VLOOKUP($P455,Member_Tab,7,FALSE())),1,0))</f>
        <v>0</v>
      </c>
      <c r="AT557" s="184" t="n">
        <f aca="false">IF(ISERROR(VLOOKUP($P455,Member_Tab,5,FALSE())),0,VLOOKUP($P455,Member_Tab,5,FALSE())*IF(AND(AT$5 &gt; VLOOKUP($P455,Member_Tab,6,FALSE()),AT$5 &lt; VLOOKUP($P455,Member_Tab,7,FALSE())),1,0))</f>
        <v>0</v>
      </c>
      <c r="AU557" s="184" t="n">
        <f aca="false">IF(ISERROR(VLOOKUP($P455,Member_Tab,5,FALSE())),0,VLOOKUP($P455,Member_Tab,5,FALSE())*IF(AND(AU$5 &gt; VLOOKUP($P455,Member_Tab,6,FALSE()),AU$5 &lt; VLOOKUP($P455,Member_Tab,7,FALSE())),1,0))</f>
        <v>0</v>
      </c>
      <c r="AV557" s="184" t="n">
        <f aca="false">IF(ISERROR(VLOOKUP($P455,Member_Tab,5,FALSE())),0,VLOOKUP($P455,Member_Tab,5,FALSE())*IF(AND(AV$5 &gt; VLOOKUP($P455,Member_Tab,6,FALSE()),AV$5 &lt; VLOOKUP($P455,Member_Tab,7,FALSE())),1,0))</f>
        <v>0</v>
      </c>
      <c r="AW557" s="184" t="n">
        <f aca="false">IF(ISERROR(VLOOKUP($P455,Member_Tab,5,FALSE())),0,VLOOKUP($P455,Member_Tab,5,FALSE())*IF(AND(AW$5 &gt; VLOOKUP($P455,Member_Tab,6,FALSE()),AW$5 &lt; VLOOKUP($P455,Member_Tab,7,FALSE())),1,0))</f>
        <v>0</v>
      </c>
      <c r="AX557" s="184" t="n">
        <f aca="false">IF(ISERROR(VLOOKUP($P455,Member_Tab,5,FALSE())),0,VLOOKUP($P455,Member_Tab,5,FALSE())*IF(AND(AX$5 &gt; VLOOKUP($P455,Member_Tab,6,FALSE()),AX$5 &lt; VLOOKUP($P455,Member_Tab,7,FALSE())),1,0))</f>
        <v>0</v>
      </c>
      <c r="AY557" s="184" t="n">
        <f aca="false">IF(ISERROR(VLOOKUP($P455,Member_Tab,5,FALSE())),0,VLOOKUP($P455,Member_Tab,5,FALSE())*IF(AND(AY$5 &gt; VLOOKUP($P455,Member_Tab,6,FALSE()),AY$5 &lt; VLOOKUP($P455,Member_Tab,7,FALSE())),1,0))</f>
        <v>0</v>
      </c>
      <c r="AZ557" s="184" t="n">
        <f aca="false">IF(ISERROR(VLOOKUP($P455,Member_Tab,5,FALSE())),0,VLOOKUP($P455,Member_Tab,5,FALSE())*IF(AND(AZ$5 &gt; VLOOKUP($P455,Member_Tab,6,FALSE()),AZ$5 &lt; VLOOKUP($P455,Member_Tab,7,FALSE())),1,0))</f>
        <v>0</v>
      </c>
      <c r="BA557" s="184" t="n">
        <f aca="false">IF(ISERROR(VLOOKUP($P455,Member_Tab,5,FALSE())),0,VLOOKUP($P455,Member_Tab,5,FALSE())*IF(AND(BA$5 &gt; VLOOKUP($P455,Member_Tab,6,FALSE()),BA$5 &lt; VLOOKUP($P455,Member_Tab,7,FALSE())),1,0))</f>
        <v>0</v>
      </c>
      <c r="BB557" s="184" t="n">
        <f aca="false">IF(ISERROR(VLOOKUP($P455,Member_Tab,5,FALSE())),0,VLOOKUP($P455,Member_Tab,5,FALSE())*IF(AND(BB$5 &gt; VLOOKUP($P455,Member_Tab,6,FALSE()),BB$5 &lt; VLOOKUP($P455,Member_Tab,7,FALSE())),1,0))</f>
        <v>0</v>
      </c>
    </row>
    <row r="558" s="173" customFormat="true" ht="15.75" hidden="true" customHeight="false" outlineLevel="1" collapsed="false">
      <c r="E558" s="40"/>
      <c r="K558" s="40"/>
      <c r="L558" s="40"/>
      <c r="M558" s="40"/>
      <c r="N558" s="40"/>
      <c r="P558" s="183" t="n">
        <f aca="false">P456</f>
        <v>0</v>
      </c>
      <c r="Q558" s="40"/>
      <c r="R558" s="182"/>
      <c r="S558" s="184" t="n">
        <f aca="false">IF(ISERROR(VLOOKUP($P456,Member_Tab,5,FALSE())),0,VLOOKUP($P456,Member_Tab,5,FALSE())*IF(AND(S$5 &gt; VLOOKUP($P456,Member_Tab,6,FALSE()),S$5 &lt; VLOOKUP($P456,Member_Tab,7,FALSE())),1,0))</f>
        <v>0</v>
      </c>
      <c r="T558" s="184" t="n">
        <f aca="false">IF(ISERROR(VLOOKUP($P456,Member_Tab,5,FALSE())),0,VLOOKUP($P456,Member_Tab,5,FALSE())*IF(AND(T$5 &gt; VLOOKUP($P456,Member_Tab,6,FALSE()),T$5 &lt; VLOOKUP($P456,Member_Tab,7,FALSE())),1,0))</f>
        <v>0</v>
      </c>
      <c r="U558" s="184" t="n">
        <f aca="false">IF(ISERROR(VLOOKUP($P456,Member_Tab,5,FALSE())),0,VLOOKUP($P456,Member_Tab,5,FALSE())*IF(AND(U$5 &gt; VLOOKUP($P456,Member_Tab,6,FALSE()),U$5 &lt; VLOOKUP($P456,Member_Tab,7,FALSE())),1,0))</f>
        <v>0</v>
      </c>
      <c r="V558" s="184" t="n">
        <f aca="false">IF(ISERROR(VLOOKUP($P456,Member_Tab,5,FALSE())),0,VLOOKUP($P456,Member_Tab,5,FALSE())*IF(AND(V$5 &gt; VLOOKUP($P456,Member_Tab,6,FALSE()),V$5 &lt; VLOOKUP($P456,Member_Tab,7,FALSE())),1,0))</f>
        <v>0</v>
      </c>
      <c r="W558" s="184" t="n">
        <f aca="false">IF(ISERROR(VLOOKUP($P456,Member_Tab,5,FALSE())),0,VLOOKUP($P456,Member_Tab,5,FALSE())*IF(AND(W$5 &gt; VLOOKUP($P456,Member_Tab,6,FALSE()),W$5 &lt; VLOOKUP($P456,Member_Tab,7,FALSE())),1,0))</f>
        <v>0</v>
      </c>
      <c r="X558" s="184" t="n">
        <f aca="false">IF(ISERROR(VLOOKUP($P456,Member_Tab,5,FALSE())),0,VLOOKUP($P456,Member_Tab,5,FALSE())*IF(AND(X$5 &gt; VLOOKUP($P456,Member_Tab,6,FALSE()),X$5 &lt; VLOOKUP($P456,Member_Tab,7,FALSE())),1,0))</f>
        <v>0</v>
      </c>
      <c r="Y558" s="184" t="n">
        <f aca="false">IF(ISERROR(VLOOKUP($P456,Member_Tab,5,FALSE())),0,VLOOKUP($P456,Member_Tab,5,FALSE())*IF(AND(Y$5 &gt; VLOOKUP($P456,Member_Tab,6,FALSE()),Y$5 &lt; VLOOKUP($P456,Member_Tab,7,FALSE())),1,0))</f>
        <v>0</v>
      </c>
      <c r="Z558" s="184" t="n">
        <f aca="false">IF(ISERROR(VLOOKUP($P456,Member_Tab,5,FALSE())),0,VLOOKUP($P456,Member_Tab,5,FALSE())*IF(AND(Z$5 &gt; VLOOKUP($P456,Member_Tab,6,FALSE()),Z$5 &lt; VLOOKUP($P456,Member_Tab,7,FALSE())),1,0))</f>
        <v>0</v>
      </c>
      <c r="AA558" s="184" t="n">
        <f aca="false">IF(ISERROR(VLOOKUP($P456,Member_Tab,5,FALSE())),0,VLOOKUP($P456,Member_Tab,5,FALSE())*IF(AND(AA$5 &gt; VLOOKUP($P456,Member_Tab,6,FALSE()),AA$5 &lt; VLOOKUP($P456,Member_Tab,7,FALSE())),1,0))</f>
        <v>0</v>
      </c>
      <c r="AB558" s="184" t="n">
        <f aca="false">IF(ISERROR(VLOOKUP($P456,Member_Tab,5,FALSE())),0,VLOOKUP($P456,Member_Tab,5,FALSE())*IF(AND(AB$5 &gt; VLOOKUP($P456,Member_Tab,6,FALSE()),AB$5 &lt; VLOOKUP($P456,Member_Tab,7,FALSE())),1,0))</f>
        <v>0</v>
      </c>
      <c r="AC558" s="184" t="n">
        <f aca="false">IF(ISERROR(VLOOKUP($P456,Member_Tab,5,FALSE())),0,VLOOKUP($P456,Member_Tab,5,FALSE())*IF(AND(AC$5 &gt; VLOOKUP($P456,Member_Tab,6,FALSE()),AC$5 &lt; VLOOKUP($P456,Member_Tab,7,FALSE())),1,0))</f>
        <v>0</v>
      </c>
      <c r="AD558" s="184" t="n">
        <f aca="false">IF(ISERROR(VLOOKUP($P456,Member_Tab,5,FALSE())),0,VLOOKUP($P456,Member_Tab,5,FALSE())*IF(AND(AD$5 &gt; VLOOKUP($P456,Member_Tab,6,FALSE()),AD$5 &lt; VLOOKUP($P456,Member_Tab,7,FALSE())),1,0))</f>
        <v>0</v>
      </c>
      <c r="AE558" s="184" t="n">
        <f aca="false">IF(ISERROR(VLOOKUP($P456,Member_Tab,5,FALSE())),0,VLOOKUP($P456,Member_Tab,5,FALSE())*IF(AND(AE$5 &gt; VLOOKUP($P456,Member_Tab,6,FALSE()),AE$5 &lt; VLOOKUP($P456,Member_Tab,7,FALSE())),1,0))</f>
        <v>0</v>
      </c>
      <c r="AF558" s="184" t="n">
        <f aca="false">IF(ISERROR(VLOOKUP($P456,Member_Tab,5,FALSE())),0,VLOOKUP($P456,Member_Tab,5,FALSE())*IF(AND(AF$5 &gt; VLOOKUP($P456,Member_Tab,6,FALSE()),AF$5 &lt; VLOOKUP($P456,Member_Tab,7,FALSE())),1,0))</f>
        <v>0</v>
      </c>
      <c r="AG558" s="184" t="n">
        <f aca="false">IF(ISERROR(VLOOKUP($P456,Member_Tab,5,FALSE())),0,VLOOKUP($P456,Member_Tab,5,FALSE())*IF(AND(AG$5 &gt; VLOOKUP($P456,Member_Tab,6,FALSE()),AG$5 &lt; VLOOKUP($P456,Member_Tab,7,FALSE())),1,0))</f>
        <v>0</v>
      </c>
      <c r="AH558" s="184" t="n">
        <f aca="false">IF(ISERROR(VLOOKUP($P456,Member_Tab,5,FALSE())),0,VLOOKUP($P456,Member_Tab,5,FALSE())*IF(AND(AH$5 &gt; VLOOKUP($P456,Member_Tab,6,FALSE()),AH$5 &lt; VLOOKUP($P456,Member_Tab,7,FALSE())),1,0))</f>
        <v>0</v>
      </c>
      <c r="AI558" s="184" t="n">
        <f aca="false">IF(ISERROR(VLOOKUP($P456,Member_Tab,5,FALSE())),0,VLOOKUP($P456,Member_Tab,5,FALSE())*IF(AND(AI$5 &gt; VLOOKUP($P456,Member_Tab,6,FALSE()),AI$5 &lt; VLOOKUP($P456,Member_Tab,7,FALSE())),1,0))</f>
        <v>0</v>
      </c>
      <c r="AJ558" s="184" t="n">
        <f aca="false">IF(ISERROR(VLOOKUP($P456,Member_Tab,5,FALSE())),0,VLOOKUP($P456,Member_Tab,5,FALSE())*IF(AND(AJ$5 &gt; VLOOKUP($P456,Member_Tab,6,FALSE()),AJ$5 &lt; VLOOKUP($P456,Member_Tab,7,FALSE())),1,0))</f>
        <v>0</v>
      </c>
      <c r="AK558" s="184" t="n">
        <f aca="false">IF(ISERROR(VLOOKUP($P456,Member_Tab,5,FALSE())),0,VLOOKUP($P456,Member_Tab,5,FALSE())*IF(AND(AK$5 &gt; VLOOKUP($P456,Member_Tab,6,FALSE()),AK$5 &lt; VLOOKUP($P456,Member_Tab,7,FALSE())),1,0))</f>
        <v>0</v>
      </c>
      <c r="AL558" s="184" t="n">
        <f aca="false">IF(ISERROR(VLOOKUP($P456,Member_Tab,5,FALSE())),0,VLOOKUP($P456,Member_Tab,5,FALSE())*IF(AND(AL$5 &gt; VLOOKUP($P456,Member_Tab,6,FALSE()),AL$5 &lt; VLOOKUP($P456,Member_Tab,7,FALSE())),1,0))</f>
        <v>0</v>
      </c>
      <c r="AM558" s="184" t="n">
        <f aca="false">IF(ISERROR(VLOOKUP($P456,Member_Tab,5,FALSE())),0,VLOOKUP($P456,Member_Tab,5,FALSE())*IF(AND(AM$5 &gt; VLOOKUP($P456,Member_Tab,6,FALSE()),AM$5 &lt; VLOOKUP($P456,Member_Tab,7,FALSE())),1,0))</f>
        <v>0</v>
      </c>
      <c r="AN558" s="184" t="n">
        <f aca="false">IF(ISERROR(VLOOKUP($P456,Member_Tab,5,FALSE())),0,VLOOKUP($P456,Member_Tab,5,FALSE())*IF(AND(AN$5 &gt; VLOOKUP($P456,Member_Tab,6,FALSE()),AN$5 &lt; VLOOKUP($P456,Member_Tab,7,FALSE())),1,0))</f>
        <v>0</v>
      </c>
      <c r="AO558" s="184" t="n">
        <f aca="false">IF(ISERROR(VLOOKUP($P456,Member_Tab,5,FALSE())),0,VLOOKUP($P456,Member_Tab,5,FALSE())*IF(AND(AO$5 &gt; VLOOKUP($P456,Member_Tab,6,FALSE()),AO$5 &lt; VLOOKUP($P456,Member_Tab,7,FALSE())),1,0))</f>
        <v>0</v>
      </c>
      <c r="AP558" s="184" t="n">
        <f aca="false">IF(ISERROR(VLOOKUP($P456,Member_Tab,5,FALSE())),0,VLOOKUP($P456,Member_Tab,5,FALSE())*IF(AND(AP$5 &gt; VLOOKUP($P456,Member_Tab,6,FALSE()),AP$5 &lt; VLOOKUP($P456,Member_Tab,7,FALSE())),1,0))</f>
        <v>0</v>
      </c>
      <c r="AQ558" s="184" t="n">
        <f aca="false">IF(ISERROR(VLOOKUP($P456,Member_Tab,5,FALSE())),0,VLOOKUP($P456,Member_Tab,5,FALSE())*IF(AND(AQ$5 &gt; VLOOKUP($P456,Member_Tab,6,FALSE()),AQ$5 &lt; VLOOKUP($P456,Member_Tab,7,FALSE())),1,0))</f>
        <v>0</v>
      </c>
      <c r="AR558" s="184" t="n">
        <f aca="false">IF(ISERROR(VLOOKUP($P456,Member_Tab,5,FALSE())),0,VLOOKUP($P456,Member_Tab,5,FALSE())*IF(AND(AR$5 &gt; VLOOKUP($P456,Member_Tab,6,FALSE()),AR$5 &lt; VLOOKUP($P456,Member_Tab,7,FALSE())),1,0))</f>
        <v>0</v>
      </c>
      <c r="AS558" s="184" t="n">
        <f aca="false">IF(ISERROR(VLOOKUP($P456,Member_Tab,5,FALSE())),0,VLOOKUP($P456,Member_Tab,5,FALSE())*IF(AND(AS$5 &gt; VLOOKUP($P456,Member_Tab,6,FALSE()),AS$5 &lt; VLOOKUP($P456,Member_Tab,7,FALSE())),1,0))</f>
        <v>0</v>
      </c>
      <c r="AT558" s="184" t="n">
        <f aca="false">IF(ISERROR(VLOOKUP($P456,Member_Tab,5,FALSE())),0,VLOOKUP($P456,Member_Tab,5,FALSE())*IF(AND(AT$5 &gt; VLOOKUP($P456,Member_Tab,6,FALSE()),AT$5 &lt; VLOOKUP($P456,Member_Tab,7,FALSE())),1,0))</f>
        <v>0</v>
      </c>
      <c r="AU558" s="184" t="n">
        <f aca="false">IF(ISERROR(VLOOKUP($P456,Member_Tab,5,FALSE())),0,VLOOKUP($P456,Member_Tab,5,FALSE())*IF(AND(AU$5 &gt; VLOOKUP($P456,Member_Tab,6,FALSE()),AU$5 &lt; VLOOKUP($P456,Member_Tab,7,FALSE())),1,0))</f>
        <v>0</v>
      </c>
      <c r="AV558" s="184" t="n">
        <f aca="false">IF(ISERROR(VLOOKUP($P456,Member_Tab,5,FALSE())),0,VLOOKUP($P456,Member_Tab,5,FALSE())*IF(AND(AV$5 &gt; VLOOKUP($P456,Member_Tab,6,FALSE()),AV$5 &lt; VLOOKUP($P456,Member_Tab,7,FALSE())),1,0))</f>
        <v>0</v>
      </c>
      <c r="AW558" s="184" t="n">
        <f aca="false">IF(ISERROR(VLOOKUP($P456,Member_Tab,5,FALSE())),0,VLOOKUP($P456,Member_Tab,5,FALSE())*IF(AND(AW$5 &gt; VLOOKUP($P456,Member_Tab,6,FALSE()),AW$5 &lt; VLOOKUP($P456,Member_Tab,7,FALSE())),1,0))</f>
        <v>0</v>
      </c>
      <c r="AX558" s="184" t="n">
        <f aca="false">IF(ISERROR(VLOOKUP($P456,Member_Tab,5,FALSE())),0,VLOOKUP($P456,Member_Tab,5,FALSE())*IF(AND(AX$5 &gt; VLOOKUP($P456,Member_Tab,6,FALSE()),AX$5 &lt; VLOOKUP($P456,Member_Tab,7,FALSE())),1,0))</f>
        <v>0</v>
      </c>
      <c r="AY558" s="184" t="n">
        <f aca="false">IF(ISERROR(VLOOKUP($P456,Member_Tab,5,FALSE())),0,VLOOKUP($P456,Member_Tab,5,FALSE())*IF(AND(AY$5 &gt; VLOOKUP($P456,Member_Tab,6,FALSE()),AY$5 &lt; VLOOKUP($P456,Member_Tab,7,FALSE())),1,0))</f>
        <v>0</v>
      </c>
      <c r="AZ558" s="184" t="n">
        <f aca="false">IF(ISERROR(VLOOKUP($P456,Member_Tab,5,FALSE())),0,VLOOKUP($P456,Member_Tab,5,FALSE())*IF(AND(AZ$5 &gt; VLOOKUP($P456,Member_Tab,6,FALSE()),AZ$5 &lt; VLOOKUP($P456,Member_Tab,7,FALSE())),1,0))</f>
        <v>0</v>
      </c>
      <c r="BA558" s="184" t="n">
        <f aca="false">IF(ISERROR(VLOOKUP($P456,Member_Tab,5,FALSE())),0,VLOOKUP($P456,Member_Tab,5,FALSE())*IF(AND(BA$5 &gt; VLOOKUP($P456,Member_Tab,6,FALSE()),BA$5 &lt; VLOOKUP($P456,Member_Tab,7,FALSE())),1,0))</f>
        <v>0</v>
      </c>
      <c r="BB558" s="184" t="n">
        <f aca="false">IF(ISERROR(VLOOKUP($P456,Member_Tab,5,FALSE())),0,VLOOKUP($P456,Member_Tab,5,FALSE())*IF(AND(BB$5 &gt; VLOOKUP($P456,Member_Tab,6,FALSE()),BB$5 &lt; VLOOKUP($P456,Member_Tab,7,FALSE())),1,0))</f>
        <v>0</v>
      </c>
    </row>
    <row r="559" s="173" customFormat="true" ht="15.75" hidden="true" customHeight="false" outlineLevel="1" collapsed="false">
      <c r="E559" s="40"/>
      <c r="K559" s="40"/>
      <c r="L559" s="40"/>
      <c r="M559" s="40"/>
      <c r="N559" s="40"/>
      <c r="P559" s="183" t="n">
        <f aca="false">P457</f>
        <v>0</v>
      </c>
      <c r="Q559" s="40"/>
      <c r="R559" s="182"/>
      <c r="S559" s="184" t="n">
        <f aca="false">IF(ISERROR(VLOOKUP($P457,Member_Tab,5,FALSE())),0,VLOOKUP($P457,Member_Tab,5,FALSE())*IF(AND(S$5 &gt; VLOOKUP($P457,Member_Tab,6,FALSE()),S$5 &lt; VLOOKUP($P457,Member_Tab,7,FALSE())),1,0))</f>
        <v>0</v>
      </c>
      <c r="T559" s="184" t="n">
        <f aca="false">IF(ISERROR(VLOOKUP($P457,Member_Tab,5,FALSE())),0,VLOOKUP($P457,Member_Tab,5,FALSE())*IF(AND(T$5 &gt; VLOOKUP($P457,Member_Tab,6,FALSE()),T$5 &lt; VLOOKUP($P457,Member_Tab,7,FALSE())),1,0))</f>
        <v>0</v>
      </c>
      <c r="U559" s="184" t="n">
        <f aca="false">IF(ISERROR(VLOOKUP($P457,Member_Tab,5,FALSE())),0,VLOOKUP($P457,Member_Tab,5,FALSE())*IF(AND(U$5 &gt; VLOOKUP($P457,Member_Tab,6,FALSE()),U$5 &lt; VLOOKUP($P457,Member_Tab,7,FALSE())),1,0))</f>
        <v>0</v>
      </c>
      <c r="V559" s="184" t="n">
        <f aca="false">IF(ISERROR(VLOOKUP($P457,Member_Tab,5,FALSE())),0,VLOOKUP($P457,Member_Tab,5,FALSE())*IF(AND(V$5 &gt; VLOOKUP($P457,Member_Tab,6,FALSE()),V$5 &lt; VLOOKUP($P457,Member_Tab,7,FALSE())),1,0))</f>
        <v>0</v>
      </c>
      <c r="W559" s="184" t="n">
        <f aca="false">IF(ISERROR(VLOOKUP($P457,Member_Tab,5,FALSE())),0,VLOOKUP($P457,Member_Tab,5,FALSE())*IF(AND(W$5 &gt; VLOOKUP($P457,Member_Tab,6,FALSE()),W$5 &lt; VLOOKUP($P457,Member_Tab,7,FALSE())),1,0))</f>
        <v>0</v>
      </c>
      <c r="X559" s="184" t="n">
        <f aca="false">IF(ISERROR(VLOOKUP($P457,Member_Tab,5,FALSE())),0,VLOOKUP($P457,Member_Tab,5,FALSE())*IF(AND(X$5 &gt; VLOOKUP($P457,Member_Tab,6,FALSE()),X$5 &lt; VLOOKUP($P457,Member_Tab,7,FALSE())),1,0))</f>
        <v>0</v>
      </c>
      <c r="Y559" s="184" t="n">
        <f aca="false">IF(ISERROR(VLOOKUP($P457,Member_Tab,5,FALSE())),0,VLOOKUP($P457,Member_Tab,5,FALSE())*IF(AND(Y$5 &gt; VLOOKUP($P457,Member_Tab,6,FALSE()),Y$5 &lt; VLOOKUP($P457,Member_Tab,7,FALSE())),1,0))</f>
        <v>0</v>
      </c>
      <c r="Z559" s="184" t="n">
        <f aca="false">IF(ISERROR(VLOOKUP($P457,Member_Tab,5,FALSE())),0,VLOOKUP($P457,Member_Tab,5,FALSE())*IF(AND(Z$5 &gt; VLOOKUP($P457,Member_Tab,6,FALSE()),Z$5 &lt; VLOOKUP($P457,Member_Tab,7,FALSE())),1,0))</f>
        <v>0</v>
      </c>
      <c r="AA559" s="184" t="n">
        <f aca="false">IF(ISERROR(VLOOKUP($P457,Member_Tab,5,FALSE())),0,VLOOKUP($P457,Member_Tab,5,FALSE())*IF(AND(AA$5 &gt; VLOOKUP($P457,Member_Tab,6,FALSE()),AA$5 &lt; VLOOKUP($P457,Member_Tab,7,FALSE())),1,0))</f>
        <v>0</v>
      </c>
      <c r="AB559" s="184" t="n">
        <f aca="false">IF(ISERROR(VLOOKUP($P457,Member_Tab,5,FALSE())),0,VLOOKUP($P457,Member_Tab,5,FALSE())*IF(AND(AB$5 &gt; VLOOKUP($P457,Member_Tab,6,FALSE()),AB$5 &lt; VLOOKUP($P457,Member_Tab,7,FALSE())),1,0))</f>
        <v>0</v>
      </c>
      <c r="AC559" s="184" t="n">
        <f aca="false">IF(ISERROR(VLOOKUP($P457,Member_Tab,5,FALSE())),0,VLOOKUP($P457,Member_Tab,5,FALSE())*IF(AND(AC$5 &gt; VLOOKUP($P457,Member_Tab,6,FALSE()),AC$5 &lt; VLOOKUP($P457,Member_Tab,7,FALSE())),1,0))</f>
        <v>0</v>
      </c>
      <c r="AD559" s="184" t="n">
        <f aca="false">IF(ISERROR(VLOOKUP($P457,Member_Tab,5,FALSE())),0,VLOOKUP($P457,Member_Tab,5,FALSE())*IF(AND(AD$5 &gt; VLOOKUP($P457,Member_Tab,6,FALSE()),AD$5 &lt; VLOOKUP($P457,Member_Tab,7,FALSE())),1,0))</f>
        <v>0</v>
      </c>
      <c r="AE559" s="184" t="n">
        <f aca="false">IF(ISERROR(VLOOKUP($P457,Member_Tab,5,FALSE())),0,VLOOKUP($P457,Member_Tab,5,FALSE())*IF(AND(AE$5 &gt; VLOOKUP($P457,Member_Tab,6,FALSE()),AE$5 &lt; VLOOKUP($P457,Member_Tab,7,FALSE())),1,0))</f>
        <v>0</v>
      </c>
      <c r="AF559" s="184" t="n">
        <f aca="false">IF(ISERROR(VLOOKUP($P457,Member_Tab,5,FALSE())),0,VLOOKUP($P457,Member_Tab,5,FALSE())*IF(AND(AF$5 &gt; VLOOKUP($P457,Member_Tab,6,FALSE()),AF$5 &lt; VLOOKUP($P457,Member_Tab,7,FALSE())),1,0))</f>
        <v>0</v>
      </c>
      <c r="AG559" s="184" t="n">
        <f aca="false">IF(ISERROR(VLOOKUP($P457,Member_Tab,5,FALSE())),0,VLOOKUP($P457,Member_Tab,5,FALSE())*IF(AND(AG$5 &gt; VLOOKUP($P457,Member_Tab,6,FALSE()),AG$5 &lt; VLOOKUP($P457,Member_Tab,7,FALSE())),1,0))</f>
        <v>0</v>
      </c>
      <c r="AH559" s="184" t="n">
        <f aca="false">IF(ISERROR(VLOOKUP($P457,Member_Tab,5,FALSE())),0,VLOOKUP($P457,Member_Tab,5,FALSE())*IF(AND(AH$5 &gt; VLOOKUP($P457,Member_Tab,6,FALSE()),AH$5 &lt; VLOOKUP($P457,Member_Tab,7,FALSE())),1,0))</f>
        <v>0</v>
      </c>
      <c r="AI559" s="184" t="n">
        <f aca="false">IF(ISERROR(VLOOKUP($P457,Member_Tab,5,FALSE())),0,VLOOKUP($P457,Member_Tab,5,FALSE())*IF(AND(AI$5 &gt; VLOOKUP($P457,Member_Tab,6,FALSE()),AI$5 &lt; VLOOKUP($P457,Member_Tab,7,FALSE())),1,0))</f>
        <v>0</v>
      </c>
      <c r="AJ559" s="184" t="n">
        <f aca="false">IF(ISERROR(VLOOKUP($P457,Member_Tab,5,FALSE())),0,VLOOKUP($P457,Member_Tab,5,FALSE())*IF(AND(AJ$5 &gt; VLOOKUP($P457,Member_Tab,6,FALSE()),AJ$5 &lt; VLOOKUP($P457,Member_Tab,7,FALSE())),1,0))</f>
        <v>0</v>
      </c>
      <c r="AK559" s="184" t="n">
        <f aca="false">IF(ISERROR(VLOOKUP($P457,Member_Tab,5,FALSE())),0,VLOOKUP($P457,Member_Tab,5,FALSE())*IF(AND(AK$5 &gt; VLOOKUP($P457,Member_Tab,6,FALSE()),AK$5 &lt; VLOOKUP($P457,Member_Tab,7,FALSE())),1,0))</f>
        <v>0</v>
      </c>
      <c r="AL559" s="184" t="n">
        <f aca="false">IF(ISERROR(VLOOKUP($P457,Member_Tab,5,FALSE())),0,VLOOKUP($P457,Member_Tab,5,FALSE())*IF(AND(AL$5 &gt; VLOOKUP($P457,Member_Tab,6,FALSE()),AL$5 &lt; VLOOKUP($P457,Member_Tab,7,FALSE())),1,0))</f>
        <v>0</v>
      </c>
      <c r="AM559" s="184" t="n">
        <f aca="false">IF(ISERROR(VLOOKUP($P457,Member_Tab,5,FALSE())),0,VLOOKUP($P457,Member_Tab,5,FALSE())*IF(AND(AM$5 &gt; VLOOKUP($P457,Member_Tab,6,FALSE()),AM$5 &lt; VLOOKUP($P457,Member_Tab,7,FALSE())),1,0))</f>
        <v>0</v>
      </c>
      <c r="AN559" s="184" t="n">
        <f aca="false">IF(ISERROR(VLOOKUP($P457,Member_Tab,5,FALSE())),0,VLOOKUP($P457,Member_Tab,5,FALSE())*IF(AND(AN$5 &gt; VLOOKUP($P457,Member_Tab,6,FALSE()),AN$5 &lt; VLOOKUP($P457,Member_Tab,7,FALSE())),1,0))</f>
        <v>0</v>
      </c>
      <c r="AO559" s="184" t="n">
        <f aca="false">IF(ISERROR(VLOOKUP($P457,Member_Tab,5,FALSE())),0,VLOOKUP($P457,Member_Tab,5,FALSE())*IF(AND(AO$5 &gt; VLOOKUP($P457,Member_Tab,6,FALSE()),AO$5 &lt; VLOOKUP($P457,Member_Tab,7,FALSE())),1,0))</f>
        <v>0</v>
      </c>
      <c r="AP559" s="184" t="n">
        <f aca="false">IF(ISERROR(VLOOKUP($P457,Member_Tab,5,FALSE())),0,VLOOKUP($P457,Member_Tab,5,FALSE())*IF(AND(AP$5 &gt; VLOOKUP($P457,Member_Tab,6,FALSE()),AP$5 &lt; VLOOKUP($P457,Member_Tab,7,FALSE())),1,0))</f>
        <v>0</v>
      </c>
      <c r="AQ559" s="184" t="n">
        <f aca="false">IF(ISERROR(VLOOKUP($P457,Member_Tab,5,FALSE())),0,VLOOKUP($P457,Member_Tab,5,FALSE())*IF(AND(AQ$5 &gt; VLOOKUP($P457,Member_Tab,6,FALSE()),AQ$5 &lt; VLOOKUP($P457,Member_Tab,7,FALSE())),1,0))</f>
        <v>0</v>
      </c>
      <c r="AR559" s="184" t="n">
        <f aca="false">IF(ISERROR(VLOOKUP($P457,Member_Tab,5,FALSE())),0,VLOOKUP($P457,Member_Tab,5,FALSE())*IF(AND(AR$5 &gt; VLOOKUP($P457,Member_Tab,6,FALSE()),AR$5 &lt; VLOOKUP($P457,Member_Tab,7,FALSE())),1,0))</f>
        <v>0</v>
      </c>
      <c r="AS559" s="184" t="n">
        <f aca="false">IF(ISERROR(VLOOKUP($P457,Member_Tab,5,FALSE())),0,VLOOKUP($P457,Member_Tab,5,FALSE())*IF(AND(AS$5 &gt; VLOOKUP($P457,Member_Tab,6,FALSE()),AS$5 &lt; VLOOKUP($P457,Member_Tab,7,FALSE())),1,0))</f>
        <v>0</v>
      </c>
      <c r="AT559" s="184" t="n">
        <f aca="false">IF(ISERROR(VLOOKUP($P457,Member_Tab,5,FALSE())),0,VLOOKUP($P457,Member_Tab,5,FALSE())*IF(AND(AT$5 &gt; VLOOKUP($P457,Member_Tab,6,FALSE()),AT$5 &lt; VLOOKUP($P457,Member_Tab,7,FALSE())),1,0))</f>
        <v>0</v>
      </c>
      <c r="AU559" s="184" t="n">
        <f aca="false">IF(ISERROR(VLOOKUP($P457,Member_Tab,5,FALSE())),0,VLOOKUP($P457,Member_Tab,5,FALSE())*IF(AND(AU$5 &gt; VLOOKUP($P457,Member_Tab,6,FALSE()),AU$5 &lt; VLOOKUP($P457,Member_Tab,7,FALSE())),1,0))</f>
        <v>0</v>
      </c>
      <c r="AV559" s="184" t="n">
        <f aca="false">IF(ISERROR(VLOOKUP($P457,Member_Tab,5,FALSE())),0,VLOOKUP($P457,Member_Tab,5,FALSE())*IF(AND(AV$5 &gt; VLOOKUP($P457,Member_Tab,6,FALSE()),AV$5 &lt; VLOOKUP($P457,Member_Tab,7,FALSE())),1,0))</f>
        <v>0</v>
      </c>
      <c r="AW559" s="184" t="n">
        <f aca="false">IF(ISERROR(VLOOKUP($P457,Member_Tab,5,FALSE())),0,VLOOKUP($P457,Member_Tab,5,FALSE())*IF(AND(AW$5 &gt; VLOOKUP($P457,Member_Tab,6,FALSE()),AW$5 &lt; VLOOKUP($P457,Member_Tab,7,FALSE())),1,0))</f>
        <v>0</v>
      </c>
      <c r="AX559" s="184" t="n">
        <f aca="false">IF(ISERROR(VLOOKUP($P457,Member_Tab,5,FALSE())),0,VLOOKUP($P457,Member_Tab,5,FALSE())*IF(AND(AX$5 &gt; VLOOKUP($P457,Member_Tab,6,FALSE()),AX$5 &lt; VLOOKUP($P457,Member_Tab,7,FALSE())),1,0))</f>
        <v>0</v>
      </c>
      <c r="AY559" s="184" t="n">
        <f aca="false">IF(ISERROR(VLOOKUP($P457,Member_Tab,5,FALSE())),0,VLOOKUP($P457,Member_Tab,5,FALSE())*IF(AND(AY$5 &gt; VLOOKUP($P457,Member_Tab,6,FALSE()),AY$5 &lt; VLOOKUP($P457,Member_Tab,7,FALSE())),1,0))</f>
        <v>0</v>
      </c>
      <c r="AZ559" s="184" t="n">
        <f aca="false">IF(ISERROR(VLOOKUP($P457,Member_Tab,5,FALSE())),0,VLOOKUP($P457,Member_Tab,5,FALSE())*IF(AND(AZ$5 &gt; VLOOKUP($P457,Member_Tab,6,FALSE()),AZ$5 &lt; VLOOKUP($P457,Member_Tab,7,FALSE())),1,0))</f>
        <v>0</v>
      </c>
      <c r="BA559" s="184" t="n">
        <f aca="false">IF(ISERROR(VLOOKUP($P457,Member_Tab,5,FALSE())),0,VLOOKUP($P457,Member_Tab,5,FALSE())*IF(AND(BA$5 &gt; VLOOKUP($P457,Member_Tab,6,FALSE()),BA$5 &lt; VLOOKUP($P457,Member_Tab,7,FALSE())),1,0))</f>
        <v>0</v>
      </c>
      <c r="BB559" s="184" t="n">
        <f aca="false">IF(ISERROR(VLOOKUP($P457,Member_Tab,5,FALSE())),0,VLOOKUP($P457,Member_Tab,5,FALSE())*IF(AND(BB$5 &gt; VLOOKUP($P457,Member_Tab,6,FALSE()),BB$5 &lt; VLOOKUP($P457,Member_Tab,7,FALSE())),1,0))</f>
        <v>0</v>
      </c>
    </row>
    <row r="560" s="173" customFormat="true" ht="15.75" hidden="true" customHeight="false" outlineLevel="1" collapsed="false">
      <c r="E560" s="40"/>
      <c r="K560" s="40"/>
      <c r="L560" s="40"/>
      <c r="M560" s="40"/>
      <c r="N560" s="40"/>
      <c r="P560" s="183" t="n">
        <f aca="false">P458</f>
        <v>0</v>
      </c>
      <c r="Q560" s="40"/>
      <c r="R560" s="182"/>
      <c r="S560" s="184" t="n">
        <f aca="false">IF(ISERROR(VLOOKUP($P458,Member_Tab,5,FALSE())),0,VLOOKUP($P458,Member_Tab,5,FALSE())*IF(AND(S$5 &gt; VLOOKUP($P458,Member_Tab,6,FALSE()),S$5 &lt; VLOOKUP($P458,Member_Tab,7,FALSE())),1,0))</f>
        <v>0</v>
      </c>
      <c r="T560" s="184" t="n">
        <f aca="false">IF(ISERROR(VLOOKUP($P458,Member_Tab,5,FALSE())),0,VLOOKUP($P458,Member_Tab,5,FALSE())*IF(AND(T$5 &gt; VLOOKUP($P458,Member_Tab,6,FALSE()),T$5 &lt; VLOOKUP($P458,Member_Tab,7,FALSE())),1,0))</f>
        <v>0</v>
      </c>
      <c r="U560" s="184" t="n">
        <f aca="false">IF(ISERROR(VLOOKUP($P458,Member_Tab,5,FALSE())),0,VLOOKUP($P458,Member_Tab,5,FALSE())*IF(AND(U$5 &gt; VLOOKUP($P458,Member_Tab,6,FALSE()),U$5 &lt; VLOOKUP($P458,Member_Tab,7,FALSE())),1,0))</f>
        <v>0</v>
      </c>
      <c r="V560" s="184" t="n">
        <f aca="false">IF(ISERROR(VLOOKUP($P458,Member_Tab,5,FALSE())),0,VLOOKUP($P458,Member_Tab,5,FALSE())*IF(AND(V$5 &gt; VLOOKUP($P458,Member_Tab,6,FALSE()),V$5 &lt; VLOOKUP($P458,Member_Tab,7,FALSE())),1,0))</f>
        <v>0</v>
      </c>
      <c r="W560" s="184" t="n">
        <f aca="false">IF(ISERROR(VLOOKUP($P458,Member_Tab,5,FALSE())),0,VLOOKUP($P458,Member_Tab,5,FALSE())*IF(AND(W$5 &gt; VLOOKUP($P458,Member_Tab,6,FALSE()),W$5 &lt; VLOOKUP($P458,Member_Tab,7,FALSE())),1,0))</f>
        <v>0</v>
      </c>
      <c r="X560" s="184" t="n">
        <f aca="false">IF(ISERROR(VLOOKUP($P458,Member_Tab,5,FALSE())),0,VLOOKUP($P458,Member_Tab,5,FALSE())*IF(AND(X$5 &gt; VLOOKUP($P458,Member_Tab,6,FALSE()),X$5 &lt; VLOOKUP($P458,Member_Tab,7,FALSE())),1,0))</f>
        <v>0</v>
      </c>
      <c r="Y560" s="184" t="n">
        <f aca="false">IF(ISERROR(VLOOKUP($P458,Member_Tab,5,FALSE())),0,VLOOKUP($P458,Member_Tab,5,FALSE())*IF(AND(Y$5 &gt; VLOOKUP($P458,Member_Tab,6,FALSE()),Y$5 &lt; VLOOKUP($P458,Member_Tab,7,FALSE())),1,0))</f>
        <v>0</v>
      </c>
      <c r="Z560" s="184" t="n">
        <f aca="false">IF(ISERROR(VLOOKUP($P458,Member_Tab,5,FALSE())),0,VLOOKUP($P458,Member_Tab,5,FALSE())*IF(AND(Z$5 &gt; VLOOKUP($P458,Member_Tab,6,FALSE()),Z$5 &lt; VLOOKUP($P458,Member_Tab,7,FALSE())),1,0))</f>
        <v>0</v>
      </c>
      <c r="AA560" s="184" t="n">
        <f aca="false">IF(ISERROR(VLOOKUP($P458,Member_Tab,5,FALSE())),0,VLOOKUP($P458,Member_Tab,5,FALSE())*IF(AND(AA$5 &gt; VLOOKUP($P458,Member_Tab,6,FALSE()),AA$5 &lt; VLOOKUP($P458,Member_Tab,7,FALSE())),1,0))</f>
        <v>0</v>
      </c>
      <c r="AB560" s="184" t="n">
        <f aca="false">IF(ISERROR(VLOOKUP($P458,Member_Tab,5,FALSE())),0,VLOOKUP($P458,Member_Tab,5,FALSE())*IF(AND(AB$5 &gt; VLOOKUP($P458,Member_Tab,6,FALSE()),AB$5 &lt; VLOOKUP($P458,Member_Tab,7,FALSE())),1,0))</f>
        <v>0</v>
      </c>
      <c r="AC560" s="184" t="n">
        <f aca="false">IF(ISERROR(VLOOKUP($P458,Member_Tab,5,FALSE())),0,VLOOKUP($P458,Member_Tab,5,FALSE())*IF(AND(AC$5 &gt; VLOOKUP($P458,Member_Tab,6,FALSE()),AC$5 &lt; VLOOKUP($P458,Member_Tab,7,FALSE())),1,0))</f>
        <v>0</v>
      </c>
      <c r="AD560" s="184" t="n">
        <f aca="false">IF(ISERROR(VLOOKUP($P458,Member_Tab,5,FALSE())),0,VLOOKUP($P458,Member_Tab,5,FALSE())*IF(AND(AD$5 &gt; VLOOKUP($P458,Member_Tab,6,FALSE()),AD$5 &lt; VLOOKUP($P458,Member_Tab,7,FALSE())),1,0))</f>
        <v>0</v>
      </c>
      <c r="AE560" s="184" t="n">
        <f aca="false">IF(ISERROR(VLOOKUP($P458,Member_Tab,5,FALSE())),0,VLOOKUP($P458,Member_Tab,5,FALSE())*IF(AND(AE$5 &gt; VLOOKUP($P458,Member_Tab,6,FALSE()),AE$5 &lt; VLOOKUP($P458,Member_Tab,7,FALSE())),1,0))</f>
        <v>0</v>
      </c>
      <c r="AF560" s="184" t="n">
        <f aca="false">IF(ISERROR(VLOOKUP($P458,Member_Tab,5,FALSE())),0,VLOOKUP($P458,Member_Tab,5,FALSE())*IF(AND(AF$5 &gt; VLOOKUP($P458,Member_Tab,6,FALSE()),AF$5 &lt; VLOOKUP($P458,Member_Tab,7,FALSE())),1,0))</f>
        <v>0</v>
      </c>
      <c r="AG560" s="184" t="n">
        <f aca="false">IF(ISERROR(VLOOKUP($P458,Member_Tab,5,FALSE())),0,VLOOKUP($P458,Member_Tab,5,FALSE())*IF(AND(AG$5 &gt; VLOOKUP($P458,Member_Tab,6,FALSE()),AG$5 &lt; VLOOKUP($P458,Member_Tab,7,FALSE())),1,0))</f>
        <v>0</v>
      </c>
      <c r="AH560" s="184" t="n">
        <f aca="false">IF(ISERROR(VLOOKUP($P458,Member_Tab,5,FALSE())),0,VLOOKUP($P458,Member_Tab,5,FALSE())*IF(AND(AH$5 &gt; VLOOKUP($P458,Member_Tab,6,FALSE()),AH$5 &lt; VLOOKUP($P458,Member_Tab,7,FALSE())),1,0))</f>
        <v>0</v>
      </c>
      <c r="AI560" s="184" t="n">
        <f aca="false">IF(ISERROR(VLOOKUP($P458,Member_Tab,5,FALSE())),0,VLOOKUP($P458,Member_Tab,5,FALSE())*IF(AND(AI$5 &gt; VLOOKUP($P458,Member_Tab,6,FALSE()),AI$5 &lt; VLOOKUP($P458,Member_Tab,7,FALSE())),1,0))</f>
        <v>0</v>
      </c>
      <c r="AJ560" s="184" t="n">
        <f aca="false">IF(ISERROR(VLOOKUP($P458,Member_Tab,5,FALSE())),0,VLOOKUP($P458,Member_Tab,5,FALSE())*IF(AND(AJ$5 &gt; VLOOKUP($P458,Member_Tab,6,FALSE()),AJ$5 &lt; VLOOKUP($P458,Member_Tab,7,FALSE())),1,0))</f>
        <v>0</v>
      </c>
      <c r="AK560" s="184" t="n">
        <f aca="false">IF(ISERROR(VLOOKUP($P458,Member_Tab,5,FALSE())),0,VLOOKUP($P458,Member_Tab,5,FALSE())*IF(AND(AK$5 &gt; VLOOKUP($P458,Member_Tab,6,FALSE()),AK$5 &lt; VLOOKUP($P458,Member_Tab,7,FALSE())),1,0))</f>
        <v>0</v>
      </c>
      <c r="AL560" s="184" t="n">
        <f aca="false">IF(ISERROR(VLOOKUP($P458,Member_Tab,5,FALSE())),0,VLOOKUP($P458,Member_Tab,5,FALSE())*IF(AND(AL$5 &gt; VLOOKUP($P458,Member_Tab,6,FALSE()),AL$5 &lt; VLOOKUP($P458,Member_Tab,7,FALSE())),1,0))</f>
        <v>0</v>
      </c>
      <c r="AM560" s="184" t="n">
        <f aca="false">IF(ISERROR(VLOOKUP($P458,Member_Tab,5,FALSE())),0,VLOOKUP($P458,Member_Tab,5,FALSE())*IF(AND(AM$5 &gt; VLOOKUP($P458,Member_Tab,6,FALSE()),AM$5 &lt; VLOOKUP($P458,Member_Tab,7,FALSE())),1,0))</f>
        <v>0</v>
      </c>
      <c r="AN560" s="184" t="n">
        <f aca="false">IF(ISERROR(VLOOKUP($P458,Member_Tab,5,FALSE())),0,VLOOKUP($P458,Member_Tab,5,FALSE())*IF(AND(AN$5 &gt; VLOOKUP($P458,Member_Tab,6,FALSE()),AN$5 &lt; VLOOKUP($P458,Member_Tab,7,FALSE())),1,0))</f>
        <v>0</v>
      </c>
      <c r="AO560" s="184" t="n">
        <f aca="false">IF(ISERROR(VLOOKUP($P458,Member_Tab,5,FALSE())),0,VLOOKUP($P458,Member_Tab,5,FALSE())*IF(AND(AO$5 &gt; VLOOKUP($P458,Member_Tab,6,FALSE()),AO$5 &lt; VLOOKUP($P458,Member_Tab,7,FALSE())),1,0))</f>
        <v>0</v>
      </c>
      <c r="AP560" s="184" t="n">
        <f aca="false">IF(ISERROR(VLOOKUP($P458,Member_Tab,5,FALSE())),0,VLOOKUP($P458,Member_Tab,5,FALSE())*IF(AND(AP$5 &gt; VLOOKUP($P458,Member_Tab,6,FALSE()),AP$5 &lt; VLOOKUP($P458,Member_Tab,7,FALSE())),1,0))</f>
        <v>0</v>
      </c>
      <c r="AQ560" s="184" t="n">
        <f aca="false">IF(ISERROR(VLOOKUP($P458,Member_Tab,5,FALSE())),0,VLOOKUP($P458,Member_Tab,5,FALSE())*IF(AND(AQ$5 &gt; VLOOKUP($P458,Member_Tab,6,FALSE()),AQ$5 &lt; VLOOKUP($P458,Member_Tab,7,FALSE())),1,0))</f>
        <v>0</v>
      </c>
      <c r="AR560" s="184" t="n">
        <f aca="false">IF(ISERROR(VLOOKUP($P458,Member_Tab,5,FALSE())),0,VLOOKUP($P458,Member_Tab,5,FALSE())*IF(AND(AR$5 &gt; VLOOKUP($P458,Member_Tab,6,FALSE()),AR$5 &lt; VLOOKUP($P458,Member_Tab,7,FALSE())),1,0))</f>
        <v>0</v>
      </c>
      <c r="AS560" s="184" t="n">
        <f aca="false">IF(ISERROR(VLOOKUP($P458,Member_Tab,5,FALSE())),0,VLOOKUP($P458,Member_Tab,5,FALSE())*IF(AND(AS$5 &gt; VLOOKUP($P458,Member_Tab,6,FALSE()),AS$5 &lt; VLOOKUP($P458,Member_Tab,7,FALSE())),1,0))</f>
        <v>0</v>
      </c>
      <c r="AT560" s="184" t="n">
        <f aca="false">IF(ISERROR(VLOOKUP($P458,Member_Tab,5,FALSE())),0,VLOOKUP($P458,Member_Tab,5,FALSE())*IF(AND(AT$5 &gt; VLOOKUP($P458,Member_Tab,6,FALSE()),AT$5 &lt; VLOOKUP($P458,Member_Tab,7,FALSE())),1,0))</f>
        <v>0</v>
      </c>
      <c r="AU560" s="184" t="n">
        <f aca="false">IF(ISERROR(VLOOKUP($P458,Member_Tab,5,FALSE())),0,VLOOKUP($P458,Member_Tab,5,FALSE())*IF(AND(AU$5 &gt; VLOOKUP($P458,Member_Tab,6,FALSE()),AU$5 &lt; VLOOKUP($P458,Member_Tab,7,FALSE())),1,0))</f>
        <v>0</v>
      </c>
      <c r="AV560" s="184" t="n">
        <f aca="false">IF(ISERROR(VLOOKUP($P458,Member_Tab,5,FALSE())),0,VLOOKUP($P458,Member_Tab,5,FALSE())*IF(AND(AV$5 &gt; VLOOKUP($P458,Member_Tab,6,FALSE()),AV$5 &lt; VLOOKUP($P458,Member_Tab,7,FALSE())),1,0))</f>
        <v>0</v>
      </c>
      <c r="AW560" s="184" t="n">
        <f aca="false">IF(ISERROR(VLOOKUP($P458,Member_Tab,5,FALSE())),0,VLOOKUP($P458,Member_Tab,5,FALSE())*IF(AND(AW$5 &gt; VLOOKUP($P458,Member_Tab,6,FALSE()),AW$5 &lt; VLOOKUP($P458,Member_Tab,7,FALSE())),1,0))</f>
        <v>0</v>
      </c>
      <c r="AX560" s="184" t="n">
        <f aca="false">IF(ISERROR(VLOOKUP($P458,Member_Tab,5,FALSE())),0,VLOOKUP($P458,Member_Tab,5,FALSE())*IF(AND(AX$5 &gt; VLOOKUP($P458,Member_Tab,6,FALSE()),AX$5 &lt; VLOOKUP($P458,Member_Tab,7,FALSE())),1,0))</f>
        <v>0</v>
      </c>
      <c r="AY560" s="184" t="n">
        <f aca="false">IF(ISERROR(VLOOKUP($P458,Member_Tab,5,FALSE())),0,VLOOKUP($P458,Member_Tab,5,FALSE())*IF(AND(AY$5 &gt; VLOOKUP($P458,Member_Tab,6,FALSE()),AY$5 &lt; VLOOKUP($P458,Member_Tab,7,FALSE())),1,0))</f>
        <v>0</v>
      </c>
      <c r="AZ560" s="184" t="n">
        <f aca="false">IF(ISERROR(VLOOKUP($P458,Member_Tab,5,FALSE())),0,VLOOKUP($P458,Member_Tab,5,FALSE())*IF(AND(AZ$5 &gt; VLOOKUP($P458,Member_Tab,6,FALSE()),AZ$5 &lt; VLOOKUP($P458,Member_Tab,7,FALSE())),1,0))</f>
        <v>0</v>
      </c>
      <c r="BA560" s="184" t="n">
        <f aca="false">IF(ISERROR(VLOOKUP($P458,Member_Tab,5,FALSE())),0,VLOOKUP($P458,Member_Tab,5,FALSE())*IF(AND(BA$5 &gt; VLOOKUP($P458,Member_Tab,6,FALSE()),BA$5 &lt; VLOOKUP($P458,Member_Tab,7,FALSE())),1,0))</f>
        <v>0</v>
      </c>
      <c r="BB560" s="184" t="n">
        <f aca="false">IF(ISERROR(VLOOKUP($P458,Member_Tab,5,FALSE())),0,VLOOKUP($P458,Member_Tab,5,FALSE())*IF(AND(BB$5 &gt; VLOOKUP($P458,Member_Tab,6,FALSE()),BB$5 &lt; VLOOKUP($P458,Member_Tab,7,FALSE())),1,0))</f>
        <v>0</v>
      </c>
    </row>
    <row r="561" s="173" customFormat="true" ht="15.75" hidden="true" customHeight="false" outlineLevel="1" collapsed="false">
      <c r="E561" s="40"/>
      <c r="K561" s="40"/>
      <c r="L561" s="40"/>
      <c r="M561" s="40"/>
      <c r="N561" s="40"/>
      <c r="P561" s="183" t="n">
        <f aca="false">P459</f>
        <v>0</v>
      </c>
      <c r="Q561" s="40"/>
      <c r="R561" s="182"/>
      <c r="S561" s="184" t="n">
        <f aca="false">IF(ISERROR(VLOOKUP($P459,Member_Tab,5,FALSE())),0,VLOOKUP($P459,Member_Tab,5,FALSE())*IF(AND(S$5 &gt; VLOOKUP($P459,Member_Tab,6,FALSE()),S$5 &lt; VLOOKUP($P459,Member_Tab,7,FALSE())),1,0))</f>
        <v>0</v>
      </c>
      <c r="T561" s="184" t="n">
        <f aca="false">IF(ISERROR(VLOOKUP($P459,Member_Tab,5,FALSE())),0,VLOOKUP($P459,Member_Tab,5,FALSE())*IF(AND(T$5 &gt; VLOOKUP($P459,Member_Tab,6,FALSE()),T$5 &lt; VLOOKUP($P459,Member_Tab,7,FALSE())),1,0))</f>
        <v>0</v>
      </c>
      <c r="U561" s="184" t="n">
        <f aca="false">IF(ISERROR(VLOOKUP($P459,Member_Tab,5,FALSE())),0,VLOOKUP($P459,Member_Tab,5,FALSE())*IF(AND(U$5 &gt; VLOOKUP($P459,Member_Tab,6,FALSE()),U$5 &lt; VLOOKUP($P459,Member_Tab,7,FALSE())),1,0))</f>
        <v>0</v>
      </c>
      <c r="V561" s="184" t="n">
        <f aca="false">IF(ISERROR(VLOOKUP($P459,Member_Tab,5,FALSE())),0,VLOOKUP($P459,Member_Tab,5,FALSE())*IF(AND(V$5 &gt; VLOOKUP($P459,Member_Tab,6,FALSE()),V$5 &lt; VLOOKUP($P459,Member_Tab,7,FALSE())),1,0))</f>
        <v>0</v>
      </c>
      <c r="W561" s="184" t="n">
        <f aca="false">IF(ISERROR(VLOOKUP($P459,Member_Tab,5,FALSE())),0,VLOOKUP($P459,Member_Tab,5,FALSE())*IF(AND(W$5 &gt; VLOOKUP($P459,Member_Tab,6,FALSE()),W$5 &lt; VLOOKUP($P459,Member_Tab,7,FALSE())),1,0))</f>
        <v>0</v>
      </c>
      <c r="X561" s="184" t="n">
        <f aca="false">IF(ISERROR(VLOOKUP($P459,Member_Tab,5,FALSE())),0,VLOOKUP($P459,Member_Tab,5,FALSE())*IF(AND(X$5 &gt; VLOOKUP($P459,Member_Tab,6,FALSE()),X$5 &lt; VLOOKUP($P459,Member_Tab,7,FALSE())),1,0))</f>
        <v>0</v>
      </c>
      <c r="Y561" s="184" t="n">
        <f aca="false">IF(ISERROR(VLOOKUP($P459,Member_Tab,5,FALSE())),0,VLOOKUP($P459,Member_Tab,5,FALSE())*IF(AND(Y$5 &gt; VLOOKUP($P459,Member_Tab,6,FALSE()),Y$5 &lt; VLOOKUP($P459,Member_Tab,7,FALSE())),1,0))</f>
        <v>0</v>
      </c>
      <c r="Z561" s="184" t="n">
        <f aca="false">IF(ISERROR(VLOOKUP($P459,Member_Tab,5,FALSE())),0,VLOOKUP($P459,Member_Tab,5,FALSE())*IF(AND(Z$5 &gt; VLOOKUP($P459,Member_Tab,6,FALSE()),Z$5 &lt; VLOOKUP($P459,Member_Tab,7,FALSE())),1,0))</f>
        <v>0</v>
      </c>
      <c r="AA561" s="184" t="n">
        <f aca="false">IF(ISERROR(VLOOKUP($P459,Member_Tab,5,FALSE())),0,VLOOKUP($P459,Member_Tab,5,FALSE())*IF(AND(AA$5 &gt; VLOOKUP($P459,Member_Tab,6,FALSE()),AA$5 &lt; VLOOKUP($P459,Member_Tab,7,FALSE())),1,0))</f>
        <v>0</v>
      </c>
      <c r="AB561" s="184" t="n">
        <f aca="false">IF(ISERROR(VLOOKUP($P459,Member_Tab,5,FALSE())),0,VLOOKUP($P459,Member_Tab,5,FALSE())*IF(AND(AB$5 &gt; VLOOKUP($P459,Member_Tab,6,FALSE()),AB$5 &lt; VLOOKUP($P459,Member_Tab,7,FALSE())),1,0))</f>
        <v>0</v>
      </c>
      <c r="AC561" s="184" t="n">
        <f aca="false">IF(ISERROR(VLOOKUP($P459,Member_Tab,5,FALSE())),0,VLOOKUP($P459,Member_Tab,5,FALSE())*IF(AND(AC$5 &gt; VLOOKUP($P459,Member_Tab,6,FALSE()),AC$5 &lt; VLOOKUP($P459,Member_Tab,7,FALSE())),1,0))</f>
        <v>0</v>
      </c>
      <c r="AD561" s="184" t="n">
        <f aca="false">IF(ISERROR(VLOOKUP($P459,Member_Tab,5,FALSE())),0,VLOOKUP($P459,Member_Tab,5,FALSE())*IF(AND(AD$5 &gt; VLOOKUP($P459,Member_Tab,6,FALSE()),AD$5 &lt; VLOOKUP($P459,Member_Tab,7,FALSE())),1,0))</f>
        <v>0</v>
      </c>
      <c r="AE561" s="184" t="n">
        <f aca="false">IF(ISERROR(VLOOKUP($P459,Member_Tab,5,FALSE())),0,VLOOKUP($P459,Member_Tab,5,FALSE())*IF(AND(AE$5 &gt; VLOOKUP($P459,Member_Tab,6,FALSE()),AE$5 &lt; VLOOKUP($P459,Member_Tab,7,FALSE())),1,0))</f>
        <v>0</v>
      </c>
      <c r="AF561" s="184" t="n">
        <f aca="false">IF(ISERROR(VLOOKUP($P459,Member_Tab,5,FALSE())),0,VLOOKUP($P459,Member_Tab,5,FALSE())*IF(AND(AF$5 &gt; VLOOKUP($P459,Member_Tab,6,FALSE()),AF$5 &lt; VLOOKUP($P459,Member_Tab,7,FALSE())),1,0))</f>
        <v>0</v>
      </c>
      <c r="AG561" s="184" t="n">
        <f aca="false">IF(ISERROR(VLOOKUP($P459,Member_Tab,5,FALSE())),0,VLOOKUP($P459,Member_Tab,5,FALSE())*IF(AND(AG$5 &gt; VLOOKUP($P459,Member_Tab,6,FALSE()),AG$5 &lt; VLOOKUP($P459,Member_Tab,7,FALSE())),1,0))</f>
        <v>0</v>
      </c>
      <c r="AH561" s="184" t="n">
        <f aca="false">IF(ISERROR(VLOOKUP($P459,Member_Tab,5,FALSE())),0,VLOOKUP($P459,Member_Tab,5,FALSE())*IF(AND(AH$5 &gt; VLOOKUP($P459,Member_Tab,6,FALSE()),AH$5 &lt; VLOOKUP($P459,Member_Tab,7,FALSE())),1,0))</f>
        <v>0</v>
      </c>
      <c r="AI561" s="184" t="n">
        <f aca="false">IF(ISERROR(VLOOKUP($P459,Member_Tab,5,FALSE())),0,VLOOKUP($P459,Member_Tab,5,FALSE())*IF(AND(AI$5 &gt; VLOOKUP($P459,Member_Tab,6,FALSE()),AI$5 &lt; VLOOKUP($P459,Member_Tab,7,FALSE())),1,0))</f>
        <v>0</v>
      </c>
      <c r="AJ561" s="184" t="n">
        <f aca="false">IF(ISERROR(VLOOKUP($P459,Member_Tab,5,FALSE())),0,VLOOKUP($P459,Member_Tab,5,FALSE())*IF(AND(AJ$5 &gt; VLOOKUP($P459,Member_Tab,6,FALSE()),AJ$5 &lt; VLOOKUP($P459,Member_Tab,7,FALSE())),1,0))</f>
        <v>0</v>
      </c>
      <c r="AK561" s="184" t="n">
        <f aca="false">IF(ISERROR(VLOOKUP($P459,Member_Tab,5,FALSE())),0,VLOOKUP($P459,Member_Tab,5,FALSE())*IF(AND(AK$5 &gt; VLOOKUP($P459,Member_Tab,6,FALSE()),AK$5 &lt; VLOOKUP($P459,Member_Tab,7,FALSE())),1,0))</f>
        <v>0</v>
      </c>
      <c r="AL561" s="184" t="n">
        <f aca="false">IF(ISERROR(VLOOKUP($P459,Member_Tab,5,FALSE())),0,VLOOKUP($P459,Member_Tab,5,FALSE())*IF(AND(AL$5 &gt; VLOOKUP($P459,Member_Tab,6,FALSE()),AL$5 &lt; VLOOKUP($P459,Member_Tab,7,FALSE())),1,0))</f>
        <v>0</v>
      </c>
      <c r="AM561" s="184" t="n">
        <f aca="false">IF(ISERROR(VLOOKUP($P459,Member_Tab,5,FALSE())),0,VLOOKUP($P459,Member_Tab,5,FALSE())*IF(AND(AM$5 &gt; VLOOKUP($P459,Member_Tab,6,FALSE()),AM$5 &lt; VLOOKUP($P459,Member_Tab,7,FALSE())),1,0))</f>
        <v>0</v>
      </c>
      <c r="AN561" s="184" t="n">
        <f aca="false">IF(ISERROR(VLOOKUP($P459,Member_Tab,5,FALSE())),0,VLOOKUP($P459,Member_Tab,5,FALSE())*IF(AND(AN$5 &gt; VLOOKUP($P459,Member_Tab,6,FALSE()),AN$5 &lt; VLOOKUP($P459,Member_Tab,7,FALSE())),1,0))</f>
        <v>0</v>
      </c>
      <c r="AO561" s="184" t="n">
        <f aca="false">IF(ISERROR(VLOOKUP($P459,Member_Tab,5,FALSE())),0,VLOOKUP($P459,Member_Tab,5,FALSE())*IF(AND(AO$5 &gt; VLOOKUP($P459,Member_Tab,6,FALSE()),AO$5 &lt; VLOOKUP($P459,Member_Tab,7,FALSE())),1,0))</f>
        <v>0</v>
      </c>
      <c r="AP561" s="184" t="n">
        <f aca="false">IF(ISERROR(VLOOKUP($P459,Member_Tab,5,FALSE())),0,VLOOKUP($P459,Member_Tab,5,FALSE())*IF(AND(AP$5 &gt; VLOOKUP($P459,Member_Tab,6,FALSE()),AP$5 &lt; VLOOKUP($P459,Member_Tab,7,FALSE())),1,0))</f>
        <v>0</v>
      </c>
      <c r="AQ561" s="184" t="n">
        <f aca="false">IF(ISERROR(VLOOKUP($P459,Member_Tab,5,FALSE())),0,VLOOKUP($P459,Member_Tab,5,FALSE())*IF(AND(AQ$5 &gt; VLOOKUP($P459,Member_Tab,6,FALSE()),AQ$5 &lt; VLOOKUP($P459,Member_Tab,7,FALSE())),1,0))</f>
        <v>0</v>
      </c>
      <c r="AR561" s="184" t="n">
        <f aca="false">IF(ISERROR(VLOOKUP($P459,Member_Tab,5,FALSE())),0,VLOOKUP($P459,Member_Tab,5,FALSE())*IF(AND(AR$5 &gt; VLOOKUP($P459,Member_Tab,6,FALSE()),AR$5 &lt; VLOOKUP($P459,Member_Tab,7,FALSE())),1,0))</f>
        <v>0</v>
      </c>
      <c r="AS561" s="184" t="n">
        <f aca="false">IF(ISERROR(VLOOKUP($P459,Member_Tab,5,FALSE())),0,VLOOKUP($P459,Member_Tab,5,FALSE())*IF(AND(AS$5 &gt; VLOOKUP($P459,Member_Tab,6,FALSE()),AS$5 &lt; VLOOKUP($P459,Member_Tab,7,FALSE())),1,0))</f>
        <v>0</v>
      </c>
      <c r="AT561" s="184" t="n">
        <f aca="false">IF(ISERROR(VLOOKUP($P459,Member_Tab,5,FALSE())),0,VLOOKUP($P459,Member_Tab,5,FALSE())*IF(AND(AT$5 &gt; VLOOKUP($P459,Member_Tab,6,FALSE()),AT$5 &lt; VLOOKUP($P459,Member_Tab,7,FALSE())),1,0))</f>
        <v>0</v>
      </c>
      <c r="AU561" s="184" t="n">
        <f aca="false">IF(ISERROR(VLOOKUP($P459,Member_Tab,5,FALSE())),0,VLOOKUP($P459,Member_Tab,5,FALSE())*IF(AND(AU$5 &gt; VLOOKUP($P459,Member_Tab,6,FALSE()),AU$5 &lt; VLOOKUP($P459,Member_Tab,7,FALSE())),1,0))</f>
        <v>0</v>
      </c>
      <c r="AV561" s="184" t="n">
        <f aca="false">IF(ISERROR(VLOOKUP($P459,Member_Tab,5,FALSE())),0,VLOOKUP($P459,Member_Tab,5,FALSE())*IF(AND(AV$5 &gt; VLOOKUP($P459,Member_Tab,6,FALSE()),AV$5 &lt; VLOOKUP($P459,Member_Tab,7,FALSE())),1,0))</f>
        <v>0</v>
      </c>
      <c r="AW561" s="184" t="n">
        <f aca="false">IF(ISERROR(VLOOKUP($P459,Member_Tab,5,FALSE())),0,VLOOKUP($P459,Member_Tab,5,FALSE())*IF(AND(AW$5 &gt; VLOOKUP($P459,Member_Tab,6,FALSE()),AW$5 &lt; VLOOKUP($P459,Member_Tab,7,FALSE())),1,0))</f>
        <v>0</v>
      </c>
      <c r="AX561" s="184" t="n">
        <f aca="false">IF(ISERROR(VLOOKUP($P459,Member_Tab,5,FALSE())),0,VLOOKUP($P459,Member_Tab,5,FALSE())*IF(AND(AX$5 &gt; VLOOKUP($P459,Member_Tab,6,FALSE()),AX$5 &lt; VLOOKUP($P459,Member_Tab,7,FALSE())),1,0))</f>
        <v>0</v>
      </c>
      <c r="AY561" s="184" t="n">
        <f aca="false">IF(ISERROR(VLOOKUP($P459,Member_Tab,5,FALSE())),0,VLOOKUP($P459,Member_Tab,5,FALSE())*IF(AND(AY$5 &gt; VLOOKUP($P459,Member_Tab,6,FALSE()),AY$5 &lt; VLOOKUP($P459,Member_Tab,7,FALSE())),1,0))</f>
        <v>0</v>
      </c>
      <c r="AZ561" s="184" t="n">
        <f aca="false">IF(ISERROR(VLOOKUP($P459,Member_Tab,5,FALSE())),0,VLOOKUP($P459,Member_Tab,5,FALSE())*IF(AND(AZ$5 &gt; VLOOKUP($P459,Member_Tab,6,FALSE()),AZ$5 &lt; VLOOKUP($P459,Member_Tab,7,FALSE())),1,0))</f>
        <v>0</v>
      </c>
      <c r="BA561" s="184" t="n">
        <f aca="false">IF(ISERROR(VLOOKUP($P459,Member_Tab,5,FALSE())),0,VLOOKUP($P459,Member_Tab,5,FALSE())*IF(AND(BA$5 &gt; VLOOKUP($P459,Member_Tab,6,FALSE()),BA$5 &lt; VLOOKUP($P459,Member_Tab,7,FALSE())),1,0))</f>
        <v>0</v>
      </c>
      <c r="BB561" s="184" t="n">
        <f aca="false">IF(ISERROR(VLOOKUP($P459,Member_Tab,5,FALSE())),0,VLOOKUP($P459,Member_Tab,5,FALSE())*IF(AND(BB$5 &gt; VLOOKUP($P459,Member_Tab,6,FALSE()),BB$5 &lt; VLOOKUP($P459,Member_Tab,7,FALSE())),1,0))</f>
        <v>0</v>
      </c>
    </row>
    <row r="562" s="173" customFormat="true" ht="15.75" hidden="true" customHeight="false" outlineLevel="1" collapsed="false">
      <c r="E562" s="40"/>
      <c r="K562" s="40"/>
      <c r="L562" s="40"/>
      <c r="M562" s="40"/>
      <c r="N562" s="40"/>
      <c r="P562" s="183" t="n">
        <f aca="false">P460</f>
        <v>0</v>
      </c>
      <c r="Q562" s="40"/>
      <c r="R562" s="182"/>
      <c r="S562" s="184" t="n">
        <f aca="false">IF(ISERROR(VLOOKUP($P460,Member_Tab,5,FALSE())),0,VLOOKUP($P460,Member_Tab,5,FALSE())*IF(AND(S$5 &gt; VLOOKUP($P460,Member_Tab,6,FALSE()),S$5 &lt; VLOOKUP($P460,Member_Tab,7,FALSE())),1,0))</f>
        <v>0</v>
      </c>
      <c r="T562" s="184" t="n">
        <f aca="false">IF(ISERROR(VLOOKUP($P460,Member_Tab,5,FALSE())),0,VLOOKUP($P460,Member_Tab,5,FALSE())*IF(AND(T$5 &gt; VLOOKUP($P460,Member_Tab,6,FALSE()),T$5 &lt; VLOOKUP($P460,Member_Tab,7,FALSE())),1,0))</f>
        <v>0</v>
      </c>
      <c r="U562" s="184" t="n">
        <f aca="false">IF(ISERROR(VLOOKUP($P460,Member_Tab,5,FALSE())),0,VLOOKUP($P460,Member_Tab,5,FALSE())*IF(AND(U$5 &gt; VLOOKUP($P460,Member_Tab,6,FALSE()),U$5 &lt; VLOOKUP($P460,Member_Tab,7,FALSE())),1,0))</f>
        <v>0</v>
      </c>
      <c r="V562" s="184" t="n">
        <f aca="false">IF(ISERROR(VLOOKUP($P460,Member_Tab,5,FALSE())),0,VLOOKUP($P460,Member_Tab,5,FALSE())*IF(AND(V$5 &gt; VLOOKUP($P460,Member_Tab,6,FALSE()),V$5 &lt; VLOOKUP($P460,Member_Tab,7,FALSE())),1,0))</f>
        <v>0</v>
      </c>
      <c r="W562" s="184" t="n">
        <f aca="false">IF(ISERROR(VLOOKUP($P460,Member_Tab,5,FALSE())),0,VLOOKUP($P460,Member_Tab,5,FALSE())*IF(AND(W$5 &gt; VLOOKUP($P460,Member_Tab,6,FALSE()),W$5 &lt; VLOOKUP($P460,Member_Tab,7,FALSE())),1,0))</f>
        <v>0</v>
      </c>
      <c r="X562" s="184" t="n">
        <f aca="false">IF(ISERROR(VLOOKUP($P460,Member_Tab,5,FALSE())),0,VLOOKUP($P460,Member_Tab,5,FALSE())*IF(AND(X$5 &gt; VLOOKUP($P460,Member_Tab,6,FALSE()),X$5 &lt; VLOOKUP($P460,Member_Tab,7,FALSE())),1,0))</f>
        <v>0</v>
      </c>
      <c r="Y562" s="184" t="n">
        <f aca="false">IF(ISERROR(VLOOKUP($P460,Member_Tab,5,FALSE())),0,VLOOKUP($P460,Member_Tab,5,FALSE())*IF(AND(Y$5 &gt; VLOOKUP($P460,Member_Tab,6,FALSE()),Y$5 &lt; VLOOKUP($P460,Member_Tab,7,FALSE())),1,0))</f>
        <v>0</v>
      </c>
      <c r="Z562" s="184" t="n">
        <f aca="false">IF(ISERROR(VLOOKUP($P460,Member_Tab,5,FALSE())),0,VLOOKUP($P460,Member_Tab,5,FALSE())*IF(AND(Z$5 &gt; VLOOKUP($P460,Member_Tab,6,FALSE()),Z$5 &lt; VLOOKUP($P460,Member_Tab,7,FALSE())),1,0))</f>
        <v>0</v>
      </c>
      <c r="AA562" s="184" t="n">
        <f aca="false">IF(ISERROR(VLOOKUP($P460,Member_Tab,5,FALSE())),0,VLOOKUP($P460,Member_Tab,5,FALSE())*IF(AND(AA$5 &gt; VLOOKUP($P460,Member_Tab,6,FALSE()),AA$5 &lt; VLOOKUP($P460,Member_Tab,7,FALSE())),1,0))</f>
        <v>0</v>
      </c>
      <c r="AB562" s="184" t="n">
        <f aca="false">IF(ISERROR(VLOOKUP($P460,Member_Tab,5,FALSE())),0,VLOOKUP($P460,Member_Tab,5,FALSE())*IF(AND(AB$5 &gt; VLOOKUP($P460,Member_Tab,6,FALSE()),AB$5 &lt; VLOOKUP($P460,Member_Tab,7,FALSE())),1,0))</f>
        <v>0</v>
      </c>
      <c r="AC562" s="184" t="n">
        <f aca="false">IF(ISERROR(VLOOKUP($P460,Member_Tab,5,FALSE())),0,VLOOKUP($P460,Member_Tab,5,FALSE())*IF(AND(AC$5 &gt; VLOOKUP($P460,Member_Tab,6,FALSE()),AC$5 &lt; VLOOKUP($P460,Member_Tab,7,FALSE())),1,0))</f>
        <v>0</v>
      </c>
      <c r="AD562" s="184" t="n">
        <f aca="false">IF(ISERROR(VLOOKUP($P460,Member_Tab,5,FALSE())),0,VLOOKUP($P460,Member_Tab,5,FALSE())*IF(AND(AD$5 &gt; VLOOKUP($P460,Member_Tab,6,FALSE()),AD$5 &lt; VLOOKUP($P460,Member_Tab,7,FALSE())),1,0))</f>
        <v>0</v>
      </c>
      <c r="AE562" s="184" t="n">
        <f aca="false">IF(ISERROR(VLOOKUP($P460,Member_Tab,5,FALSE())),0,VLOOKUP($P460,Member_Tab,5,FALSE())*IF(AND(AE$5 &gt; VLOOKUP($P460,Member_Tab,6,FALSE()),AE$5 &lt; VLOOKUP($P460,Member_Tab,7,FALSE())),1,0))</f>
        <v>0</v>
      </c>
      <c r="AF562" s="184" t="n">
        <f aca="false">IF(ISERROR(VLOOKUP($P460,Member_Tab,5,FALSE())),0,VLOOKUP($P460,Member_Tab,5,FALSE())*IF(AND(AF$5 &gt; VLOOKUP($P460,Member_Tab,6,FALSE()),AF$5 &lt; VLOOKUP($P460,Member_Tab,7,FALSE())),1,0))</f>
        <v>0</v>
      </c>
      <c r="AG562" s="184" t="n">
        <f aca="false">IF(ISERROR(VLOOKUP($P460,Member_Tab,5,FALSE())),0,VLOOKUP($P460,Member_Tab,5,FALSE())*IF(AND(AG$5 &gt; VLOOKUP($P460,Member_Tab,6,FALSE()),AG$5 &lt; VLOOKUP($P460,Member_Tab,7,FALSE())),1,0))</f>
        <v>0</v>
      </c>
      <c r="AH562" s="184" t="n">
        <f aca="false">IF(ISERROR(VLOOKUP($P460,Member_Tab,5,FALSE())),0,VLOOKUP($P460,Member_Tab,5,FALSE())*IF(AND(AH$5 &gt; VLOOKUP($P460,Member_Tab,6,FALSE()),AH$5 &lt; VLOOKUP($P460,Member_Tab,7,FALSE())),1,0))</f>
        <v>0</v>
      </c>
      <c r="AI562" s="184" t="n">
        <f aca="false">IF(ISERROR(VLOOKUP($P460,Member_Tab,5,FALSE())),0,VLOOKUP($P460,Member_Tab,5,FALSE())*IF(AND(AI$5 &gt; VLOOKUP($P460,Member_Tab,6,FALSE()),AI$5 &lt; VLOOKUP($P460,Member_Tab,7,FALSE())),1,0))</f>
        <v>0</v>
      </c>
      <c r="AJ562" s="184" t="n">
        <f aca="false">IF(ISERROR(VLOOKUP($P460,Member_Tab,5,FALSE())),0,VLOOKUP($P460,Member_Tab,5,FALSE())*IF(AND(AJ$5 &gt; VLOOKUP($P460,Member_Tab,6,FALSE()),AJ$5 &lt; VLOOKUP($P460,Member_Tab,7,FALSE())),1,0))</f>
        <v>0</v>
      </c>
      <c r="AK562" s="184" t="n">
        <f aca="false">IF(ISERROR(VLOOKUP($P460,Member_Tab,5,FALSE())),0,VLOOKUP($P460,Member_Tab,5,FALSE())*IF(AND(AK$5 &gt; VLOOKUP($P460,Member_Tab,6,FALSE()),AK$5 &lt; VLOOKUP($P460,Member_Tab,7,FALSE())),1,0))</f>
        <v>0</v>
      </c>
      <c r="AL562" s="184" t="n">
        <f aca="false">IF(ISERROR(VLOOKUP($P460,Member_Tab,5,FALSE())),0,VLOOKUP($P460,Member_Tab,5,FALSE())*IF(AND(AL$5 &gt; VLOOKUP($P460,Member_Tab,6,FALSE()),AL$5 &lt; VLOOKUP($P460,Member_Tab,7,FALSE())),1,0))</f>
        <v>0</v>
      </c>
      <c r="AM562" s="184" t="n">
        <f aca="false">IF(ISERROR(VLOOKUP($P460,Member_Tab,5,FALSE())),0,VLOOKUP($P460,Member_Tab,5,FALSE())*IF(AND(AM$5 &gt; VLOOKUP($P460,Member_Tab,6,FALSE()),AM$5 &lt; VLOOKUP($P460,Member_Tab,7,FALSE())),1,0))</f>
        <v>0</v>
      </c>
      <c r="AN562" s="184" t="n">
        <f aca="false">IF(ISERROR(VLOOKUP($P460,Member_Tab,5,FALSE())),0,VLOOKUP($P460,Member_Tab,5,FALSE())*IF(AND(AN$5 &gt; VLOOKUP($P460,Member_Tab,6,FALSE()),AN$5 &lt; VLOOKUP($P460,Member_Tab,7,FALSE())),1,0))</f>
        <v>0</v>
      </c>
      <c r="AO562" s="184" t="n">
        <f aca="false">IF(ISERROR(VLOOKUP($P460,Member_Tab,5,FALSE())),0,VLOOKUP($P460,Member_Tab,5,FALSE())*IF(AND(AO$5 &gt; VLOOKUP($P460,Member_Tab,6,FALSE()),AO$5 &lt; VLOOKUP($P460,Member_Tab,7,FALSE())),1,0))</f>
        <v>0</v>
      </c>
      <c r="AP562" s="184" t="n">
        <f aca="false">IF(ISERROR(VLOOKUP($P460,Member_Tab,5,FALSE())),0,VLOOKUP($P460,Member_Tab,5,FALSE())*IF(AND(AP$5 &gt; VLOOKUP($P460,Member_Tab,6,FALSE()),AP$5 &lt; VLOOKUP($P460,Member_Tab,7,FALSE())),1,0))</f>
        <v>0</v>
      </c>
      <c r="AQ562" s="184" t="n">
        <f aca="false">IF(ISERROR(VLOOKUP($P460,Member_Tab,5,FALSE())),0,VLOOKUP($P460,Member_Tab,5,FALSE())*IF(AND(AQ$5 &gt; VLOOKUP($P460,Member_Tab,6,FALSE()),AQ$5 &lt; VLOOKUP($P460,Member_Tab,7,FALSE())),1,0))</f>
        <v>0</v>
      </c>
      <c r="AR562" s="184" t="n">
        <f aca="false">IF(ISERROR(VLOOKUP($P460,Member_Tab,5,FALSE())),0,VLOOKUP($P460,Member_Tab,5,FALSE())*IF(AND(AR$5 &gt; VLOOKUP($P460,Member_Tab,6,FALSE()),AR$5 &lt; VLOOKUP($P460,Member_Tab,7,FALSE())),1,0))</f>
        <v>0</v>
      </c>
      <c r="AS562" s="184" t="n">
        <f aca="false">IF(ISERROR(VLOOKUP($P460,Member_Tab,5,FALSE())),0,VLOOKUP($P460,Member_Tab,5,FALSE())*IF(AND(AS$5 &gt; VLOOKUP($P460,Member_Tab,6,FALSE()),AS$5 &lt; VLOOKUP($P460,Member_Tab,7,FALSE())),1,0))</f>
        <v>0</v>
      </c>
      <c r="AT562" s="184" t="n">
        <f aca="false">IF(ISERROR(VLOOKUP($P460,Member_Tab,5,FALSE())),0,VLOOKUP($P460,Member_Tab,5,FALSE())*IF(AND(AT$5 &gt; VLOOKUP($P460,Member_Tab,6,FALSE()),AT$5 &lt; VLOOKUP($P460,Member_Tab,7,FALSE())),1,0))</f>
        <v>0</v>
      </c>
      <c r="AU562" s="184" t="n">
        <f aca="false">IF(ISERROR(VLOOKUP($P460,Member_Tab,5,FALSE())),0,VLOOKUP($P460,Member_Tab,5,FALSE())*IF(AND(AU$5 &gt; VLOOKUP($P460,Member_Tab,6,FALSE()),AU$5 &lt; VLOOKUP($P460,Member_Tab,7,FALSE())),1,0))</f>
        <v>0</v>
      </c>
      <c r="AV562" s="184" t="n">
        <f aca="false">IF(ISERROR(VLOOKUP($P460,Member_Tab,5,FALSE())),0,VLOOKUP($P460,Member_Tab,5,FALSE())*IF(AND(AV$5 &gt; VLOOKUP($P460,Member_Tab,6,FALSE()),AV$5 &lt; VLOOKUP($P460,Member_Tab,7,FALSE())),1,0))</f>
        <v>0</v>
      </c>
      <c r="AW562" s="184" t="n">
        <f aca="false">IF(ISERROR(VLOOKUP($P460,Member_Tab,5,FALSE())),0,VLOOKUP($P460,Member_Tab,5,FALSE())*IF(AND(AW$5 &gt; VLOOKUP($P460,Member_Tab,6,FALSE()),AW$5 &lt; VLOOKUP($P460,Member_Tab,7,FALSE())),1,0))</f>
        <v>0</v>
      </c>
      <c r="AX562" s="184" t="n">
        <f aca="false">IF(ISERROR(VLOOKUP($P460,Member_Tab,5,FALSE())),0,VLOOKUP($P460,Member_Tab,5,FALSE())*IF(AND(AX$5 &gt; VLOOKUP($P460,Member_Tab,6,FALSE()),AX$5 &lt; VLOOKUP($P460,Member_Tab,7,FALSE())),1,0))</f>
        <v>0</v>
      </c>
      <c r="AY562" s="184" t="n">
        <f aca="false">IF(ISERROR(VLOOKUP($P460,Member_Tab,5,FALSE())),0,VLOOKUP($P460,Member_Tab,5,FALSE())*IF(AND(AY$5 &gt; VLOOKUP($P460,Member_Tab,6,FALSE()),AY$5 &lt; VLOOKUP($P460,Member_Tab,7,FALSE())),1,0))</f>
        <v>0</v>
      </c>
      <c r="AZ562" s="184" t="n">
        <f aca="false">IF(ISERROR(VLOOKUP($P460,Member_Tab,5,FALSE())),0,VLOOKUP($P460,Member_Tab,5,FALSE())*IF(AND(AZ$5 &gt; VLOOKUP($P460,Member_Tab,6,FALSE()),AZ$5 &lt; VLOOKUP($P460,Member_Tab,7,FALSE())),1,0))</f>
        <v>0</v>
      </c>
      <c r="BA562" s="184" t="n">
        <f aca="false">IF(ISERROR(VLOOKUP($P460,Member_Tab,5,FALSE())),0,VLOOKUP($P460,Member_Tab,5,FALSE())*IF(AND(BA$5 &gt; VLOOKUP($P460,Member_Tab,6,FALSE()),BA$5 &lt; VLOOKUP($P460,Member_Tab,7,FALSE())),1,0))</f>
        <v>0</v>
      </c>
      <c r="BB562" s="184" t="n">
        <f aca="false">IF(ISERROR(VLOOKUP($P460,Member_Tab,5,FALSE())),0,VLOOKUP($P460,Member_Tab,5,FALSE())*IF(AND(BB$5 &gt; VLOOKUP($P460,Member_Tab,6,FALSE()),BB$5 &lt; VLOOKUP($P460,Member_Tab,7,FALSE())),1,0))</f>
        <v>0</v>
      </c>
    </row>
    <row r="563" s="173" customFormat="true" ht="15.75" hidden="true" customHeight="false" outlineLevel="1" collapsed="false">
      <c r="E563" s="40"/>
      <c r="K563" s="40"/>
      <c r="L563" s="40"/>
      <c r="M563" s="40"/>
      <c r="N563" s="40"/>
      <c r="P563" s="183" t="n">
        <f aca="false">P461</f>
        <v>0</v>
      </c>
      <c r="Q563" s="40"/>
      <c r="R563" s="182"/>
      <c r="S563" s="184" t="n">
        <f aca="false">IF(ISERROR(VLOOKUP($P461,Member_Tab,5,FALSE())),0,VLOOKUP($P461,Member_Tab,5,FALSE())*IF(AND(S$5 &gt; VLOOKUP($P461,Member_Tab,6,FALSE()),S$5 &lt; VLOOKUP($P461,Member_Tab,7,FALSE())),1,0))</f>
        <v>0</v>
      </c>
      <c r="T563" s="184" t="n">
        <f aca="false">IF(ISERROR(VLOOKUP($P461,Member_Tab,5,FALSE())),0,VLOOKUP($P461,Member_Tab,5,FALSE())*IF(AND(T$5 &gt; VLOOKUP($P461,Member_Tab,6,FALSE()),T$5 &lt; VLOOKUP($P461,Member_Tab,7,FALSE())),1,0))</f>
        <v>0</v>
      </c>
      <c r="U563" s="184" t="n">
        <f aca="false">IF(ISERROR(VLOOKUP($P461,Member_Tab,5,FALSE())),0,VLOOKUP($P461,Member_Tab,5,FALSE())*IF(AND(U$5 &gt; VLOOKUP($P461,Member_Tab,6,FALSE()),U$5 &lt; VLOOKUP($P461,Member_Tab,7,FALSE())),1,0))</f>
        <v>0</v>
      </c>
      <c r="V563" s="184" t="n">
        <f aca="false">IF(ISERROR(VLOOKUP($P461,Member_Tab,5,FALSE())),0,VLOOKUP($P461,Member_Tab,5,FALSE())*IF(AND(V$5 &gt; VLOOKUP($P461,Member_Tab,6,FALSE()),V$5 &lt; VLOOKUP($P461,Member_Tab,7,FALSE())),1,0))</f>
        <v>0</v>
      </c>
      <c r="W563" s="184" t="n">
        <f aca="false">IF(ISERROR(VLOOKUP($P461,Member_Tab,5,FALSE())),0,VLOOKUP($P461,Member_Tab,5,FALSE())*IF(AND(W$5 &gt; VLOOKUP($P461,Member_Tab,6,FALSE()),W$5 &lt; VLOOKUP($P461,Member_Tab,7,FALSE())),1,0))</f>
        <v>0</v>
      </c>
      <c r="X563" s="184" t="n">
        <f aca="false">IF(ISERROR(VLOOKUP($P461,Member_Tab,5,FALSE())),0,VLOOKUP($P461,Member_Tab,5,FALSE())*IF(AND(X$5 &gt; VLOOKUP($P461,Member_Tab,6,FALSE()),X$5 &lt; VLOOKUP($P461,Member_Tab,7,FALSE())),1,0))</f>
        <v>0</v>
      </c>
      <c r="Y563" s="184" t="n">
        <f aca="false">IF(ISERROR(VLOOKUP($P461,Member_Tab,5,FALSE())),0,VLOOKUP($P461,Member_Tab,5,FALSE())*IF(AND(Y$5 &gt; VLOOKUP($P461,Member_Tab,6,FALSE()),Y$5 &lt; VLOOKUP($P461,Member_Tab,7,FALSE())),1,0))</f>
        <v>0</v>
      </c>
      <c r="Z563" s="184" t="n">
        <f aca="false">IF(ISERROR(VLOOKUP($P461,Member_Tab,5,FALSE())),0,VLOOKUP($P461,Member_Tab,5,FALSE())*IF(AND(Z$5 &gt; VLOOKUP($P461,Member_Tab,6,FALSE()),Z$5 &lt; VLOOKUP($P461,Member_Tab,7,FALSE())),1,0))</f>
        <v>0</v>
      </c>
      <c r="AA563" s="184" t="n">
        <f aca="false">IF(ISERROR(VLOOKUP($P461,Member_Tab,5,FALSE())),0,VLOOKUP($P461,Member_Tab,5,FALSE())*IF(AND(AA$5 &gt; VLOOKUP($P461,Member_Tab,6,FALSE()),AA$5 &lt; VLOOKUP($P461,Member_Tab,7,FALSE())),1,0))</f>
        <v>0</v>
      </c>
      <c r="AB563" s="184" t="n">
        <f aca="false">IF(ISERROR(VLOOKUP($P461,Member_Tab,5,FALSE())),0,VLOOKUP($P461,Member_Tab,5,FALSE())*IF(AND(AB$5 &gt; VLOOKUP($P461,Member_Tab,6,FALSE()),AB$5 &lt; VLOOKUP($P461,Member_Tab,7,FALSE())),1,0))</f>
        <v>0</v>
      </c>
      <c r="AC563" s="184" t="n">
        <f aca="false">IF(ISERROR(VLOOKUP($P461,Member_Tab,5,FALSE())),0,VLOOKUP($P461,Member_Tab,5,FALSE())*IF(AND(AC$5 &gt; VLOOKUP($P461,Member_Tab,6,FALSE()),AC$5 &lt; VLOOKUP($P461,Member_Tab,7,FALSE())),1,0))</f>
        <v>0</v>
      </c>
      <c r="AD563" s="184" t="n">
        <f aca="false">IF(ISERROR(VLOOKUP($P461,Member_Tab,5,FALSE())),0,VLOOKUP($P461,Member_Tab,5,FALSE())*IF(AND(AD$5 &gt; VLOOKUP($P461,Member_Tab,6,FALSE()),AD$5 &lt; VLOOKUP($P461,Member_Tab,7,FALSE())),1,0))</f>
        <v>0</v>
      </c>
      <c r="AE563" s="184" t="n">
        <f aca="false">IF(ISERROR(VLOOKUP($P461,Member_Tab,5,FALSE())),0,VLOOKUP($P461,Member_Tab,5,FALSE())*IF(AND(AE$5 &gt; VLOOKUP($P461,Member_Tab,6,FALSE()),AE$5 &lt; VLOOKUP($P461,Member_Tab,7,FALSE())),1,0))</f>
        <v>0</v>
      </c>
      <c r="AF563" s="184" t="n">
        <f aca="false">IF(ISERROR(VLOOKUP($P461,Member_Tab,5,FALSE())),0,VLOOKUP($P461,Member_Tab,5,FALSE())*IF(AND(AF$5 &gt; VLOOKUP($P461,Member_Tab,6,FALSE()),AF$5 &lt; VLOOKUP($P461,Member_Tab,7,FALSE())),1,0))</f>
        <v>0</v>
      </c>
      <c r="AG563" s="184" t="n">
        <f aca="false">IF(ISERROR(VLOOKUP($P461,Member_Tab,5,FALSE())),0,VLOOKUP($P461,Member_Tab,5,FALSE())*IF(AND(AG$5 &gt; VLOOKUP($P461,Member_Tab,6,FALSE()),AG$5 &lt; VLOOKUP($P461,Member_Tab,7,FALSE())),1,0))</f>
        <v>0</v>
      </c>
      <c r="AH563" s="184" t="n">
        <f aca="false">IF(ISERROR(VLOOKUP($P461,Member_Tab,5,FALSE())),0,VLOOKUP($P461,Member_Tab,5,FALSE())*IF(AND(AH$5 &gt; VLOOKUP($P461,Member_Tab,6,FALSE()),AH$5 &lt; VLOOKUP($P461,Member_Tab,7,FALSE())),1,0))</f>
        <v>0</v>
      </c>
      <c r="AI563" s="184" t="n">
        <f aca="false">IF(ISERROR(VLOOKUP($P461,Member_Tab,5,FALSE())),0,VLOOKUP($P461,Member_Tab,5,FALSE())*IF(AND(AI$5 &gt; VLOOKUP($P461,Member_Tab,6,FALSE()),AI$5 &lt; VLOOKUP($P461,Member_Tab,7,FALSE())),1,0))</f>
        <v>0</v>
      </c>
      <c r="AJ563" s="184" t="n">
        <f aca="false">IF(ISERROR(VLOOKUP($P461,Member_Tab,5,FALSE())),0,VLOOKUP($P461,Member_Tab,5,FALSE())*IF(AND(AJ$5 &gt; VLOOKUP($P461,Member_Tab,6,FALSE()),AJ$5 &lt; VLOOKUP($P461,Member_Tab,7,FALSE())),1,0))</f>
        <v>0</v>
      </c>
      <c r="AK563" s="184" t="n">
        <f aca="false">IF(ISERROR(VLOOKUP($P461,Member_Tab,5,FALSE())),0,VLOOKUP($P461,Member_Tab,5,FALSE())*IF(AND(AK$5 &gt; VLOOKUP($P461,Member_Tab,6,FALSE()),AK$5 &lt; VLOOKUP($P461,Member_Tab,7,FALSE())),1,0))</f>
        <v>0</v>
      </c>
      <c r="AL563" s="184" t="n">
        <f aca="false">IF(ISERROR(VLOOKUP($P461,Member_Tab,5,FALSE())),0,VLOOKUP($P461,Member_Tab,5,FALSE())*IF(AND(AL$5 &gt; VLOOKUP($P461,Member_Tab,6,FALSE()),AL$5 &lt; VLOOKUP($P461,Member_Tab,7,FALSE())),1,0))</f>
        <v>0</v>
      </c>
      <c r="AM563" s="184" t="n">
        <f aca="false">IF(ISERROR(VLOOKUP($P461,Member_Tab,5,FALSE())),0,VLOOKUP($P461,Member_Tab,5,FALSE())*IF(AND(AM$5 &gt; VLOOKUP($P461,Member_Tab,6,FALSE()),AM$5 &lt; VLOOKUP($P461,Member_Tab,7,FALSE())),1,0))</f>
        <v>0</v>
      </c>
      <c r="AN563" s="184" t="n">
        <f aca="false">IF(ISERROR(VLOOKUP($P461,Member_Tab,5,FALSE())),0,VLOOKUP($P461,Member_Tab,5,FALSE())*IF(AND(AN$5 &gt; VLOOKUP($P461,Member_Tab,6,FALSE()),AN$5 &lt; VLOOKUP($P461,Member_Tab,7,FALSE())),1,0))</f>
        <v>0</v>
      </c>
      <c r="AO563" s="184" t="n">
        <f aca="false">IF(ISERROR(VLOOKUP($P461,Member_Tab,5,FALSE())),0,VLOOKUP($P461,Member_Tab,5,FALSE())*IF(AND(AO$5 &gt; VLOOKUP($P461,Member_Tab,6,FALSE()),AO$5 &lt; VLOOKUP($P461,Member_Tab,7,FALSE())),1,0))</f>
        <v>0</v>
      </c>
      <c r="AP563" s="184" t="n">
        <f aca="false">IF(ISERROR(VLOOKUP($P461,Member_Tab,5,FALSE())),0,VLOOKUP($P461,Member_Tab,5,FALSE())*IF(AND(AP$5 &gt; VLOOKUP($P461,Member_Tab,6,FALSE()),AP$5 &lt; VLOOKUP($P461,Member_Tab,7,FALSE())),1,0))</f>
        <v>0</v>
      </c>
      <c r="AQ563" s="184" t="n">
        <f aca="false">IF(ISERROR(VLOOKUP($P461,Member_Tab,5,FALSE())),0,VLOOKUP($P461,Member_Tab,5,FALSE())*IF(AND(AQ$5 &gt; VLOOKUP($P461,Member_Tab,6,FALSE()),AQ$5 &lt; VLOOKUP($P461,Member_Tab,7,FALSE())),1,0))</f>
        <v>0</v>
      </c>
      <c r="AR563" s="184" t="n">
        <f aca="false">IF(ISERROR(VLOOKUP($P461,Member_Tab,5,FALSE())),0,VLOOKUP($P461,Member_Tab,5,FALSE())*IF(AND(AR$5 &gt; VLOOKUP($P461,Member_Tab,6,FALSE()),AR$5 &lt; VLOOKUP($P461,Member_Tab,7,FALSE())),1,0))</f>
        <v>0</v>
      </c>
      <c r="AS563" s="184" t="n">
        <f aca="false">IF(ISERROR(VLOOKUP($P461,Member_Tab,5,FALSE())),0,VLOOKUP($P461,Member_Tab,5,FALSE())*IF(AND(AS$5 &gt; VLOOKUP($P461,Member_Tab,6,FALSE()),AS$5 &lt; VLOOKUP($P461,Member_Tab,7,FALSE())),1,0))</f>
        <v>0</v>
      </c>
      <c r="AT563" s="184" t="n">
        <f aca="false">IF(ISERROR(VLOOKUP($P461,Member_Tab,5,FALSE())),0,VLOOKUP($P461,Member_Tab,5,FALSE())*IF(AND(AT$5 &gt; VLOOKUP($P461,Member_Tab,6,FALSE()),AT$5 &lt; VLOOKUP($P461,Member_Tab,7,FALSE())),1,0))</f>
        <v>0</v>
      </c>
      <c r="AU563" s="184" t="n">
        <f aca="false">IF(ISERROR(VLOOKUP($P461,Member_Tab,5,FALSE())),0,VLOOKUP($P461,Member_Tab,5,FALSE())*IF(AND(AU$5 &gt; VLOOKUP($P461,Member_Tab,6,FALSE()),AU$5 &lt; VLOOKUP($P461,Member_Tab,7,FALSE())),1,0))</f>
        <v>0</v>
      </c>
      <c r="AV563" s="184" t="n">
        <f aca="false">IF(ISERROR(VLOOKUP($P461,Member_Tab,5,FALSE())),0,VLOOKUP($P461,Member_Tab,5,FALSE())*IF(AND(AV$5 &gt; VLOOKUP($P461,Member_Tab,6,FALSE()),AV$5 &lt; VLOOKUP($P461,Member_Tab,7,FALSE())),1,0))</f>
        <v>0</v>
      </c>
      <c r="AW563" s="184" t="n">
        <f aca="false">IF(ISERROR(VLOOKUP($P461,Member_Tab,5,FALSE())),0,VLOOKUP($P461,Member_Tab,5,FALSE())*IF(AND(AW$5 &gt; VLOOKUP($P461,Member_Tab,6,FALSE()),AW$5 &lt; VLOOKUP($P461,Member_Tab,7,FALSE())),1,0))</f>
        <v>0</v>
      </c>
      <c r="AX563" s="184" t="n">
        <f aca="false">IF(ISERROR(VLOOKUP($P461,Member_Tab,5,FALSE())),0,VLOOKUP($P461,Member_Tab,5,FALSE())*IF(AND(AX$5 &gt; VLOOKUP($P461,Member_Tab,6,FALSE()),AX$5 &lt; VLOOKUP($P461,Member_Tab,7,FALSE())),1,0))</f>
        <v>0</v>
      </c>
      <c r="AY563" s="184" t="n">
        <f aca="false">IF(ISERROR(VLOOKUP($P461,Member_Tab,5,FALSE())),0,VLOOKUP($P461,Member_Tab,5,FALSE())*IF(AND(AY$5 &gt; VLOOKUP($P461,Member_Tab,6,FALSE()),AY$5 &lt; VLOOKUP($P461,Member_Tab,7,FALSE())),1,0))</f>
        <v>0</v>
      </c>
      <c r="AZ563" s="184" t="n">
        <f aca="false">IF(ISERROR(VLOOKUP($P461,Member_Tab,5,FALSE())),0,VLOOKUP($P461,Member_Tab,5,FALSE())*IF(AND(AZ$5 &gt; VLOOKUP($P461,Member_Tab,6,FALSE()),AZ$5 &lt; VLOOKUP($P461,Member_Tab,7,FALSE())),1,0))</f>
        <v>0</v>
      </c>
      <c r="BA563" s="184" t="n">
        <f aca="false">IF(ISERROR(VLOOKUP($P461,Member_Tab,5,FALSE())),0,VLOOKUP($P461,Member_Tab,5,FALSE())*IF(AND(BA$5 &gt; VLOOKUP($P461,Member_Tab,6,FALSE()),BA$5 &lt; VLOOKUP($P461,Member_Tab,7,FALSE())),1,0))</f>
        <v>0</v>
      </c>
      <c r="BB563" s="184" t="n">
        <f aca="false">IF(ISERROR(VLOOKUP($P461,Member_Tab,5,FALSE())),0,VLOOKUP($P461,Member_Tab,5,FALSE())*IF(AND(BB$5 &gt; VLOOKUP($P461,Member_Tab,6,FALSE()),BB$5 &lt; VLOOKUP($P461,Member_Tab,7,FALSE())),1,0))</f>
        <v>0</v>
      </c>
    </row>
    <row r="564" s="173" customFormat="true" ht="15.75" hidden="true" customHeight="false" outlineLevel="1" collapsed="false">
      <c r="E564" s="40"/>
      <c r="K564" s="40"/>
      <c r="L564" s="40"/>
      <c r="M564" s="40"/>
      <c r="N564" s="40"/>
      <c r="P564" s="183" t="n">
        <f aca="false">P462</f>
        <v>0</v>
      </c>
      <c r="Q564" s="40"/>
      <c r="R564" s="182"/>
      <c r="S564" s="184" t="n">
        <f aca="false">IF(ISERROR(VLOOKUP($P462,Member_Tab,5,FALSE())),0,VLOOKUP($P462,Member_Tab,5,FALSE())*IF(AND(S$5 &gt; VLOOKUP($P462,Member_Tab,6,FALSE()),S$5 &lt; VLOOKUP($P462,Member_Tab,7,FALSE())),1,0))</f>
        <v>0</v>
      </c>
      <c r="T564" s="184" t="n">
        <f aca="false">IF(ISERROR(VLOOKUP($P462,Member_Tab,5,FALSE())),0,VLOOKUP($P462,Member_Tab,5,FALSE())*IF(AND(T$5 &gt; VLOOKUP($P462,Member_Tab,6,FALSE()),T$5 &lt; VLOOKUP($P462,Member_Tab,7,FALSE())),1,0))</f>
        <v>0</v>
      </c>
      <c r="U564" s="184" t="n">
        <f aca="false">IF(ISERROR(VLOOKUP($P462,Member_Tab,5,FALSE())),0,VLOOKUP($P462,Member_Tab,5,FALSE())*IF(AND(U$5 &gt; VLOOKUP($P462,Member_Tab,6,FALSE()),U$5 &lt; VLOOKUP($P462,Member_Tab,7,FALSE())),1,0))</f>
        <v>0</v>
      </c>
      <c r="V564" s="184" t="n">
        <f aca="false">IF(ISERROR(VLOOKUP($P462,Member_Tab,5,FALSE())),0,VLOOKUP($P462,Member_Tab,5,FALSE())*IF(AND(V$5 &gt; VLOOKUP($P462,Member_Tab,6,FALSE()),V$5 &lt; VLOOKUP($P462,Member_Tab,7,FALSE())),1,0))</f>
        <v>0</v>
      </c>
      <c r="W564" s="184" t="n">
        <f aca="false">IF(ISERROR(VLOOKUP($P462,Member_Tab,5,FALSE())),0,VLOOKUP($P462,Member_Tab,5,FALSE())*IF(AND(W$5 &gt; VLOOKUP($P462,Member_Tab,6,FALSE()),W$5 &lt; VLOOKUP($P462,Member_Tab,7,FALSE())),1,0))</f>
        <v>0</v>
      </c>
      <c r="X564" s="184" t="n">
        <f aca="false">IF(ISERROR(VLOOKUP($P462,Member_Tab,5,FALSE())),0,VLOOKUP($P462,Member_Tab,5,FALSE())*IF(AND(X$5 &gt; VLOOKUP($P462,Member_Tab,6,FALSE()),X$5 &lt; VLOOKUP($P462,Member_Tab,7,FALSE())),1,0))</f>
        <v>0</v>
      </c>
      <c r="Y564" s="184" t="n">
        <f aca="false">IF(ISERROR(VLOOKUP($P462,Member_Tab,5,FALSE())),0,VLOOKUP($P462,Member_Tab,5,FALSE())*IF(AND(Y$5 &gt; VLOOKUP($P462,Member_Tab,6,FALSE()),Y$5 &lt; VLOOKUP($P462,Member_Tab,7,FALSE())),1,0))</f>
        <v>0</v>
      </c>
      <c r="Z564" s="184" t="n">
        <f aca="false">IF(ISERROR(VLOOKUP($P462,Member_Tab,5,FALSE())),0,VLOOKUP($P462,Member_Tab,5,FALSE())*IF(AND(Z$5 &gt; VLOOKUP($P462,Member_Tab,6,FALSE()),Z$5 &lt; VLOOKUP($P462,Member_Tab,7,FALSE())),1,0))</f>
        <v>0</v>
      </c>
      <c r="AA564" s="184" t="n">
        <f aca="false">IF(ISERROR(VLOOKUP($P462,Member_Tab,5,FALSE())),0,VLOOKUP($P462,Member_Tab,5,FALSE())*IF(AND(AA$5 &gt; VLOOKUP($P462,Member_Tab,6,FALSE()),AA$5 &lt; VLOOKUP($P462,Member_Tab,7,FALSE())),1,0))</f>
        <v>0</v>
      </c>
      <c r="AB564" s="184" t="n">
        <f aca="false">IF(ISERROR(VLOOKUP($P462,Member_Tab,5,FALSE())),0,VLOOKUP($P462,Member_Tab,5,FALSE())*IF(AND(AB$5 &gt; VLOOKUP($P462,Member_Tab,6,FALSE()),AB$5 &lt; VLOOKUP($P462,Member_Tab,7,FALSE())),1,0))</f>
        <v>0</v>
      </c>
      <c r="AC564" s="184" t="n">
        <f aca="false">IF(ISERROR(VLOOKUP($P462,Member_Tab,5,FALSE())),0,VLOOKUP($P462,Member_Tab,5,FALSE())*IF(AND(AC$5 &gt; VLOOKUP($P462,Member_Tab,6,FALSE()),AC$5 &lt; VLOOKUP($P462,Member_Tab,7,FALSE())),1,0))</f>
        <v>0</v>
      </c>
      <c r="AD564" s="184" t="n">
        <f aca="false">IF(ISERROR(VLOOKUP($P462,Member_Tab,5,FALSE())),0,VLOOKUP($P462,Member_Tab,5,FALSE())*IF(AND(AD$5 &gt; VLOOKUP($P462,Member_Tab,6,FALSE()),AD$5 &lt; VLOOKUP($P462,Member_Tab,7,FALSE())),1,0))</f>
        <v>0</v>
      </c>
      <c r="AE564" s="184" t="n">
        <f aca="false">IF(ISERROR(VLOOKUP($P462,Member_Tab,5,FALSE())),0,VLOOKUP($P462,Member_Tab,5,FALSE())*IF(AND(AE$5 &gt; VLOOKUP($P462,Member_Tab,6,FALSE()),AE$5 &lt; VLOOKUP($P462,Member_Tab,7,FALSE())),1,0))</f>
        <v>0</v>
      </c>
      <c r="AF564" s="184" t="n">
        <f aca="false">IF(ISERROR(VLOOKUP($P462,Member_Tab,5,FALSE())),0,VLOOKUP($P462,Member_Tab,5,FALSE())*IF(AND(AF$5 &gt; VLOOKUP($P462,Member_Tab,6,FALSE()),AF$5 &lt; VLOOKUP($P462,Member_Tab,7,FALSE())),1,0))</f>
        <v>0</v>
      </c>
      <c r="AG564" s="184" t="n">
        <f aca="false">IF(ISERROR(VLOOKUP($P462,Member_Tab,5,FALSE())),0,VLOOKUP($P462,Member_Tab,5,FALSE())*IF(AND(AG$5 &gt; VLOOKUP($P462,Member_Tab,6,FALSE()),AG$5 &lt; VLOOKUP($P462,Member_Tab,7,FALSE())),1,0))</f>
        <v>0</v>
      </c>
      <c r="AH564" s="184" t="n">
        <f aca="false">IF(ISERROR(VLOOKUP($P462,Member_Tab,5,FALSE())),0,VLOOKUP($P462,Member_Tab,5,FALSE())*IF(AND(AH$5 &gt; VLOOKUP($P462,Member_Tab,6,FALSE()),AH$5 &lt; VLOOKUP($P462,Member_Tab,7,FALSE())),1,0))</f>
        <v>0</v>
      </c>
      <c r="AI564" s="184" t="n">
        <f aca="false">IF(ISERROR(VLOOKUP($P462,Member_Tab,5,FALSE())),0,VLOOKUP($P462,Member_Tab,5,FALSE())*IF(AND(AI$5 &gt; VLOOKUP($P462,Member_Tab,6,FALSE()),AI$5 &lt; VLOOKUP($P462,Member_Tab,7,FALSE())),1,0))</f>
        <v>0</v>
      </c>
      <c r="AJ564" s="184" t="n">
        <f aca="false">IF(ISERROR(VLOOKUP($P462,Member_Tab,5,FALSE())),0,VLOOKUP($P462,Member_Tab,5,FALSE())*IF(AND(AJ$5 &gt; VLOOKUP($P462,Member_Tab,6,FALSE()),AJ$5 &lt; VLOOKUP($P462,Member_Tab,7,FALSE())),1,0))</f>
        <v>0</v>
      </c>
      <c r="AK564" s="184" t="n">
        <f aca="false">IF(ISERROR(VLOOKUP($P462,Member_Tab,5,FALSE())),0,VLOOKUP($P462,Member_Tab,5,FALSE())*IF(AND(AK$5 &gt; VLOOKUP($P462,Member_Tab,6,FALSE()),AK$5 &lt; VLOOKUP($P462,Member_Tab,7,FALSE())),1,0))</f>
        <v>0</v>
      </c>
      <c r="AL564" s="184" t="n">
        <f aca="false">IF(ISERROR(VLOOKUP($P462,Member_Tab,5,FALSE())),0,VLOOKUP($P462,Member_Tab,5,FALSE())*IF(AND(AL$5 &gt; VLOOKUP($P462,Member_Tab,6,FALSE()),AL$5 &lt; VLOOKUP($P462,Member_Tab,7,FALSE())),1,0))</f>
        <v>0</v>
      </c>
      <c r="AM564" s="184" t="n">
        <f aca="false">IF(ISERROR(VLOOKUP($P462,Member_Tab,5,FALSE())),0,VLOOKUP($P462,Member_Tab,5,FALSE())*IF(AND(AM$5 &gt; VLOOKUP($P462,Member_Tab,6,FALSE()),AM$5 &lt; VLOOKUP($P462,Member_Tab,7,FALSE())),1,0))</f>
        <v>0</v>
      </c>
      <c r="AN564" s="184" t="n">
        <f aca="false">IF(ISERROR(VLOOKUP($P462,Member_Tab,5,FALSE())),0,VLOOKUP($P462,Member_Tab,5,FALSE())*IF(AND(AN$5 &gt; VLOOKUP($P462,Member_Tab,6,FALSE()),AN$5 &lt; VLOOKUP($P462,Member_Tab,7,FALSE())),1,0))</f>
        <v>0</v>
      </c>
      <c r="AO564" s="184" t="n">
        <f aca="false">IF(ISERROR(VLOOKUP($P462,Member_Tab,5,FALSE())),0,VLOOKUP($P462,Member_Tab,5,FALSE())*IF(AND(AO$5 &gt; VLOOKUP($P462,Member_Tab,6,FALSE()),AO$5 &lt; VLOOKUP($P462,Member_Tab,7,FALSE())),1,0))</f>
        <v>0</v>
      </c>
      <c r="AP564" s="184" t="n">
        <f aca="false">IF(ISERROR(VLOOKUP($P462,Member_Tab,5,FALSE())),0,VLOOKUP($P462,Member_Tab,5,FALSE())*IF(AND(AP$5 &gt; VLOOKUP($P462,Member_Tab,6,FALSE()),AP$5 &lt; VLOOKUP($P462,Member_Tab,7,FALSE())),1,0))</f>
        <v>0</v>
      </c>
      <c r="AQ564" s="184" t="n">
        <f aca="false">IF(ISERROR(VLOOKUP($P462,Member_Tab,5,FALSE())),0,VLOOKUP($P462,Member_Tab,5,FALSE())*IF(AND(AQ$5 &gt; VLOOKUP($P462,Member_Tab,6,FALSE()),AQ$5 &lt; VLOOKUP($P462,Member_Tab,7,FALSE())),1,0))</f>
        <v>0</v>
      </c>
      <c r="AR564" s="184" t="n">
        <f aca="false">IF(ISERROR(VLOOKUP($P462,Member_Tab,5,FALSE())),0,VLOOKUP($P462,Member_Tab,5,FALSE())*IF(AND(AR$5 &gt; VLOOKUP($P462,Member_Tab,6,FALSE()),AR$5 &lt; VLOOKUP($P462,Member_Tab,7,FALSE())),1,0))</f>
        <v>0</v>
      </c>
      <c r="AS564" s="184" t="n">
        <f aca="false">IF(ISERROR(VLOOKUP($P462,Member_Tab,5,FALSE())),0,VLOOKUP($P462,Member_Tab,5,FALSE())*IF(AND(AS$5 &gt; VLOOKUP($P462,Member_Tab,6,FALSE()),AS$5 &lt; VLOOKUP($P462,Member_Tab,7,FALSE())),1,0))</f>
        <v>0</v>
      </c>
      <c r="AT564" s="184" t="n">
        <f aca="false">IF(ISERROR(VLOOKUP($P462,Member_Tab,5,FALSE())),0,VLOOKUP($P462,Member_Tab,5,FALSE())*IF(AND(AT$5 &gt; VLOOKUP($P462,Member_Tab,6,FALSE()),AT$5 &lt; VLOOKUP($P462,Member_Tab,7,FALSE())),1,0))</f>
        <v>0</v>
      </c>
      <c r="AU564" s="184" t="n">
        <f aca="false">IF(ISERROR(VLOOKUP($P462,Member_Tab,5,FALSE())),0,VLOOKUP($P462,Member_Tab,5,FALSE())*IF(AND(AU$5 &gt; VLOOKUP($P462,Member_Tab,6,FALSE()),AU$5 &lt; VLOOKUP($P462,Member_Tab,7,FALSE())),1,0))</f>
        <v>0</v>
      </c>
      <c r="AV564" s="184" t="n">
        <f aca="false">IF(ISERROR(VLOOKUP($P462,Member_Tab,5,FALSE())),0,VLOOKUP($P462,Member_Tab,5,FALSE())*IF(AND(AV$5 &gt; VLOOKUP($P462,Member_Tab,6,FALSE()),AV$5 &lt; VLOOKUP($P462,Member_Tab,7,FALSE())),1,0))</f>
        <v>0</v>
      </c>
      <c r="AW564" s="184" t="n">
        <f aca="false">IF(ISERROR(VLOOKUP($P462,Member_Tab,5,FALSE())),0,VLOOKUP($P462,Member_Tab,5,FALSE())*IF(AND(AW$5 &gt; VLOOKUP($P462,Member_Tab,6,FALSE()),AW$5 &lt; VLOOKUP($P462,Member_Tab,7,FALSE())),1,0))</f>
        <v>0</v>
      </c>
      <c r="AX564" s="184" t="n">
        <f aca="false">IF(ISERROR(VLOOKUP($P462,Member_Tab,5,FALSE())),0,VLOOKUP($P462,Member_Tab,5,FALSE())*IF(AND(AX$5 &gt; VLOOKUP($P462,Member_Tab,6,FALSE()),AX$5 &lt; VLOOKUP($P462,Member_Tab,7,FALSE())),1,0))</f>
        <v>0</v>
      </c>
      <c r="AY564" s="184" t="n">
        <f aca="false">IF(ISERROR(VLOOKUP($P462,Member_Tab,5,FALSE())),0,VLOOKUP($P462,Member_Tab,5,FALSE())*IF(AND(AY$5 &gt; VLOOKUP($P462,Member_Tab,6,FALSE()),AY$5 &lt; VLOOKUP($P462,Member_Tab,7,FALSE())),1,0))</f>
        <v>0</v>
      </c>
      <c r="AZ564" s="184" t="n">
        <f aca="false">IF(ISERROR(VLOOKUP($P462,Member_Tab,5,FALSE())),0,VLOOKUP($P462,Member_Tab,5,FALSE())*IF(AND(AZ$5 &gt; VLOOKUP($P462,Member_Tab,6,FALSE()),AZ$5 &lt; VLOOKUP($P462,Member_Tab,7,FALSE())),1,0))</f>
        <v>0</v>
      </c>
      <c r="BA564" s="184" t="n">
        <f aca="false">IF(ISERROR(VLOOKUP($P462,Member_Tab,5,FALSE())),0,VLOOKUP($P462,Member_Tab,5,FALSE())*IF(AND(BA$5 &gt; VLOOKUP($P462,Member_Tab,6,FALSE()),BA$5 &lt; VLOOKUP($P462,Member_Tab,7,FALSE())),1,0))</f>
        <v>0</v>
      </c>
      <c r="BB564" s="184" t="n">
        <f aca="false">IF(ISERROR(VLOOKUP($P462,Member_Tab,5,FALSE())),0,VLOOKUP($P462,Member_Tab,5,FALSE())*IF(AND(BB$5 &gt; VLOOKUP($P462,Member_Tab,6,FALSE()),BB$5 &lt; VLOOKUP($P462,Member_Tab,7,FALSE())),1,0))</f>
        <v>0</v>
      </c>
    </row>
    <row r="565" s="173" customFormat="true" ht="15.75" hidden="true" customHeight="false" outlineLevel="1" collapsed="false">
      <c r="E565" s="40"/>
      <c r="K565" s="40"/>
      <c r="L565" s="40"/>
      <c r="M565" s="40"/>
      <c r="N565" s="40"/>
      <c r="P565" s="183" t="n">
        <f aca="false">P463</f>
        <v>0</v>
      </c>
      <c r="Q565" s="40"/>
      <c r="R565" s="182"/>
      <c r="S565" s="184" t="n">
        <f aca="false">IF(ISERROR(VLOOKUP($P463,Member_Tab,5,FALSE())),0,VLOOKUP($P463,Member_Tab,5,FALSE())*IF(AND(S$5 &gt; VLOOKUP($P463,Member_Tab,6,FALSE()),S$5 &lt; VLOOKUP($P463,Member_Tab,7,FALSE())),1,0))</f>
        <v>0</v>
      </c>
      <c r="T565" s="184" t="n">
        <f aca="false">IF(ISERROR(VLOOKUP($P463,Member_Tab,5,FALSE())),0,VLOOKUP($P463,Member_Tab,5,FALSE())*IF(AND(T$5 &gt; VLOOKUP($P463,Member_Tab,6,FALSE()),T$5 &lt; VLOOKUP($P463,Member_Tab,7,FALSE())),1,0))</f>
        <v>0</v>
      </c>
      <c r="U565" s="184" t="n">
        <f aca="false">IF(ISERROR(VLOOKUP($P463,Member_Tab,5,FALSE())),0,VLOOKUP($P463,Member_Tab,5,FALSE())*IF(AND(U$5 &gt; VLOOKUP($P463,Member_Tab,6,FALSE()),U$5 &lt; VLOOKUP($P463,Member_Tab,7,FALSE())),1,0))</f>
        <v>0</v>
      </c>
      <c r="V565" s="184" t="n">
        <f aca="false">IF(ISERROR(VLOOKUP($P463,Member_Tab,5,FALSE())),0,VLOOKUP($P463,Member_Tab,5,FALSE())*IF(AND(V$5 &gt; VLOOKUP($P463,Member_Tab,6,FALSE()),V$5 &lt; VLOOKUP($P463,Member_Tab,7,FALSE())),1,0))</f>
        <v>0</v>
      </c>
      <c r="W565" s="184" t="n">
        <f aca="false">IF(ISERROR(VLOOKUP($P463,Member_Tab,5,FALSE())),0,VLOOKUP($P463,Member_Tab,5,FALSE())*IF(AND(W$5 &gt; VLOOKUP($P463,Member_Tab,6,FALSE()),W$5 &lt; VLOOKUP($P463,Member_Tab,7,FALSE())),1,0))</f>
        <v>0</v>
      </c>
      <c r="X565" s="184" t="n">
        <f aca="false">IF(ISERROR(VLOOKUP($P463,Member_Tab,5,FALSE())),0,VLOOKUP($P463,Member_Tab,5,FALSE())*IF(AND(X$5 &gt; VLOOKUP($P463,Member_Tab,6,FALSE()),X$5 &lt; VLOOKUP($P463,Member_Tab,7,FALSE())),1,0))</f>
        <v>0</v>
      </c>
      <c r="Y565" s="184" t="n">
        <f aca="false">IF(ISERROR(VLOOKUP($P463,Member_Tab,5,FALSE())),0,VLOOKUP($P463,Member_Tab,5,FALSE())*IF(AND(Y$5 &gt; VLOOKUP($P463,Member_Tab,6,FALSE()),Y$5 &lt; VLOOKUP($P463,Member_Tab,7,FALSE())),1,0))</f>
        <v>0</v>
      </c>
      <c r="Z565" s="184" t="n">
        <f aca="false">IF(ISERROR(VLOOKUP($P463,Member_Tab,5,FALSE())),0,VLOOKUP($P463,Member_Tab,5,FALSE())*IF(AND(Z$5 &gt; VLOOKUP($P463,Member_Tab,6,FALSE()),Z$5 &lt; VLOOKUP($P463,Member_Tab,7,FALSE())),1,0))</f>
        <v>0</v>
      </c>
      <c r="AA565" s="184" t="n">
        <f aca="false">IF(ISERROR(VLOOKUP($P463,Member_Tab,5,FALSE())),0,VLOOKUP($P463,Member_Tab,5,FALSE())*IF(AND(AA$5 &gt; VLOOKUP($P463,Member_Tab,6,FALSE()),AA$5 &lt; VLOOKUP($P463,Member_Tab,7,FALSE())),1,0))</f>
        <v>0</v>
      </c>
      <c r="AB565" s="184" t="n">
        <f aca="false">IF(ISERROR(VLOOKUP($P463,Member_Tab,5,FALSE())),0,VLOOKUP($P463,Member_Tab,5,FALSE())*IF(AND(AB$5 &gt; VLOOKUP($P463,Member_Tab,6,FALSE()),AB$5 &lt; VLOOKUP($P463,Member_Tab,7,FALSE())),1,0))</f>
        <v>0</v>
      </c>
      <c r="AC565" s="184" t="n">
        <f aca="false">IF(ISERROR(VLOOKUP($P463,Member_Tab,5,FALSE())),0,VLOOKUP($P463,Member_Tab,5,FALSE())*IF(AND(AC$5 &gt; VLOOKUP($P463,Member_Tab,6,FALSE()),AC$5 &lt; VLOOKUP($P463,Member_Tab,7,FALSE())),1,0))</f>
        <v>0</v>
      </c>
      <c r="AD565" s="184" t="n">
        <f aca="false">IF(ISERROR(VLOOKUP($P463,Member_Tab,5,FALSE())),0,VLOOKUP($P463,Member_Tab,5,FALSE())*IF(AND(AD$5 &gt; VLOOKUP($P463,Member_Tab,6,FALSE()),AD$5 &lt; VLOOKUP($P463,Member_Tab,7,FALSE())),1,0))</f>
        <v>0</v>
      </c>
      <c r="AE565" s="184" t="n">
        <f aca="false">IF(ISERROR(VLOOKUP($P463,Member_Tab,5,FALSE())),0,VLOOKUP($P463,Member_Tab,5,FALSE())*IF(AND(AE$5 &gt; VLOOKUP($P463,Member_Tab,6,FALSE()),AE$5 &lt; VLOOKUP($P463,Member_Tab,7,FALSE())),1,0))</f>
        <v>0</v>
      </c>
      <c r="AF565" s="184" t="n">
        <f aca="false">IF(ISERROR(VLOOKUP($P463,Member_Tab,5,FALSE())),0,VLOOKUP($P463,Member_Tab,5,FALSE())*IF(AND(AF$5 &gt; VLOOKUP($P463,Member_Tab,6,FALSE()),AF$5 &lt; VLOOKUP($P463,Member_Tab,7,FALSE())),1,0))</f>
        <v>0</v>
      </c>
      <c r="AG565" s="184" t="n">
        <f aca="false">IF(ISERROR(VLOOKUP($P463,Member_Tab,5,FALSE())),0,VLOOKUP($P463,Member_Tab,5,FALSE())*IF(AND(AG$5 &gt; VLOOKUP($P463,Member_Tab,6,FALSE()),AG$5 &lt; VLOOKUP($P463,Member_Tab,7,FALSE())),1,0))</f>
        <v>0</v>
      </c>
      <c r="AH565" s="184" t="n">
        <f aca="false">IF(ISERROR(VLOOKUP($P463,Member_Tab,5,FALSE())),0,VLOOKUP($P463,Member_Tab,5,FALSE())*IF(AND(AH$5 &gt; VLOOKUP($P463,Member_Tab,6,FALSE()),AH$5 &lt; VLOOKUP($P463,Member_Tab,7,FALSE())),1,0))</f>
        <v>0</v>
      </c>
      <c r="AI565" s="184" t="n">
        <f aca="false">IF(ISERROR(VLOOKUP($P463,Member_Tab,5,FALSE())),0,VLOOKUP($P463,Member_Tab,5,FALSE())*IF(AND(AI$5 &gt; VLOOKUP($P463,Member_Tab,6,FALSE()),AI$5 &lt; VLOOKUP($P463,Member_Tab,7,FALSE())),1,0))</f>
        <v>0</v>
      </c>
      <c r="AJ565" s="184" t="n">
        <f aca="false">IF(ISERROR(VLOOKUP($P463,Member_Tab,5,FALSE())),0,VLOOKUP($P463,Member_Tab,5,FALSE())*IF(AND(AJ$5 &gt; VLOOKUP($P463,Member_Tab,6,FALSE()),AJ$5 &lt; VLOOKUP($P463,Member_Tab,7,FALSE())),1,0))</f>
        <v>0</v>
      </c>
      <c r="AK565" s="184" t="n">
        <f aca="false">IF(ISERROR(VLOOKUP($P463,Member_Tab,5,FALSE())),0,VLOOKUP($P463,Member_Tab,5,FALSE())*IF(AND(AK$5 &gt; VLOOKUP($P463,Member_Tab,6,FALSE()),AK$5 &lt; VLOOKUP($P463,Member_Tab,7,FALSE())),1,0))</f>
        <v>0</v>
      </c>
      <c r="AL565" s="184" t="n">
        <f aca="false">IF(ISERROR(VLOOKUP($P463,Member_Tab,5,FALSE())),0,VLOOKUP($P463,Member_Tab,5,FALSE())*IF(AND(AL$5 &gt; VLOOKUP($P463,Member_Tab,6,FALSE()),AL$5 &lt; VLOOKUP($P463,Member_Tab,7,FALSE())),1,0))</f>
        <v>0</v>
      </c>
      <c r="AM565" s="184" t="n">
        <f aca="false">IF(ISERROR(VLOOKUP($P463,Member_Tab,5,FALSE())),0,VLOOKUP($P463,Member_Tab,5,FALSE())*IF(AND(AM$5 &gt; VLOOKUP($P463,Member_Tab,6,FALSE()),AM$5 &lt; VLOOKUP($P463,Member_Tab,7,FALSE())),1,0))</f>
        <v>0</v>
      </c>
      <c r="AN565" s="184" t="n">
        <f aca="false">IF(ISERROR(VLOOKUP($P463,Member_Tab,5,FALSE())),0,VLOOKUP($P463,Member_Tab,5,FALSE())*IF(AND(AN$5 &gt; VLOOKUP($P463,Member_Tab,6,FALSE()),AN$5 &lt; VLOOKUP($P463,Member_Tab,7,FALSE())),1,0))</f>
        <v>0</v>
      </c>
      <c r="AO565" s="184" t="n">
        <f aca="false">IF(ISERROR(VLOOKUP($P463,Member_Tab,5,FALSE())),0,VLOOKUP($P463,Member_Tab,5,FALSE())*IF(AND(AO$5 &gt; VLOOKUP($P463,Member_Tab,6,FALSE()),AO$5 &lt; VLOOKUP($P463,Member_Tab,7,FALSE())),1,0))</f>
        <v>0</v>
      </c>
      <c r="AP565" s="184" t="n">
        <f aca="false">IF(ISERROR(VLOOKUP($P463,Member_Tab,5,FALSE())),0,VLOOKUP($P463,Member_Tab,5,FALSE())*IF(AND(AP$5 &gt; VLOOKUP($P463,Member_Tab,6,FALSE()),AP$5 &lt; VLOOKUP($P463,Member_Tab,7,FALSE())),1,0))</f>
        <v>0</v>
      </c>
      <c r="AQ565" s="184" t="n">
        <f aca="false">IF(ISERROR(VLOOKUP($P463,Member_Tab,5,FALSE())),0,VLOOKUP($P463,Member_Tab,5,FALSE())*IF(AND(AQ$5 &gt; VLOOKUP($P463,Member_Tab,6,FALSE()),AQ$5 &lt; VLOOKUP($P463,Member_Tab,7,FALSE())),1,0))</f>
        <v>0</v>
      </c>
      <c r="AR565" s="184" t="n">
        <f aca="false">IF(ISERROR(VLOOKUP($P463,Member_Tab,5,FALSE())),0,VLOOKUP($P463,Member_Tab,5,FALSE())*IF(AND(AR$5 &gt; VLOOKUP($P463,Member_Tab,6,FALSE()),AR$5 &lt; VLOOKUP($P463,Member_Tab,7,FALSE())),1,0))</f>
        <v>0</v>
      </c>
      <c r="AS565" s="184" t="n">
        <f aca="false">IF(ISERROR(VLOOKUP($P463,Member_Tab,5,FALSE())),0,VLOOKUP($P463,Member_Tab,5,FALSE())*IF(AND(AS$5 &gt; VLOOKUP($P463,Member_Tab,6,FALSE()),AS$5 &lt; VLOOKUP($P463,Member_Tab,7,FALSE())),1,0))</f>
        <v>0</v>
      </c>
      <c r="AT565" s="184" t="n">
        <f aca="false">IF(ISERROR(VLOOKUP($P463,Member_Tab,5,FALSE())),0,VLOOKUP($P463,Member_Tab,5,FALSE())*IF(AND(AT$5 &gt; VLOOKUP($P463,Member_Tab,6,FALSE()),AT$5 &lt; VLOOKUP($P463,Member_Tab,7,FALSE())),1,0))</f>
        <v>0</v>
      </c>
      <c r="AU565" s="184" t="n">
        <f aca="false">IF(ISERROR(VLOOKUP($P463,Member_Tab,5,FALSE())),0,VLOOKUP($P463,Member_Tab,5,FALSE())*IF(AND(AU$5 &gt; VLOOKUP($P463,Member_Tab,6,FALSE()),AU$5 &lt; VLOOKUP($P463,Member_Tab,7,FALSE())),1,0))</f>
        <v>0</v>
      </c>
      <c r="AV565" s="184" t="n">
        <f aca="false">IF(ISERROR(VLOOKUP($P463,Member_Tab,5,FALSE())),0,VLOOKUP($P463,Member_Tab,5,FALSE())*IF(AND(AV$5 &gt; VLOOKUP($P463,Member_Tab,6,FALSE()),AV$5 &lt; VLOOKUP($P463,Member_Tab,7,FALSE())),1,0))</f>
        <v>0</v>
      </c>
      <c r="AW565" s="184" t="n">
        <f aca="false">IF(ISERROR(VLOOKUP($P463,Member_Tab,5,FALSE())),0,VLOOKUP($P463,Member_Tab,5,FALSE())*IF(AND(AW$5 &gt; VLOOKUP($P463,Member_Tab,6,FALSE()),AW$5 &lt; VLOOKUP($P463,Member_Tab,7,FALSE())),1,0))</f>
        <v>0</v>
      </c>
      <c r="AX565" s="184" t="n">
        <f aca="false">IF(ISERROR(VLOOKUP($P463,Member_Tab,5,FALSE())),0,VLOOKUP($P463,Member_Tab,5,FALSE())*IF(AND(AX$5 &gt; VLOOKUP($P463,Member_Tab,6,FALSE()),AX$5 &lt; VLOOKUP($P463,Member_Tab,7,FALSE())),1,0))</f>
        <v>0</v>
      </c>
      <c r="AY565" s="184" t="n">
        <f aca="false">IF(ISERROR(VLOOKUP($P463,Member_Tab,5,FALSE())),0,VLOOKUP($P463,Member_Tab,5,FALSE())*IF(AND(AY$5 &gt; VLOOKUP($P463,Member_Tab,6,FALSE()),AY$5 &lt; VLOOKUP($P463,Member_Tab,7,FALSE())),1,0))</f>
        <v>0</v>
      </c>
      <c r="AZ565" s="184" t="n">
        <f aca="false">IF(ISERROR(VLOOKUP($P463,Member_Tab,5,FALSE())),0,VLOOKUP($P463,Member_Tab,5,FALSE())*IF(AND(AZ$5 &gt; VLOOKUP($P463,Member_Tab,6,FALSE()),AZ$5 &lt; VLOOKUP($P463,Member_Tab,7,FALSE())),1,0))</f>
        <v>0</v>
      </c>
      <c r="BA565" s="184" t="n">
        <f aca="false">IF(ISERROR(VLOOKUP($P463,Member_Tab,5,FALSE())),0,VLOOKUP($P463,Member_Tab,5,FALSE())*IF(AND(BA$5 &gt; VLOOKUP($P463,Member_Tab,6,FALSE()),BA$5 &lt; VLOOKUP($P463,Member_Tab,7,FALSE())),1,0))</f>
        <v>0</v>
      </c>
      <c r="BB565" s="184" t="n">
        <f aca="false">IF(ISERROR(VLOOKUP($P463,Member_Tab,5,FALSE())),0,VLOOKUP($P463,Member_Tab,5,FALSE())*IF(AND(BB$5 &gt; VLOOKUP($P463,Member_Tab,6,FALSE()),BB$5 &lt; VLOOKUP($P463,Member_Tab,7,FALSE())),1,0))</f>
        <v>0</v>
      </c>
    </row>
    <row r="566" s="173" customFormat="true" ht="15.75" hidden="true" customHeight="false" outlineLevel="1" collapsed="false">
      <c r="E566" s="40"/>
      <c r="K566" s="40"/>
      <c r="L566" s="40"/>
      <c r="M566" s="40"/>
      <c r="N566" s="40"/>
      <c r="P566" s="183" t="n">
        <f aca="false">P464</f>
        <v>0</v>
      </c>
      <c r="Q566" s="40"/>
      <c r="R566" s="182"/>
      <c r="S566" s="184" t="n">
        <f aca="false">IF(ISERROR(VLOOKUP($P464,Member_Tab,5,FALSE())),0,VLOOKUP($P464,Member_Tab,5,FALSE())*IF(AND(S$5 &gt; VLOOKUP($P464,Member_Tab,6,FALSE()),S$5 &lt; VLOOKUP($P464,Member_Tab,7,FALSE())),1,0))</f>
        <v>0</v>
      </c>
      <c r="T566" s="184" t="n">
        <f aca="false">IF(ISERROR(VLOOKUP($P464,Member_Tab,5,FALSE())),0,VLOOKUP($P464,Member_Tab,5,FALSE())*IF(AND(T$5 &gt; VLOOKUP($P464,Member_Tab,6,FALSE()),T$5 &lt; VLOOKUP($P464,Member_Tab,7,FALSE())),1,0))</f>
        <v>0</v>
      </c>
      <c r="U566" s="184" t="n">
        <f aca="false">IF(ISERROR(VLOOKUP($P464,Member_Tab,5,FALSE())),0,VLOOKUP($P464,Member_Tab,5,FALSE())*IF(AND(U$5 &gt; VLOOKUP($P464,Member_Tab,6,FALSE()),U$5 &lt; VLOOKUP($P464,Member_Tab,7,FALSE())),1,0))</f>
        <v>0</v>
      </c>
      <c r="V566" s="184" t="n">
        <f aca="false">IF(ISERROR(VLOOKUP($P464,Member_Tab,5,FALSE())),0,VLOOKUP($P464,Member_Tab,5,FALSE())*IF(AND(V$5 &gt; VLOOKUP($P464,Member_Tab,6,FALSE()),V$5 &lt; VLOOKUP($P464,Member_Tab,7,FALSE())),1,0))</f>
        <v>0</v>
      </c>
      <c r="W566" s="184" t="n">
        <f aca="false">IF(ISERROR(VLOOKUP($P464,Member_Tab,5,FALSE())),0,VLOOKUP($P464,Member_Tab,5,FALSE())*IF(AND(W$5 &gt; VLOOKUP($P464,Member_Tab,6,FALSE()),W$5 &lt; VLOOKUP($P464,Member_Tab,7,FALSE())),1,0))</f>
        <v>0</v>
      </c>
      <c r="X566" s="184" t="n">
        <f aca="false">IF(ISERROR(VLOOKUP($P464,Member_Tab,5,FALSE())),0,VLOOKUP($P464,Member_Tab,5,FALSE())*IF(AND(X$5 &gt; VLOOKUP($P464,Member_Tab,6,FALSE()),X$5 &lt; VLOOKUP($P464,Member_Tab,7,FALSE())),1,0))</f>
        <v>0</v>
      </c>
      <c r="Y566" s="184" t="n">
        <f aca="false">IF(ISERROR(VLOOKUP($P464,Member_Tab,5,FALSE())),0,VLOOKUP($P464,Member_Tab,5,FALSE())*IF(AND(Y$5 &gt; VLOOKUP($P464,Member_Tab,6,FALSE()),Y$5 &lt; VLOOKUP($P464,Member_Tab,7,FALSE())),1,0))</f>
        <v>0</v>
      </c>
      <c r="Z566" s="184" t="n">
        <f aca="false">IF(ISERROR(VLOOKUP($P464,Member_Tab,5,FALSE())),0,VLOOKUP($P464,Member_Tab,5,FALSE())*IF(AND(Z$5 &gt; VLOOKUP($P464,Member_Tab,6,FALSE()),Z$5 &lt; VLOOKUP($P464,Member_Tab,7,FALSE())),1,0))</f>
        <v>0</v>
      </c>
      <c r="AA566" s="184" t="n">
        <f aca="false">IF(ISERROR(VLOOKUP($P464,Member_Tab,5,FALSE())),0,VLOOKUP($P464,Member_Tab,5,FALSE())*IF(AND(AA$5 &gt; VLOOKUP($P464,Member_Tab,6,FALSE()),AA$5 &lt; VLOOKUP($P464,Member_Tab,7,FALSE())),1,0))</f>
        <v>0</v>
      </c>
      <c r="AB566" s="184" t="n">
        <f aca="false">IF(ISERROR(VLOOKUP($P464,Member_Tab,5,FALSE())),0,VLOOKUP($P464,Member_Tab,5,FALSE())*IF(AND(AB$5 &gt; VLOOKUP($P464,Member_Tab,6,FALSE()),AB$5 &lt; VLOOKUP($P464,Member_Tab,7,FALSE())),1,0))</f>
        <v>0</v>
      </c>
      <c r="AC566" s="184" t="n">
        <f aca="false">IF(ISERROR(VLOOKUP($P464,Member_Tab,5,FALSE())),0,VLOOKUP($P464,Member_Tab,5,FALSE())*IF(AND(AC$5 &gt; VLOOKUP($P464,Member_Tab,6,FALSE()),AC$5 &lt; VLOOKUP($P464,Member_Tab,7,FALSE())),1,0))</f>
        <v>0</v>
      </c>
      <c r="AD566" s="184" t="n">
        <f aca="false">IF(ISERROR(VLOOKUP($P464,Member_Tab,5,FALSE())),0,VLOOKUP($P464,Member_Tab,5,FALSE())*IF(AND(AD$5 &gt; VLOOKUP($P464,Member_Tab,6,FALSE()),AD$5 &lt; VLOOKUP($P464,Member_Tab,7,FALSE())),1,0))</f>
        <v>0</v>
      </c>
      <c r="AE566" s="184" t="n">
        <f aca="false">IF(ISERROR(VLOOKUP($P464,Member_Tab,5,FALSE())),0,VLOOKUP($P464,Member_Tab,5,FALSE())*IF(AND(AE$5 &gt; VLOOKUP($P464,Member_Tab,6,FALSE()),AE$5 &lt; VLOOKUP($P464,Member_Tab,7,FALSE())),1,0))</f>
        <v>0</v>
      </c>
      <c r="AF566" s="184" t="n">
        <f aca="false">IF(ISERROR(VLOOKUP($P464,Member_Tab,5,FALSE())),0,VLOOKUP($P464,Member_Tab,5,FALSE())*IF(AND(AF$5 &gt; VLOOKUP($P464,Member_Tab,6,FALSE()),AF$5 &lt; VLOOKUP($P464,Member_Tab,7,FALSE())),1,0))</f>
        <v>0</v>
      </c>
      <c r="AG566" s="184" t="n">
        <f aca="false">IF(ISERROR(VLOOKUP($P464,Member_Tab,5,FALSE())),0,VLOOKUP($P464,Member_Tab,5,FALSE())*IF(AND(AG$5 &gt; VLOOKUP($P464,Member_Tab,6,FALSE()),AG$5 &lt; VLOOKUP($P464,Member_Tab,7,FALSE())),1,0))</f>
        <v>0</v>
      </c>
      <c r="AH566" s="184" t="n">
        <f aca="false">IF(ISERROR(VLOOKUP($P464,Member_Tab,5,FALSE())),0,VLOOKUP($P464,Member_Tab,5,FALSE())*IF(AND(AH$5 &gt; VLOOKUP($P464,Member_Tab,6,FALSE()),AH$5 &lt; VLOOKUP($P464,Member_Tab,7,FALSE())),1,0))</f>
        <v>0</v>
      </c>
      <c r="AI566" s="184" t="n">
        <f aca="false">IF(ISERROR(VLOOKUP($P464,Member_Tab,5,FALSE())),0,VLOOKUP($P464,Member_Tab,5,FALSE())*IF(AND(AI$5 &gt; VLOOKUP($P464,Member_Tab,6,FALSE()),AI$5 &lt; VLOOKUP($P464,Member_Tab,7,FALSE())),1,0))</f>
        <v>0</v>
      </c>
      <c r="AJ566" s="184" t="n">
        <f aca="false">IF(ISERROR(VLOOKUP($P464,Member_Tab,5,FALSE())),0,VLOOKUP($P464,Member_Tab,5,FALSE())*IF(AND(AJ$5 &gt; VLOOKUP($P464,Member_Tab,6,FALSE()),AJ$5 &lt; VLOOKUP($P464,Member_Tab,7,FALSE())),1,0))</f>
        <v>0</v>
      </c>
      <c r="AK566" s="184" t="n">
        <f aca="false">IF(ISERROR(VLOOKUP($P464,Member_Tab,5,FALSE())),0,VLOOKUP($P464,Member_Tab,5,FALSE())*IF(AND(AK$5 &gt; VLOOKUP($P464,Member_Tab,6,FALSE()),AK$5 &lt; VLOOKUP($P464,Member_Tab,7,FALSE())),1,0))</f>
        <v>0</v>
      </c>
      <c r="AL566" s="184" t="n">
        <f aca="false">IF(ISERROR(VLOOKUP($P464,Member_Tab,5,FALSE())),0,VLOOKUP($P464,Member_Tab,5,FALSE())*IF(AND(AL$5 &gt; VLOOKUP($P464,Member_Tab,6,FALSE()),AL$5 &lt; VLOOKUP($P464,Member_Tab,7,FALSE())),1,0))</f>
        <v>0</v>
      </c>
      <c r="AM566" s="184" t="n">
        <f aca="false">IF(ISERROR(VLOOKUP($P464,Member_Tab,5,FALSE())),0,VLOOKUP($P464,Member_Tab,5,FALSE())*IF(AND(AM$5 &gt; VLOOKUP($P464,Member_Tab,6,FALSE()),AM$5 &lt; VLOOKUP($P464,Member_Tab,7,FALSE())),1,0))</f>
        <v>0</v>
      </c>
      <c r="AN566" s="184" t="n">
        <f aca="false">IF(ISERROR(VLOOKUP($P464,Member_Tab,5,FALSE())),0,VLOOKUP($P464,Member_Tab,5,FALSE())*IF(AND(AN$5 &gt; VLOOKUP($P464,Member_Tab,6,FALSE()),AN$5 &lt; VLOOKUP($P464,Member_Tab,7,FALSE())),1,0))</f>
        <v>0</v>
      </c>
      <c r="AO566" s="184" t="n">
        <f aca="false">IF(ISERROR(VLOOKUP($P464,Member_Tab,5,FALSE())),0,VLOOKUP($P464,Member_Tab,5,FALSE())*IF(AND(AO$5 &gt; VLOOKUP($P464,Member_Tab,6,FALSE()),AO$5 &lt; VLOOKUP($P464,Member_Tab,7,FALSE())),1,0))</f>
        <v>0</v>
      </c>
      <c r="AP566" s="184" t="n">
        <f aca="false">IF(ISERROR(VLOOKUP($P464,Member_Tab,5,FALSE())),0,VLOOKUP($P464,Member_Tab,5,FALSE())*IF(AND(AP$5 &gt; VLOOKUP($P464,Member_Tab,6,FALSE()),AP$5 &lt; VLOOKUP($P464,Member_Tab,7,FALSE())),1,0))</f>
        <v>0</v>
      </c>
      <c r="AQ566" s="184" t="n">
        <f aca="false">IF(ISERROR(VLOOKUP($P464,Member_Tab,5,FALSE())),0,VLOOKUP($P464,Member_Tab,5,FALSE())*IF(AND(AQ$5 &gt; VLOOKUP($P464,Member_Tab,6,FALSE()),AQ$5 &lt; VLOOKUP($P464,Member_Tab,7,FALSE())),1,0))</f>
        <v>0</v>
      </c>
      <c r="AR566" s="184" t="n">
        <f aca="false">IF(ISERROR(VLOOKUP($P464,Member_Tab,5,FALSE())),0,VLOOKUP($P464,Member_Tab,5,FALSE())*IF(AND(AR$5 &gt; VLOOKUP($P464,Member_Tab,6,FALSE()),AR$5 &lt; VLOOKUP($P464,Member_Tab,7,FALSE())),1,0))</f>
        <v>0</v>
      </c>
      <c r="AS566" s="184" t="n">
        <f aca="false">IF(ISERROR(VLOOKUP($P464,Member_Tab,5,FALSE())),0,VLOOKUP($P464,Member_Tab,5,FALSE())*IF(AND(AS$5 &gt; VLOOKUP($P464,Member_Tab,6,FALSE()),AS$5 &lt; VLOOKUP($P464,Member_Tab,7,FALSE())),1,0))</f>
        <v>0</v>
      </c>
      <c r="AT566" s="184" t="n">
        <f aca="false">IF(ISERROR(VLOOKUP($P464,Member_Tab,5,FALSE())),0,VLOOKUP($P464,Member_Tab,5,FALSE())*IF(AND(AT$5 &gt; VLOOKUP($P464,Member_Tab,6,FALSE()),AT$5 &lt; VLOOKUP($P464,Member_Tab,7,FALSE())),1,0))</f>
        <v>0</v>
      </c>
      <c r="AU566" s="184" t="n">
        <f aca="false">IF(ISERROR(VLOOKUP($P464,Member_Tab,5,FALSE())),0,VLOOKUP($P464,Member_Tab,5,FALSE())*IF(AND(AU$5 &gt; VLOOKUP($P464,Member_Tab,6,FALSE()),AU$5 &lt; VLOOKUP($P464,Member_Tab,7,FALSE())),1,0))</f>
        <v>0</v>
      </c>
      <c r="AV566" s="184" t="n">
        <f aca="false">IF(ISERROR(VLOOKUP($P464,Member_Tab,5,FALSE())),0,VLOOKUP($P464,Member_Tab,5,FALSE())*IF(AND(AV$5 &gt; VLOOKUP($P464,Member_Tab,6,FALSE()),AV$5 &lt; VLOOKUP($P464,Member_Tab,7,FALSE())),1,0))</f>
        <v>0</v>
      </c>
      <c r="AW566" s="184" t="n">
        <f aca="false">IF(ISERROR(VLOOKUP($P464,Member_Tab,5,FALSE())),0,VLOOKUP($P464,Member_Tab,5,FALSE())*IF(AND(AW$5 &gt; VLOOKUP($P464,Member_Tab,6,FALSE()),AW$5 &lt; VLOOKUP($P464,Member_Tab,7,FALSE())),1,0))</f>
        <v>0</v>
      </c>
      <c r="AX566" s="184" t="n">
        <f aca="false">IF(ISERROR(VLOOKUP($P464,Member_Tab,5,FALSE())),0,VLOOKUP($P464,Member_Tab,5,FALSE())*IF(AND(AX$5 &gt; VLOOKUP($P464,Member_Tab,6,FALSE()),AX$5 &lt; VLOOKUP($P464,Member_Tab,7,FALSE())),1,0))</f>
        <v>0</v>
      </c>
      <c r="AY566" s="184" t="n">
        <f aca="false">IF(ISERROR(VLOOKUP($P464,Member_Tab,5,FALSE())),0,VLOOKUP($P464,Member_Tab,5,FALSE())*IF(AND(AY$5 &gt; VLOOKUP($P464,Member_Tab,6,FALSE()),AY$5 &lt; VLOOKUP($P464,Member_Tab,7,FALSE())),1,0))</f>
        <v>0</v>
      </c>
      <c r="AZ566" s="184" t="n">
        <f aca="false">IF(ISERROR(VLOOKUP($P464,Member_Tab,5,FALSE())),0,VLOOKUP($P464,Member_Tab,5,FALSE())*IF(AND(AZ$5 &gt; VLOOKUP($P464,Member_Tab,6,FALSE()),AZ$5 &lt; VLOOKUP($P464,Member_Tab,7,FALSE())),1,0))</f>
        <v>0</v>
      </c>
      <c r="BA566" s="184" t="n">
        <f aca="false">IF(ISERROR(VLOOKUP($P464,Member_Tab,5,FALSE())),0,VLOOKUP($P464,Member_Tab,5,FALSE())*IF(AND(BA$5 &gt; VLOOKUP($P464,Member_Tab,6,FALSE()),BA$5 &lt; VLOOKUP($P464,Member_Tab,7,FALSE())),1,0))</f>
        <v>0</v>
      </c>
      <c r="BB566" s="184" t="n">
        <f aca="false">IF(ISERROR(VLOOKUP($P464,Member_Tab,5,FALSE())),0,VLOOKUP($P464,Member_Tab,5,FALSE())*IF(AND(BB$5 &gt; VLOOKUP($P464,Member_Tab,6,FALSE()),BB$5 &lt; VLOOKUP($P464,Member_Tab,7,FALSE())),1,0))</f>
        <v>0</v>
      </c>
    </row>
    <row r="567" s="173" customFormat="true" ht="15.75" hidden="true" customHeight="false" outlineLevel="1" collapsed="false">
      <c r="E567" s="40"/>
      <c r="K567" s="40"/>
      <c r="L567" s="40"/>
      <c r="M567" s="40"/>
      <c r="N567" s="40"/>
      <c r="P567" s="183" t="n">
        <f aca="false">P465</f>
        <v>0</v>
      </c>
      <c r="Q567" s="40"/>
      <c r="R567" s="182"/>
      <c r="S567" s="184" t="n">
        <f aca="false">IF(ISERROR(VLOOKUP($P465,Member_Tab,5,FALSE())),0,VLOOKUP($P465,Member_Tab,5,FALSE())*IF(AND(S$5 &gt; VLOOKUP($P465,Member_Tab,6,FALSE()),S$5 &lt; VLOOKUP($P465,Member_Tab,7,FALSE())),1,0))</f>
        <v>0</v>
      </c>
      <c r="T567" s="184" t="n">
        <f aca="false">IF(ISERROR(VLOOKUP($P465,Member_Tab,5,FALSE())),0,VLOOKUP($P465,Member_Tab,5,FALSE())*IF(AND(T$5 &gt; VLOOKUP($P465,Member_Tab,6,FALSE()),T$5 &lt; VLOOKUP($P465,Member_Tab,7,FALSE())),1,0))</f>
        <v>0</v>
      </c>
      <c r="U567" s="184" t="n">
        <f aca="false">IF(ISERROR(VLOOKUP($P465,Member_Tab,5,FALSE())),0,VLOOKUP($P465,Member_Tab,5,FALSE())*IF(AND(U$5 &gt; VLOOKUP($P465,Member_Tab,6,FALSE()),U$5 &lt; VLOOKUP($P465,Member_Tab,7,FALSE())),1,0))</f>
        <v>0</v>
      </c>
      <c r="V567" s="184" t="n">
        <f aca="false">IF(ISERROR(VLOOKUP($P465,Member_Tab,5,FALSE())),0,VLOOKUP($P465,Member_Tab,5,FALSE())*IF(AND(V$5 &gt; VLOOKUP($P465,Member_Tab,6,FALSE()),V$5 &lt; VLOOKUP($P465,Member_Tab,7,FALSE())),1,0))</f>
        <v>0</v>
      </c>
      <c r="W567" s="184" t="n">
        <f aca="false">IF(ISERROR(VLOOKUP($P465,Member_Tab,5,FALSE())),0,VLOOKUP($P465,Member_Tab,5,FALSE())*IF(AND(W$5 &gt; VLOOKUP($P465,Member_Tab,6,FALSE()),W$5 &lt; VLOOKUP($P465,Member_Tab,7,FALSE())),1,0))</f>
        <v>0</v>
      </c>
      <c r="X567" s="184" t="n">
        <f aca="false">IF(ISERROR(VLOOKUP($P465,Member_Tab,5,FALSE())),0,VLOOKUP($P465,Member_Tab,5,FALSE())*IF(AND(X$5 &gt; VLOOKUP($P465,Member_Tab,6,FALSE()),X$5 &lt; VLOOKUP($P465,Member_Tab,7,FALSE())),1,0))</f>
        <v>0</v>
      </c>
      <c r="Y567" s="184" t="n">
        <f aca="false">IF(ISERROR(VLOOKUP($P465,Member_Tab,5,FALSE())),0,VLOOKUP($P465,Member_Tab,5,FALSE())*IF(AND(Y$5 &gt; VLOOKUP($P465,Member_Tab,6,FALSE()),Y$5 &lt; VLOOKUP($P465,Member_Tab,7,FALSE())),1,0))</f>
        <v>0</v>
      </c>
      <c r="Z567" s="184" t="n">
        <f aca="false">IF(ISERROR(VLOOKUP($P465,Member_Tab,5,FALSE())),0,VLOOKUP($P465,Member_Tab,5,FALSE())*IF(AND(Z$5 &gt; VLOOKUP($P465,Member_Tab,6,FALSE()),Z$5 &lt; VLOOKUP($P465,Member_Tab,7,FALSE())),1,0))</f>
        <v>0</v>
      </c>
      <c r="AA567" s="184" t="n">
        <f aca="false">IF(ISERROR(VLOOKUP($P465,Member_Tab,5,FALSE())),0,VLOOKUP($P465,Member_Tab,5,FALSE())*IF(AND(AA$5 &gt; VLOOKUP($P465,Member_Tab,6,FALSE()),AA$5 &lt; VLOOKUP($P465,Member_Tab,7,FALSE())),1,0))</f>
        <v>0</v>
      </c>
      <c r="AB567" s="184" t="n">
        <f aca="false">IF(ISERROR(VLOOKUP($P465,Member_Tab,5,FALSE())),0,VLOOKUP($P465,Member_Tab,5,FALSE())*IF(AND(AB$5 &gt; VLOOKUP($P465,Member_Tab,6,FALSE()),AB$5 &lt; VLOOKUP($P465,Member_Tab,7,FALSE())),1,0))</f>
        <v>0</v>
      </c>
      <c r="AC567" s="184" t="n">
        <f aca="false">IF(ISERROR(VLOOKUP($P465,Member_Tab,5,FALSE())),0,VLOOKUP($P465,Member_Tab,5,FALSE())*IF(AND(AC$5 &gt; VLOOKUP($P465,Member_Tab,6,FALSE()),AC$5 &lt; VLOOKUP($P465,Member_Tab,7,FALSE())),1,0))</f>
        <v>0</v>
      </c>
      <c r="AD567" s="184" t="n">
        <f aca="false">IF(ISERROR(VLOOKUP($P465,Member_Tab,5,FALSE())),0,VLOOKUP($P465,Member_Tab,5,FALSE())*IF(AND(AD$5 &gt; VLOOKUP($P465,Member_Tab,6,FALSE()),AD$5 &lt; VLOOKUP($P465,Member_Tab,7,FALSE())),1,0))</f>
        <v>0</v>
      </c>
      <c r="AE567" s="184" t="n">
        <f aca="false">IF(ISERROR(VLOOKUP($P465,Member_Tab,5,FALSE())),0,VLOOKUP($P465,Member_Tab,5,FALSE())*IF(AND(AE$5 &gt; VLOOKUP($P465,Member_Tab,6,FALSE()),AE$5 &lt; VLOOKUP($P465,Member_Tab,7,FALSE())),1,0))</f>
        <v>0</v>
      </c>
      <c r="AF567" s="184" t="n">
        <f aca="false">IF(ISERROR(VLOOKUP($P465,Member_Tab,5,FALSE())),0,VLOOKUP($P465,Member_Tab,5,FALSE())*IF(AND(AF$5 &gt; VLOOKUP($P465,Member_Tab,6,FALSE()),AF$5 &lt; VLOOKUP($P465,Member_Tab,7,FALSE())),1,0))</f>
        <v>0</v>
      </c>
      <c r="AG567" s="184" t="n">
        <f aca="false">IF(ISERROR(VLOOKUP($P465,Member_Tab,5,FALSE())),0,VLOOKUP($P465,Member_Tab,5,FALSE())*IF(AND(AG$5 &gt; VLOOKUP($P465,Member_Tab,6,FALSE()),AG$5 &lt; VLOOKUP($P465,Member_Tab,7,FALSE())),1,0))</f>
        <v>0</v>
      </c>
      <c r="AH567" s="184" t="n">
        <f aca="false">IF(ISERROR(VLOOKUP($P465,Member_Tab,5,FALSE())),0,VLOOKUP($P465,Member_Tab,5,FALSE())*IF(AND(AH$5 &gt; VLOOKUP($P465,Member_Tab,6,FALSE()),AH$5 &lt; VLOOKUP($P465,Member_Tab,7,FALSE())),1,0))</f>
        <v>0</v>
      </c>
      <c r="AI567" s="184" t="n">
        <f aca="false">IF(ISERROR(VLOOKUP($P465,Member_Tab,5,FALSE())),0,VLOOKUP($P465,Member_Tab,5,FALSE())*IF(AND(AI$5 &gt; VLOOKUP($P465,Member_Tab,6,FALSE()),AI$5 &lt; VLOOKUP($P465,Member_Tab,7,FALSE())),1,0))</f>
        <v>0</v>
      </c>
      <c r="AJ567" s="184" t="n">
        <f aca="false">IF(ISERROR(VLOOKUP($P465,Member_Tab,5,FALSE())),0,VLOOKUP($P465,Member_Tab,5,FALSE())*IF(AND(AJ$5 &gt; VLOOKUP($P465,Member_Tab,6,FALSE()),AJ$5 &lt; VLOOKUP($P465,Member_Tab,7,FALSE())),1,0))</f>
        <v>0</v>
      </c>
      <c r="AK567" s="184" t="n">
        <f aca="false">IF(ISERROR(VLOOKUP($P465,Member_Tab,5,FALSE())),0,VLOOKUP($P465,Member_Tab,5,FALSE())*IF(AND(AK$5 &gt; VLOOKUP($P465,Member_Tab,6,FALSE()),AK$5 &lt; VLOOKUP($P465,Member_Tab,7,FALSE())),1,0))</f>
        <v>0</v>
      </c>
      <c r="AL567" s="184" t="n">
        <f aca="false">IF(ISERROR(VLOOKUP($P465,Member_Tab,5,FALSE())),0,VLOOKUP($P465,Member_Tab,5,FALSE())*IF(AND(AL$5 &gt; VLOOKUP($P465,Member_Tab,6,FALSE()),AL$5 &lt; VLOOKUP($P465,Member_Tab,7,FALSE())),1,0))</f>
        <v>0</v>
      </c>
      <c r="AM567" s="184" t="n">
        <f aca="false">IF(ISERROR(VLOOKUP($P465,Member_Tab,5,FALSE())),0,VLOOKUP($P465,Member_Tab,5,FALSE())*IF(AND(AM$5 &gt; VLOOKUP($P465,Member_Tab,6,FALSE()),AM$5 &lt; VLOOKUP($P465,Member_Tab,7,FALSE())),1,0))</f>
        <v>0</v>
      </c>
      <c r="AN567" s="184" t="n">
        <f aca="false">IF(ISERROR(VLOOKUP($P465,Member_Tab,5,FALSE())),0,VLOOKUP($P465,Member_Tab,5,FALSE())*IF(AND(AN$5 &gt; VLOOKUP($P465,Member_Tab,6,FALSE()),AN$5 &lt; VLOOKUP($P465,Member_Tab,7,FALSE())),1,0))</f>
        <v>0</v>
      </c>
      <c r="AO567" s="184" t="n">
        <f aca="false">IF(ISERROR(VLOOKUP($P465,Member_Tab,5,FALSE())),0,VLOOKUP($P465,Member_Tab,5,FALSE())*IF(AND(AO$5 &gt; VLOOKUP($P465,Member_Tab,6,FALSE()),AO$5 &lt; VLOOKUP($P465,Member_Tab,7,FALSE())),1,0))</f>
        <v>0</v>
      </c>
      <c r="AP567" s="184" t="n">
        <f aca="false">IF(ISERROR(VLOOKUP($P465,Member_Tab,5,FALSE())),0,VLOOKUP($P465,Member_Tab,5,FALSE())*IF(AND(AP$5 &gt; VLOOKUP($P465,Member_Tab,6,FALSE()),AP$5 &lt; VLOOKUP($P465,Member_Tab,7,FALSE())),1,0))</f>
        <v>0</v>
      </c>
      <c r="AQ567" s="184" t="n">
        <f aca="false">IF(ISERROR(VLOOKUP($P465,Member_Tab,5,FALSE())),0,VLOOKUP($P465,Member_Tab,5,FALSE())*IF(AND(AQ$5 &gt; VLOOKUP($P465,Member_Tab,6,FALSE()),AQ$5 &lt; VLOOKUP($P465,Member_Tab,7,FALSE())),1,0))</f>
        <v>0</v>
      </c>
      <c r="AR567" s="184" t="n">
        <f aca="false">IF(ISERROR(VLOOKUP($P465,Member_Tab,5,FALSE())),0,VLOOKUP($P465,Member_Tab,5,FALSE())*IF(AND(AR$5 &gt; VLOOKUP($P465,Member_Tab,6,FALSE()),AR$5 &lt; VLOOKUP($P465,Member_Tab,7,FALSE())),1,0))</f>
        <v>0</v>
      </c>
      <c r="AS567" s="184" t="n">
        <f aca="false">IF(ISERROR(VLOOKUP($P465,Member_Tab,5,FALSE())),0,VLOOKUP($P465,Member_Tab,5,FALSE())*IF(AND(AS$5 &gt; VLOOKUP($P465,Member_Tab,6,FALSE()),AS$5 &lt; VLOOKUP($P465,Member_Tab,7,FALSE())),1,0))</f>
        <v>0</v>
      </c>
      <c r="AT567" s="184" t="n">
        <f aca="false">IF(ISERROR(VLOOKUP($P465,Member_Tab,5,FALSE())),0,VLOOKUP($P465,Member_Tab,5,FALSE())*IF(AND(AT$5 &gt; VLOOKUP($P465,Member_Tab,6,FALSE()),AT$5 &lt; VLOOKUP($P465,Member_Tab,7,FALSE())),1,0))</f>
        <v>0</v>
      </c>
      <c r="AU567" s="184" t="n">
        <f aca="false">IF(ISERROR(VLOOKUP($P465,Member_Tab,5,FALSE())),0,VLOOKUP($P465,Member_Tab,5,FALSE())*IF(AND(AU$5 &gt; VLOOKUP($P465,Member_Tab,6,FALSE()),AU$5 &lt; VLOOKUP($P465,Member_Tab,7,FALSE())),1,0))</f>
        <v>0</v>
      </c>
      <c r="AV567" s="184" t="n">
        <f aca="false">IF(ISERROR(VLOOKUP($P465,Member_Tab,5,FALSE())),0,VLOOKUP($P465,Member_Tab,5,FALSE())*IF(AND(AV$5 &gt; VLOOKUP($P465,Member_Tab,6,FALSE()),AV$5 &lt; VLOOKUP($P465,Member_Tab,7,FALSE())),1,0))</f>
        <v>0</v>
      </c>
      <c r="AW567" s="184" t="n">
        <f aca="false">IF(ISERROR(VLOOKUP($P465,Member_Tab,5,FALSE())),0,VLOOKUP($P465,Member_Tab,5,FALSE())*IF(AND(AW$5 &gt; VLOOKUP($P465,Member_Tab,6,FALSE()),AW$5 &lt; VLOOKUP($P465,Member_Tab,7,FALSE())),1,0))</f>
        <v>0</v>
      </c>
      <c r="AX567" s="184" t="n">
        <f aca="false">IF(ISERROR(VLOOKUP($P465,Member_Tab,5,FALSE())),0,VLOOKUP($P465,Member_Tab,5,FALSE())*IF(AND(AX$5 &gt; VLOOKUP($P465,Member_Tab,6,FALSE()),AX$5 &lt; VLOOKUP($P465,Member_Tab,7,FALSE())),1,0))</f>
        <v>0</v>
      </c>
      <c r="AY567" s="184" t="n">
        <f aca="false">IF(ISERROR(VLOOKUP($P465,Member_Tab,5,FALSE())),0,VLOOKUP($P465,Member_Tab,5,FALSE())*IF(AND(AY$5 &gt; VLOOKUP($P465,Member_Tab,6,FALSE()),AY$5 &lt; VLOOKUP($P465,Member_Tab,7,FALSE())),1,0))</f>
        <v>0</v>
      </c>
      <c r="AZ567" s="184" t="n">
        <f aca="false">IF(ISERROR(VLOOKUP($P465,Member_Tab,5,FALSE())),0,VLOOKUP($P465,Member_Tab,5,FALSE())*IF(AND(AZ$5 &gt; VLOOKUP($P465,Member_Tab,6,FALSE()),AZ$5 &lt; VLOOKUP($P465,Member_Tab,7,FALSE())),1,0))</f>
        <v>0</v>
      </c>
      <c r="BA567" s="184" t="n">
        <f aca="false">IF(ISERROR(VLOOKUP($P465,Member_Tab,5,FALSE())),0,VLOOKUP($P465,Member_Tab,5,FALSE())*IF(AND(BA$5 &gt; VLOOKUP($P465,Member_Tab,6,FALSE()),BA$5 &lt; VLOOKUP($P465,Member_Tab,7,FALSE())),1,0))</f>
        <v>0</v>
      </c>
      <c r="BB567" s="184" t="n">
        <f aca="false">IF(ISERROR(VLOOKUP($P465,Member_Tab,5,FALSE())),0,VLOOKUP($P465,Member_Tab,5,FALSE())*IF(AND(BB$5 &gt; VLOOKUP($P465,Member_Tab,6,FALSE()),BB$5 &lt; VLOOKUP($P465,Member_Tab,7,FALSE())),1,0))</f>
        <v>0</v>
      </c>
    </row>
    <row r="568" s="173" customFormat="true" ht="15.75" hidden="true" customHeight="false" outlineLevel="1" collapsed="false">
      <c r="E568" s="40"/>
      <c r="K568" s="40"/>
      <c r="L568" s="40"/>
      <c r="M568" s="40"/>
      <c r="N568" s="40"/>
      <c r="P568" s="183" t="n">
        <f aca="false">P466</f>
        <v>0</v>
      </c>
      <c r="Q568" s="40"/>
      <c r="R568" s="182"/>
      <c r="S568" s="184" t="n">
        <f aca="false">IF(ISERROR(VLOOKUP($P466,Member_Tab,5,FALSE())),0,VLOOKUP($P466,Member_Tab,5,FALSE())*IF(AND(S$5 &gt; VLOOKUP($P466,Member_Tab,6,FALSE()),S$5 &lt; VLOOKUP($P466,Member_Tab,7,FALSE())),1,0))</f>
        <v>0</v>
      </c>
      <c r="T568" s="184" t="n">
        <f aca="false">IF(ISERROR(VLOOKUP($P466,Member_Tab,5,FALSE())),0,VLOOKUP($P466,Member_Tab,5,FALSE())*IF(AND(T$5 &gt; VLOOKUP($P466,Member_Tab,6,FALSE()),T$5 &lt; VLOOKUP($P466,Member_Tab,7,FALSE())),1,0))</f>
        <v>0</v>
      </c>
      <c r="U568" s="184" t="n">
        <f aca="false">IF(ISERROR(VLOOKUP($P466,Member_Tab,5,FALSE())),0,VLOOKUP($P466,Member_Tab,5,FALSE())*IF(AND(U$5 &gt; VLOOKUP($P466,Member_Tab,6,FALSE()),U$5 &lt; VLOOKUP($P466,Member_Tab,7,FALSE())),1,0))</f>
        <v>0</v>
      </c>
      <c r="V568" s="184" t="n">
        <f aca="false">IF(ISERROR(VLOOKUP($P466,Member_Tab,5,FALSE())),0,VLOOKUP($P466,Member_Tab,5,FALSE())*IF(AND(V$5 &gt; VLOOKUP($P466,Member_Tab,6,FALSE()),V$5 &lt; VLOOKUP($P466,Member_Tab,7,FALSE())),1,0))</f>
        <v>0</v>
      </c>
      <c r="W568" s="184" t="n">
        <f aca="false">IF(ISERROR(VLOOKUP($P466,Member_Tab,5,FALSE())),0,VLOOKUP($P466,Member_Tab,5,FALSE())*IF(AND(W$5 &gt; VLOOKUP($P466,Member_Tab,6,FALSE()),W$5 &lt; VLOOKUP($P466,Member_Tab,7,FALSE())),1,0))</f>
        <v>0</v>
      </c>
      <c r="X568" s="184" t="n">
        <f aca="false">IF(ISERROR(VLOOKUP($P466,Member_Tab,5,FALSE())),0,VLOOKUP($P466,Member_Tab,5,FALSE())*IF(AND(X$5 &gt; VLOOKUP($P466,Member_Tab,6,FALSE()),X$5 &lt; VLOOKUP($P466,Member_Tab,7,FALSE())),1,0))</f>
        <v>0</v>
      </c>
      <c r="Y568" s="184" t="n">
        <f aca="false">IF(ISERROR(VLOOKUP($P466,Member_Tab,5,FALSE())),0,VLOOKUP($P466,Member_Tab,5,FALSE())*IF(AND(Y$5 &gt; VLOOKUP($P466,Member_Tab,6,FALSE()),Y$5 &lt; VLOOKUP($P466,Member_Tab,7,FALSE())),1,0))</f>
        <v>0</v>
      </c>
      <c r="Z568" s="184" t="n">
        <f aca="false">IF(ISERROR(VLOOKUP($P466,Member_Tab,5,FALSE())),0,VLOOKUP($P466,Member_Tab,5,FALSE())*IF(AND(Z$5 &gt; VLOOKUP($P466,Member_Tab,6,FALSE()),Z$5 &lt; VLOOKUP($P466,Member_Tab,7,FALSE())),1,0))</f>
        <v>0</v>
      </c>
      <c r="AA568" s="184" t="n">
        <f aca="false">IF(ISERROR(VLOOKUP($P466,Member_Tab,5,FALSE())),0,VLOOKUP($P466,Member_Tab,5,FALSE())*IF(AND(AA$5 &gt; VLOOKUP($P466,Member_Tab,6,FALSE()),AA$5 &lt; VLOOKUP($P466,Member_Tab,7,FALSE())),1,0))</f>
        <v>0</v>
      </c>
      <c r="AB568" s="184" t="n">
        <f aca="false">IF(ISERROR(VLOOKUP($P466,Member_Tab,5,FALSE())),0,VLOOKUP($P466,Member_Tab,5,FALSE())*IF(AND(AB$5 &gt; VLOOKUP($P466,Member_Tab,6,FALSE()),AB$5 &lt; VLOOKUP($P466,Member_Tab,7,FALSE())),1,0))</f>
        <v>0</v>
      </c>
      <c r="AC568" s="184" t="n">
        <f aca="false">IF(ISERROR(VLOOKUP($P466,Member_Tab,5,FALSE())),0,VLOOKUP($P466,Member_Tab,5,FALSE())*IF(AND(AC$5 &gt; VLOOKUP($P466,Member_Tab,6,FALSE()),AC$5 &lt; VLOOKUP($P466,Member_Tab,7,FALSE())),1,0))</f>
        <v>0</v>
      </c>
      <c r="AD568" s="184" t="n">
        <f aca="false">IF(ISERROR(VLOOKUP($P466,Member_Tab,5,FALSE())),0,VLOOKUP($P466,Member_Tab,5,FALSE())*IF(AND(AD$5 &gt; VLOOKUP($P466,Member_Tab,6,FALSE()),AD$5 &lt; VLOOKUP($P466,Member_Tab,7,FALSE())),1,0))</f>
        <v>0</v>
      </c>
      <c r="AE568" s="184" t="n">
        <f aca="false">IF(ISERROR(VLOOKUP($P466,Member_Tab,5,FALSE())),0,VLOOKUP($P466,Member_Tab,5,FALSE())*IF(AND(AE$5 &gt; VLOOKUP($P466,Member_Tab,6,FALSE()),AE$5 &lt; VLOOKUP($P466,Member_Tab,7,FALSE())),1,0))</f>
        <v>0</v>
      </c>
      <c r="AF568" s="184" t="n">
        <f aca="false">IF(ISERROR(VLOOKUP($P466,Member_Tab,5,FALSE())),0,VLOOKUP($P466,Member_Tab,5,FALSE())*IF(AND(AF$5 &gt; VLOOKUP($P466,Member_Tab,6,FALSE()),AF$5 &lt; VLOOKUP($P466,Member_Tab,7,FALSE())),1,0))</f>
        <v>0</v>
      </c>
      <c r="AG568" s="184" t="n">
        <f aca="false">IF(ISERROR(VLOOKUP($P466,Member_Tab,5,FALSE())),0,VLOOKUP($P466,Member_Tab,5,FALSE())*IF(AND(AG$5 &gt; VLOOKUP($P466,Member_Tab,6,FALSE()),AG$5 &lt; VLOOKUP($P466,Member_Tab,7,FALSE())),1,0))</f>
        <v>0</v>
      </c>
      <c r="AH568" s="184" t="n">
        <f aca="false">IF(ISERROR(VLOOKUP($P466,Member_Tab,5,FALSE())),0,VLOOKUP($P466,Member_Tab,5,FALSE())*IF(AND(AH$5 &gt; VLOOKUP($P466,Member_Tab,6,FALSE()),AH$5 &lt; VLOOKUP($P466,Member_Tab,7,FALSE())),1,0))</f>
        <v>0</v>
      </c>
      <c r="AI568" s="184" t="n">
        <f aca="false">IF(ISERROR(VLOOKUP($P466,Member_Tab,5,FALSE())),0,VLOOKUP($P466,Member_Tab,5,FALSE())*IF(AND(AI$5 &gt; VLOOKUP($P466,Member_Tab,6,FALSE()),AI$5 &lt; VLOOKUP($P466,Member_Tab,7,FALSE())),1,0))</f>
        <v>0</v>
      </c>
      <c r="AJ568" s="184" t="n">
        <f aca="false">IF(ISERROR(VLOOKUP($P466,Member_Tab,5,FALSE())),0,VLOOKUP($P466,Member_Tab,5,FALSE())*IF(AND(AJ$5 &gt; VLOOKUP($P466,Member_Tab,6,FALSE()),AJ$5 &lt; VLOOKUP($P466,Member_Tab,7,FALSE())),1,0))</f>
        <v>0</v>
      </c>
      <c r="AK568" s="184" t="n">
        <f aca="false">IF(ISERROR(VLOOKUP($P466,Member_Tab,5,FALSE())),0,VLOOKUP($P466,Member_Tab,5,FALSE())*IF(AND(AK$5 &gt; VLOOKUP($P466,Member_Tab,6,FALSE()),AK$5 &lt; VLOOKUP($P466,Member_Tab,7,FALSE())),1,0))</f>
        <v>0</v>
      </c>
      <c r="AL568" s="184" t="n">
        <f aca="false">IF(ISERROR(VLOOKUP($P466,Member_Tab,5,FALSE())),0,VLOOKUP($P466,Member_Tab,5,FALSE())*IF(AND(AL$5 &gt; VLOOKUP($P466,Member_Tab,6,FALSE()),AL$5 &lt; VLOOKUP($P466,Member_Tab,7,FALSE())),1,0))</f>
        <v>0</v>
      </c>
      <c r="AM568" s="184" t="n">
        <f aca="false">IF(ISERROR(VLOOKUP($P466,Member_Tab,5,FALSE())),0,VLOOKUP($P466,Member_Tab,5,FALSE())*IF(AND(AM$5 &gt; VLOOKUP($P466,Member_Tab,6,FALSE()),AM$5 &lt; VLOOKUP($P466,Member_Tab,7,FALSE())),1,0))</f>
        <v>0</v>
      </c>
      <c r="AN568" s="184" t="n">
        <f aca="false">IF(ISERROR(VLOOKUP($P466,Member_Tab,5,FALSE())),0,VLOOKUP($P466,Member_Tab,5,FALSE())*IF(AND(AN$5 &gt; VLOOKUP($P466,Member_Tab,6,FALSE()),AN$5 &lt; VLOOKUP($P466,Member_Tab,7,FALSE())),1,0))</f>
        <v>0</v>
      </c>
      <c r="AO568" s="184" t="n">
        <f aca="false">IF(ISERROR(VLOOKUP($P466,Member_Tab,5,FALSE())),0,VLOOKUP($P466,Member_Tab,5,FALSE())*IF(AND(AO$5 &gt; VLOOKUP($P466,Member_Tab,6,FALSE()),AO$5 &lt; VLOOKUP($P466,Member_Tab,7,FALSE())),1,0))</f>
        <v>0</v>
      </c>
      <c r="AP568" s="184" t="n">
        <f aca="false">IF(ISERROR(VLOOKUP($P466,Member_Tab,5,FALSE())),0,VLOOKUP($P466,Member_Tab,5,FALSE())*IF(AND(AP$5 &gt; VLOOKUP($P466,Member_Tab,6,FALSE()),AP$5 &lt; VLOOKUP($P466,Member_Tab,7,FALSE())),1,0))</f>
        <v>0</v>
      </c>
      <c r="AQ568" s="184" t="n">
        <f aca="false">IF(ISERROR(VLOOKUP($P466,Member_Tab,5,FALSE())),0,VLOOKUP($P466,Member_Tab,5,FALSE())*IF(AND(AQ$5 &gt; VLOOKUP($P466,Member_Tab,6,FALSE()),AQ$5 &lt; VLOOKUP($P466,Member_Tab,7,FALSE())),1,0))</f>
        <v>0</v>
      </c>
      <c r="AR568" s="184" t="n">
        <f aca="false">IF(ISERROR(VLOOKUP($P466,Member_Tab,5,FALSE())),0,VLOOKUP($P466,Member_Tab,5,FALSE())*IF(AND(AR$5 &gt; VLOOKUP($P466,Member_Tab,6,FALSE()),AR$5 &lt; VLOOKUP($P466,Member_Tab,7,FALSE())),1,0))</f>
        <v>0</v>
      </c>
      <c r="AS568" s="184" t="n">
        <f aca="false">IF(ISERROR(VLOOKUP($P466,Member_Tab,5,FALSE())),0,VLOOKUP($P466,Member_Tab,5,FALSE())*IF(AND(AS$5 &gt; VLOOKUP($P466,Member_Tab,6,FALSE()),AS$5 &lt; VLOOKUP($P466,Member_Tab,7,FALSE())),1,0))</f>
        <v>0</v>
      </c>
      <c r="AT568" s="184" t="n">
        <f aca="false">IF(ISERROR(VLOOKUP($P466,Member_Tab,5,FALSE())),0,VLOOKUP($P466,Member_Tab,5,FALSE())*IF(AND(AT$5 &gt; VLOOKUP($P466,Member_Tab,6,FALSE()),AT$5 &lt; VLOOKUP($P466,Member_Tab,7,FALSE())),1,0))</f>
        <v>0</v>
      </c>
      <c r="AU568" s="184" t="n">
        <f aca="false">IF(ISERROR(VLOOKUP($P466,Member_Tab,5,FALSE())),0,VLOOKUP($P466,Member_Tab,5,FALSE())*IF(AND(AU$5 &gt; VLOOKUP($P466,Member_Tab,6,FALSE()),AU$5 &lt; VLOOKUP($P466,Member_Tab,7,FALSE())),1,0))</f>
        <v>0</v>
      </c>
      <c r="AV568" s="184" t="n">
        <f aca="false">IF(ISERROR(VLOOKUP($P466,Member_Tab,5,FALSE())),0,VLOOKUP($P466,Member_Tab,5,FALSE())*IF(AND(AV$5 &gt; VLOOKUP($P466,Member_Tab,6,FALSE()),AV$5 &lt; VLOOKUP($P466,Member_Tab,7,FALSE())),1,0))</f>
        <v>0</v>
      </c>
      <c r="AW568" s="184" t="n">
        <f aca="false">IF(ISERROR(VLOOKUP($P466,Member_Tab,5,FALSE())),0,VLOOKUP($P466,Member_Tab,5,FALSE())*IF(AND(AW$5 &gt; VLOOKUP($P466,Member_Tab,6,FALSE()),AW$5 &lt; VLOOKUP($P466,Member_Tab,7,FALSE())),1,0))</f>
        <v>0</v>
      </c>
      <c r="AX568" s="184" t="n">
        <f aca="false">IF(ISERROR(VLOOKUP($P466,Member_Tab,5,FALSE())),0,VLOOKUP($P466,Member_Tab,5,FALSE())*IF(AND(AX$5 &gt; VLOOKUP($P466,Member_Tab,6,FALSE()),AX$5 &lt; VLOOKUP($P466,Member_Tab,7,FALSE())),1,0))</f>
        <v>0</v>
      </c>
      <c r="AY568" s="184" t="n">
        <f aca="false">IF(ISERROR(VLOOKUP($P466,Member_Tab,5,FALSE())),0,VLOOKUP($P466,Member_Tab,5,FALSE())*IF(AND(AY$5 &gt; VLOOKUP($P466,Member_Tab,6,FALSE()),AY$5 &lt; VLOOKUP($P466,Member_Tab,7,FALSE())),1,0))</f>
        <v>0</v>
      </c>
      <c r="AZ568" s="184" t="n">
        <f aca="false">IF(ISERROR(VLOOKUP($P466,Member_Tab,5,FALSE())),0,VLOOKUP($P466,Member_Tab,5,FALSE())*IF(AND(AZ$5 &gt; VLOOKUP($P466,Member_Tab,6,FALSE()),AZ$5 &lt; VLOOKUP($P466,Member_Tab,7,FALSE())),1,0))</f>
        <v>0</v>
      </c>
      <c r="BA568" s="184" t="n">
        <f aca="false">IF(ISERROR(VLOOKUP($P466,Member_Tab,5,FALSE())),0,VLOOKUP($P466,Member_Tab,5,FALSE())*IF(AND(BA$5 &gt; VLOOKUP($P466,Member_Tab,6,FALSE()),BA$5 &lt; VLOOKUP($P466,Member_Tab,7,FALSE())),1,0))</f>
        <v>0</v>
      </c>
      <c r="BB568" s="184" t="n">
        <f aca="false">IF(ISERROR(VLOOKUP($P466,Member_Tab,5,FALSE())),0,VLOOKUP($P466,Member_Tab,5,FALSE())*IF(AND(BB$5 &gt; VLOOKUP($P466,Member_Tab,6,FALSE()),BB$5 &lt; VLOOKUP($P466,Member_Tab,7,FALSE())),1,0))</f>
        <v>0</v>
      </c>
    </row>
    <row r="569" s="173" customFormat="true" ht="15.75" hidden="true" customHeight="false" outlineLevel="1" collapsed="false">
      <c r="E569" s="40"/>
      <c r="K569" s="40"/>
      <c r="L569" s="40"/>
      <c r="M569" s="40"/>
      <c r="N569" s="40"/>
      <c r="P569" s="183" t="n">
        <f aca="false">P467</f>
        <v>0</v>
      </c>
      <c r="Q569" s="40"/>
      <c r="R569" s="182"/>
      <c r="S569" s="184" t="n">
        <f aca="false">IF(ISERROR(VLOOKUP($P467,Member_Tab,5,FALSE())),0,VLOOKUP($P467,Member_Tab,5,FALSE())*IF(AND(S$5 &gt; VLOOKUP($P467,Member_Tab,6,FALSE()),S$5 &lt; VLOOKUP($P467,Member_Tab,7,FALSE())),1,0))</f>
        <v>0</v>
      </c>
      <c r="T569" s="184" t="n">
        <f aca="false">IF(ISERROR(VLOOKUP($P467,Member_Tab,5,FALSE())),0,VLOOKUP($P467,Member_Tab,5,FALSE())*IF(AND(T$5 &gt; VLOOKUP($P467,Member_Tab,6,FALSE()),T$5 &lt; VLOOKUP($P467,Member_Tab,7,FALSE())),1,0))</f>
        <v>0</v>
      </c>
      <c r="U569" s="184" t="n">
        <f aca="false">IF(ISERROR(VLOOKUP($P467,Member_Tab,5,FALSE())),0,VLOOKUP($P467,Member_Tab,5,FALSE())*IF(AND(U$5 &gt; VLOOKUP($P467,Member_Tab,6,FALSE()),U$5 &lt; VLOOKUP($P467,Member_Tab,7,FALSE())),1,0))</f>
        <v>0</v>
      </c>
      <c r="V569" s="184" t="n">
        <f aca="false">IF(ISERROR(VLOOKUP($P467,Member_Tab,5,FALSE())),0,VLOOKUP($P467,Member_Tab,5,FALSE())*IF(AND(V$5 &gt; VLOOKUP($P467,Member_Tab,6,FALSE()),V$5 &lt; VLOOKUP($P467,Member_Tab,7,FALSE())),1,0))</f>
        <v>0</v>
      </c>
      <c r="W569" s="184" t="n">
        <f aca="false">IF(ISERROR(VLOOKUP($P467,Member_Tab,5,FALSE())),0,VLOOKUP($P467,Member_Tab,5,FALSE())*IF(AND(W$5 &gt; VLOOKUP($P467,Member_Tab,6,FALSE()),W$5 &lt; VLOOKUP($P467,Member_Tab,7,FALSE())),1,0))</f>
        <v>0</v>
      </c>
      <c r="X569" s="184" t="n">
        <f aca="false">IF(ISERROR(VLOOKUP($P467,Member_Tab,5,FALSE())),0,VLOOKUP($P467,Member_Tab,5,FALSE())*IF(AND(X$5 &gt; VLOOKUP($P467,Member_Tab,6,FALSE()),X$5 &lt; VLOOKUP($P467,Member_Tab,7,FALSE())),1,0))</f>
        <v>0</v>
      </c>
      <c r="Y569" s="184" t="n">
        <f aca="false">IF(ISERROR(VLOOKUP($P467,Member_Tab,5,FALSE())),0,VLOOKUP($P467,Member_Tab,5,FALSE())*IF(AND(Y$5 &gt; VLOOKUP($P467,Member_Tab,6,FALSE()),Y$5 &lt; VLOOKUP($P467,Member_Tab,7,FALSE())),1,0))</f>
        <v>0</v>
      </c>
      <c r="Z569" s="184" t="n">
        <f aca="false">IF(ISERROR(VLOOKUP($P467,Member_Tab,5,FALSE())),0,VLOOKUP($P467,Member_Tab,5,FALSE())*IF(AND(Z$5 &gt; VLOOKUP($P467,Member_Tab,6,FALSE()),Z$5 &lt; VLOOKUP($P467,Member_Tab,7,FALSE())),1,0))</f>
        <v>0</v>
      </c>
      <c r="AA569" s="184" t="n">
        <f aca="false">IF(ISERROR(VLOOKUP($P467,Member_Tab,5,FALSE())),0,VLOOKUP($P467,Member_Tab,5,FALSE())*IF(AND(AA$5 &gt; VLOOKUP($P467,Member_Tab,6,FALSE()),AA$5 &lt; VLOOKUP($P467,Member_Tab,7,FALSE())),1,0))</f>
        <v>0</v>
      </c>
      <c r="AB569" s="184" t="n">
        <f aca="false">IF(ISERROR(VLOOKUP($P467,Member_Tab,5,FALSE())),0,VLOOKUP($P467,Member_Tab,5,FALSE())*IF(AND(AB$5 &gt; VLOOKUP($P467,Member_Tab,6,FALSE()),AB$5 &lt; VLOOKUP($P467,Member_Tab,7,FALSE())),1,0))</f>
        <v>0</v>
      </c>
      <c r="AC569" s="184" t="n">
        <f aca="false">IF(ISERROR(VLOOKUP($P467,Member_Tab,5,FALSE())),0,VLOOKUP($P467,Member_Tab,5,FALSE())*IF(AND(AC$5 &gt; VLOOKUP($P467,Member_Tab,6,FALSE()),AC$5 &lt; VLOOKUP($P467,Member_Tab,7,FALSE())),1,0))</f>
        <v>0</v>
      </c>
      <c r="AD569" s="184" t="n">
        <f aca="false">IF(ISERROR(VLOOKUP($P467,Member_Tab,5,FALSE())),0,VLOOKUP($P467,Member_Tab,5,FALSE())*IF(AND(AD$5 &gt; VLOOKUP($P467,Member_Tab,6,FALSE()),AD$5 &lt; VLOOKUP($P467,Member_Tab,7,FALSE())),1,0))</f>
        <v>0</v>
      </c>
      <c r="AE569" s="184" t="n">
        <f aca="false">IF(ISERROR(VLOOKUP($P467,Member_Tab,5,FALSE())),0,VLOOKUP($P467,Member_Tab,5,FALSE())*IF(AND(AE$5 &gt; VLOOKUP($P467,Member_Tab,6,FALSE()),AE$5 &lt; VLOOKUP($P467,Member_Tab,7,FALSE())),1,0))</f>
        <v>0</v>
      </c>
      <c r="AF569" s="184" t="n">
        <f aca="false">IF(ISERROR(VLOOKUP($P467,Member_Tab,5,FALSE())),0,VLOOKUP($P467,Member_Tab,5,FALSE())*IF(AND(AF$5 &gt; VLOOKUP($P467,Member_Tab,6,FALSE()),AF$5 &lt; VLOOKUP($P467,Member_Tab,7,FALSE())),1,0))</f>
        <v>0</v>
      </c>
      <c r="AG569" s="184" t="n">
        <f aca="false">IF(ISERROR(VLOOKUP($P467,Member_Tab,5,FALSE())),0,VLOOKUP($P467,Member_Tab,5,FALSE())*IF(AND(AG$5 &gt; VLOOKUP($P467,Member_Tab,6,FALSE()),AG$5 &lt; VLOOKUP($P467,Member_Tab,7,FALSE())),1,0))</f>
        <v>0</v>
      </c>
      <c r="AH569" s="184" t="n">
        <f aca="false">IF(ISERROR(VLOOKUP($P467,Member_Tab,5,FALSE())),0,VLOOKUP($P467,Member_Tab,5,FALSE())*IF(AND(AH$5 &gt; VLOOKUP($P467,Member_Tab,6,FALSE()),AH$5 &lt; VLOOKUP($P467,Member_Tab,7,FALSE())),1,0))</f>
        <v>0</v>
      </c>
      <c r="AI569" s="184" t="n">
        <f aca="false">IF(ISERROR(VLOOKUP($P467,Member_Tab,5,FALSE())),0,VLOOKUP($P467,Member_Tab,5,FALSE())*IF(AND(AI$5 &gt; VLOOKUP($P467,Member_Tab,6,FALSE()),AI$5 &lt; VLOOKUP($P467,Member_Tab,7,FALSE())),1,0))</f>
        <v>0</v>
      </c>
      <c r="AJ569" s="184" t="n">
        <f aca="false">IF(ISERROR(VLOOKUP($P467,Member_Tab,5,FALSE())),0,VLOOKUP($P467,Member_Tab,5,FALSE())*IF(AND(AJ$5 &gt; VLOOKUP($P467,Member_Tab,6,FALSE()),AJ$5 &lt; VLOOKUP($P467,Member_Tab,7,FALSE())),1,0))</f>
        <v>0</v>
      </c>
      <c r="AK569" s="184" t="n">
        <f aca="false">IF(ISERROR(VLOOKUP($P467,Member_Tab,5,FALSE())),0,VLOOKUP($P467,Member_Tab,5,FALSE())*IF(AND(AK$5 &gt; VLOOKUP($P467,Member_Tab,6,FALSE()),AK$5 &lt; VLOOKUP($P467,Member_Tab,7,FALSE())),1,0))</f>
        <v>0</v>
      </c>
      <c r="AL569" s="184" t="n">
        <f aca="false">IF(ISERROR(VLOOKUP($P467,Member_Tab,5,FALSE())),0,VLOOKUP($P467,Member_Tab,5,FALSE())*IF(AND(AL$5 &gt; VLOOKUP($P467,Member_Tab,6,FALSE()),AL$5 &lt; VLOOKUP($P467,Member_Tab,7,FALSE())),1,0))</f>
        <v>0</v>
      </c>
      <c r="AM569" s="184" t="n">
        <f aca="false">IF(ISERROR(VLOOKUP($P467,Member_Tab,5,FALSE())),0,VLOOKUP($P467,Member_Tab,5,FALSE())*IF(AND(AM$5 &gt; VLOOKUP($P467,Member_Tab,6,FALSE()),AM$5 &lt; VLOOKUP($P467,Member_Tab,7,FALSE())),1,0))</f>
        <v>0</v>
      </c>
      <c r="AN569" s="184" t="n">
        <f aca="false">IF(ISERROR(VLOOKUP($P467,Member_Tab,5,FALSE())),0,VLOOKUP($P467,Member_Tab,5,FALSE())*IF(AND(AN$5 &gt; VLOOKUP($P467,Member_Tab,6,FALSE()),AN$5 &lt; VLOOKUP($P467,Member_Tab,7,FALSE())),1,0))</f>
        <v>0</v>
      </c>
      <c r="AO569" s="184" t="n">
        <f aca="false">IF(ISERROR(VLOOKUP($P467,Member_Tab,5,FALSE())),0,VLOOKUP($P467,Member_Tab,5,FALSE())*IF(AND(AO$5 &gt; VLOOKUP($P467,Member_Tab,6,FALSE()),AO$5 &lt; VLOOKUP($P467,Member_Tab,7,FALSE())),1,0))</f>
        <v>0</v>
      </c>
      <c r="AP569" s="184" t="n">
        <f aca="false">IF(ISERROR(VLOOKUP($P467,Member_Tab,5,FALSE())),0,VLOOKUP($P467,Member_Tab,5,FALSE())*IF(AND(AP$5 &gt; VLOOKUP($P467,Member_Tab,6,FALSE()),AP$5 &lt; VLOOKUP($P467,Member_Tab,7,FALSE())),1,0))</f>
        <v>0</v>
      </c>
      <c r="AQ569" s="184" t="n">
        <f aca="false">IF(ISERROR(VLOOKUP($P467,Member_Tab,5,FALSE())),0,VLOOKUP($P467,Member_Tab,5,FALSE())*IF(AND(AQ$5 &gt; VLOOKUP($P467,Member_Tab,6,FALSE()),AQ$5 &lt; VLOOKUP($P467,Member_Tab,7,FALSE())),1,0))</f>
        <v>0</v>
      </c>
      <c r="AR569" s="184" t="n">
        <f aca="false">IF(ISERROR(VLOOKUP($P467,Member_Tab,5,FALSE())),0,VLOOKUP($P467,Member_Tab,5,FALSE())*IF(AND(AR$5 &gt; VLOOKUP($P467,Member_Tab,6,FALSE()),AR$5 &lt; VLOOKUP($P467,Member_Tab,7,FALSE())),1,0))</f>
        <v>0</v>
      </c>
      <c r="AS569" s="184" t="n">
        <f aca="false">IF(ISERROR(VLOOKUP($P467,Member_Tab,5,FALSE())),0,VLOOKUP($P467,Member_Tab,5,FALSE())*IF(AND(AS$5 &gt; VLOOKUP($P467,Member_Tab,6,FALSE()),AS$5 &lt; VLOOKUP($P467,Member_Tab,7,FALSE())),1,0))</f>
        <v>0</v>
      </c>
      <c r="AT569" s="184" t="n">
        <f aca="false">IF(ISERROR(VLOOKUP($P467,Member_Tab,5,FALSE())),0,VLOOKUP($P467,Member_Tab,5,FALSE())*IF(AND(AT$5 &gt; VLOOKUP($P467,Member_Tab,6,FALSE()),AT$5 &lt; VLOOKUP($P467,Member_Tab,7,FALSE())),1,0))</f>
        <v>0</v>
      </c>
      <c r="AU569" s="184" t="n">
        <f aca="false">IF(ISERROR(VLOOKUP($P467,Member_Tab,5,FALSE())),0,VLOOKUP($P467,Member_Tab,5,FALSE())*IF(AND(AU$5 &gt; VLOOKUP($P467,Member_Tab,6,FALSE()),AU$5 &lt; VLOOKUP($P467,Member_Tab,7,FALSE())),1,0))</f>
        <v>0</v>
      </c>
      <c r="AV569" s="184" t="n">
        <f aca="false">IF(ISERROR(VLOOKUP($P467,Member_Tab,5,FALSE())),0,VLOOKUP($P467,Member_Tab,5,FALSE())*IF(AND(AV$5 &gt; VLOOKUP($P467,Member_Tab,6,FALSE()),AV$5 &lt; VLOOKUP($P467,Member_Tab,7,FALSE())),1,0))</f>
        <v>0</v>
      </c>
      <c r="AW569" s="184" t="n">
        <f aca="false">IF(ISERROR(VLOOKUP($P467,Member_Tab,5,FALSE())),0,VLOOKUP($P467,Member_Tab,5,FALSE())*IF(AND(AW$5 &gt; VLOOKUP($P467,Member_Tab,6,FALSE()),AW$5 &lt; VLOOKUP($P467,Member_Tab,7,FALSE())),1,0))</f>
        <v>0</v>
      </c>
      <c r="AX569" s="184" t="n">
        <f aca="false">IF(ISERROR(VLOOKUP($P467,Member_Tab,5,FALSE())),0,VLOOKUP($P467,Member_Tab,5,FALSE())*IF(AND(AX$5 &gt; VLOOKUP($P467,Member_Tab,6,FALSE()),AX$5 &lt; VLOOKUP($P467,Member_Tab,7,FALSE())),1,0))</f>
        <v>0</v>
      </c>
      <c r="AY569" s="184" t="n">
        <f aca="false">IF(ISERROR(VLOOKUP($P467,Member_Tab,5,FALSE())),0,VLOOKUP($P467,Member_Tab,5,FALSE())*IF(AND(AY$5 &gt; VLOOKUP($P467,Member_Tab,6,FALSE()),AY$5 &lt; VLOOKUP($P467,Member_Tab,7,FALSE())),1,0))</f>
        <v>0</v>
      </c>
      <c r="AZ569" s="184" t="n">
        <f aca="false">IF(ISERROR(VLOOKUP($P467,Member_Tab,5,FALSE())),0,VLOOKUP($P467,Member_Tab,5,FALSE())*IF(AND(AZ$5 &gt; VLOOKUP($P467,Member_Tab,6,FALSE()),AZ$5 &lt; VLOOKUP($P467,Member_Tab,7,FALSE())),1,0))</f>
        <v>0</v>
      </c>
      <c r="BA569" s="184" t="n">
        <f aca="false">IF(ISERROR(VLOOKUP($P467,Member_Tab,5,FALSE())),0,VLOOKUP($P467,Member_Tab,5,FALSE())*IF(AND(BA$5 &gt; VLOOKUP($P467,Member_Tab,6,FALSE()),BA$5 &lt; VLOOKUP($P467,Member_Tab,7,FALSE())),1,0))</f>
        <v>0</v>
      </c>
      <c r="BB569" s="184" t="n">
        <f aca="false">IF(ISERROR(VLOOKUP($P467,Member_Tab,5,FALSE())),0,VLOOKUP($P467,Member_Tab,5,FALSE())*IF(AND(BB$5 &gt; VLOOKUP($P467,Member_Tab,6,FALSE()),BB$5 &lt; VLOOKUP($P467,Member_Tab,7,FALSE())),1,0))</f>
        <v>0</v>
      </c>
    </row>
    <row r="570" s="173" customFormat="true" ht="15.75" hidden="true" customHeight="false" outlineLevel="1" collapsed="false">
      <c r="E570" s="40"/>
      <c r="K570" s="40"/>
      <c r="L570" s="40"/>
      <c r="M570" s="40"/>
      <c r="N570" s="40"/>
      <c r="P570" s="183" t="n">
        <f aca="false">P468</f>
        <v>0</v>
      </c>
      <c r="Q570" s="40"/>
      <c r="R570" s="182"/>
      <c r="S570" s="184" t="n">
        <f aca="false">IF(ISERROR(VLOOKUP($P468,Member_Tab,5,FALSE())),0,VLOOKUP($P468,Member_Tab,5,FALSE())*IF(AND(S$5 &gt; VLOOKUP($P468,Member_Tab,6,FALSE()),S$5 &lt; VLOOKUP($P468,Member_Tab,7,FALSE())),1,0))</f>
        <v>0</v>
      </c>
      <c r="T570" s="184" t="n">
        <f aca="false">IF(ISERROR(VLOOKUP($P468,Member_Tab,5,FALSE())),0,VLOOKUP($P468,Member_Tab,5,FALSE())*IF(AND(T$5 &gt; VLOOKUP($P468,Member_Tab,6,FALSE()),T$5 &lt; VLOOKUP($P468,Member_Tab,7,FALSE())),1,0))</f>
        <v>0</v>
      </c>
      <c r="U570" s="184" t="n">
        <f aca="false">IF(ISERROR(VLOOKUP($P468,Member_Tab,5,FALSE())),0,VLOOKUP($P468,Member_Tab,5,FALSE())*IF(AND(U$5 &gt; VLOOKUP($P468,Member_Tab,6,FALSE()),U$5 &lt; VLOOKUP($P468,Member_Tab,7,FALSE())),1,0))</f>
        <v>0</v>
      </c>
      <c r="V570" s="184" t="n">
        <f aca="false">IF(ISERROR(VLOOKUP($P468,Member_Tab,5,FALSE())),0,VLOOKUP($P468,Member_Tab,5,FALSE())*IF(AND(V$5 &gt; VLOOKUP($P468,Member_Tab,6,FALSE()),V$5 &lt; VLOOKUP($P468,Member_Tab,7,FALSE())),1,0))</f>
        <v>0</v>
      </c>
      <c r="W570" s="184" t="n">
        <f aca="false">IF(ISERROR(VLOOKUP($P468,Member_Tab,5,FALSE())),0,VLOOKUP($P468,Member_Tab,5,FALSE())*IF(AND(W$5 &gt; VLOOKUP($P468,Member_Tab,6,FALSE()),W$5 &lt; VLOOKUP($P468,Member_Tab,7,FALSE())),1,0))</f>
        <v>0</v>
      </c>
      <c r="X570" s="184" t="n">
        <f aca="false">IF(ISERROR(VLOOKUP($P468,Member_Tab,5,FALSE())),0,VLOOKUP($P468,Member_Tab,5,FALSE())*IF(AND(X$5 &gt; VLOOKUP($P468,Member_Tab,6,FALSE()),X$5 &lt; VLOOKUP($P468,Member_Tab,7,FALSE())),1,0))</f>
        <v>0</v>
      </c>
      <c r="Y570" s="184" t="n">
        <f aca="false">IF(ISERROR(VLOOKUP($P468,Member_Tab,5,FALSE())),0,VLOOKUP($P468,Member_Tab,5,FALSE())*IF(AND(Y$5 &gt; VLOOKUP($P468,Member_Tab,6,FALSE()),Y$5 &lt; VLOOKUP($P468,Member_Tab,7,FALSE())),1,0))</f>
        <v>0</v>
      </c>
      <c r="Z570" s="184" t="n">
        <f aca="false">IF(ISERROR(VLOOKUP($P468,Member_Tab,5,FALSE())),0,VLOOKUP($P468,Member_Tab,5,FALSE())*IF(AND(Z$5 &gt; VLOOKUP($P468,Member_Tab,6,FALSE()),Z$5 &lt; VLOOKUP($P468,Member_Tab,7,FALSE())),1,0))</f>
        <v>0</v>
      </c>
      <c r="AA570" s="184" t="n">
        <f aca="false">IF(ISERROR(VLOOKUP($P468,Member_Tab,5,FALSE())),0,VLOOKUP($P468,Member_Tab,5,FALSE())*IF(AND(AA$5 &gt; VLOOKUP($P468,Member_Tab,6,FALSE()),AA$5 &lt; VLOOKUP($P468,Member_Tab,7,FALSE())),1,0))</f>
        <v>0</v>
      </c>
      <c r="AB570" s="184" t="n">
        <f aca="false">IF(ISERROR(VLOOKUP($P468,Member_Tab,5,FALSE())),0,VLOOKUP($P468,Member_Tab,5,FALSE())*IF(AND(AB$5 &gt; VLOOKUP($P468,Member_Tab,6,FALSE()),AB$5 &lt; VLOOKUP($P468,Member_Tab,7,FALSE())),1,0))</f>
        <v>0</v>
      </c>
      <c r="AC570" s="184" t="n">
        <f aca="false">IF(ISERROR(VLOOKUP($P468,Member_Tab,5,FALSE())),0,VLOOKUP($P468,Member_Tab,5,FALSE())*IF(AND(AC$5 &gt; VLOOKUP($P468,Member_Tab,6,FALSE()),AC$5 &lt; VLOOKUP($P468,Member_Tab,7,FALSE())),1,0))</f>
        <v>0</v>
      </c>
      <c r="AD570" s="184" t="n">
        <f aca="false">IF(ISERROR(VLOOKUP($P468,Member_Tab,5,FALSE())),0,VLOOKUP($P468,Member_Tab,5,FALSE())*IF(AND(AD$5 &gt; VLOOKUP($P468,Member_Tab,6,FALSE()),AD$5 &lt; VLOOKUP($P468,Member_Tab,7,FALSE())),1,0))</f>
        <v>0</v>
      </c>
      <c r="AE570" s="184" t="n">
        <f aca="false">IF(ISERROR(VLOOKUP($P468,Member_Tab,5,FALSE())),0,VLOOKUP($P468,Member_Tab,5,FALSE())*IF(AND(AE$5 &gt; VLOOKUP($P468,Member_Tab,6,FALSE()),AE$5 &lt; VLOOKUP($P468,Member_Tab,7,FALSE())),1,0))</f>
        <v>0</v>
      </c>
      <c r="AF570" s="184" t="n">
        <f aca="false">IF(ISERROR(VLOOKUP($P468,Member_Tab,5,FALSE())),0,VLOOKUP($P468,Member_Tab,5,FALSE())*IF(AND(AF$5 &gt; VLOOKUP($P468,Member_Tab,6,FALSE()),AF$5 &lt; VLOOKUP($P468,Member_Tab,7,FALSE())),1,0))</f>
        <v>0</v>
      </c>
      <c r="AG570" s="184" t="n">
        <f aca="false">IF(ISERROR(VLOOKUP($P468,Member_Tab,5,FALSE())),0,VLOOKUP($P468,Member_Tab,5,FALSE())*IF(AND(AG$5 &gt; VLOOKUP($P468,Member_Tab,6,FALSE()),AG$5 &lt; VLOOKUP($P468,Member_Tab,7,FALSE())),1,0))</f>
        <v>0</v>
      </c>
      <c r="AH570" s="184" t="n">
        <f aca="false">IF(ISERROR(VLOOKUP($P468,Member_Tab,5,FALSE())),0,VLOOKUP($P468,Member_Tab,5,FALSE())*IF(AND(AH$5 &gt; VLOOKUP($P468,Member_Tab,6,FALSE()),AH$5 &lt; VLOOKUP($P468,Member_Tab,7,FALSE())),1,0))</f>
        <v>0</v>
      </c>
      <c r="AI570" s="184" t="n">
        <f aca="false">IF(ISERROR(VLOOKUP($P468,Member_Tab,5,FALSE())),0,VLOOKUP($P468,Member_Tab,5,FALSE())*IF(AND(AI$5 &gt; VLOOKUP($P468,Member_Tab,6,FALSE()),AI$5 &lt; VLOOKUP($P468,Member_Tab,7,FALSE())),1,0))</f>
        <v>0</v>
      </c>
      <c r="AJ570" s="184" t="n">
        <f aca="false">IF(ISERROR(VLOOKUP($P468,Member_Tab,5,FALSE())),0,VLOOKUP($P468,Member_Tab,5,FALSE())*IF(AND(AJ$5 &gt; VLOOKUP($P468,Member_Tab,6,FALSE()),AJ$5 &lt; VLOOKUP($P468,Member_Tab,7,FALSE())),1,0))</f>
        <v>0</v>
      </c>
      <c r="AK570" s="184" t="n">
        <f aca="false">IF(ISERROR(VLOOKUP($P468,Member_Tab,5,FALSE())),0,VLOOKUP($P468,Member_Tab,5,FALSE())*IF(AND(AK$5 &gt; VLOOKUP($P468,Member_Tab,6,FALSE()),AK$5 &lt; VLOOKUP($P468,Member_Tab,7,FALSE())),1,0))</f>
        <v>0</v>
      </c>
      <c r="AL570" s="184" t="n">
        <f aca="false">IF(ISERROR(VLOOKUP($P468,Member_Tab,5,FALSE())),0,VLOOKUP($P468,Member_Tab,5,FALSE())*IF(AND(AL$5 &gt; VLOOKUP($P468,Member_Tab,6,FALSE()),AL$5 &lt; VLOOKUP($P468,Member_Tab,7,FALSE())),1,0))</f>
        <v>0</v>
      </c>
      <c r="AM570" s="184" t="n">
        <f aca="false">IF(ISERROR(VLOOKUP($P468,Member_Tab,5,FALSE())),0,VLOOKUP($P468,Member_Tab,5,FALSE())*IF(AND(AM$5 &gt; VLOOKUP($P468,Member_Tab,6,FALSE()),AM$5 &lt; VLOOKUP($P468,Member_Tab,7,FALSE())),1,0))</f>
        <v>0</v>
      </c>
      <c r="AN570" s="184" t="n">
        <f aca="false">IF(ISERROR(VLOOKUP($P468,Member_Tab,5,FALSE())),0,VLOOKUP($P468,Member_Tab,5,FALSE())*IF(AND(AN$5 &gt; VLOOKUP($P468,Member_Tab,6,FALSE()),AN$5 &lt; VLOOKUP($P468,Member_Tab,7,FALSE())),1,0))</f>
        <v>0</v>
      </c>
      <c r="AO570" s="184" t="n">
        <f aca="false">IF(ISERROR(VLOOKUP($P468,Member_Tab,5,FALSE())),0,VLOOKUP($P468,Member_Tab,5,FALSE())*IF(AND(AO$5 &gt; VLOOKUP($P468,Member_Tab,6,FALSE()),AO$5 &lt; VLOOKUP($P468,Member_Tab,7,FALSE())),1,0))</f>
        <v>0</v>
      </c>
      <c r="AP570" s="184" t="n">
        <f aca="false">IF(ISERROR(VLOOKUP($P468,Member_Tab,5,FALSE())),0,VLOOKUP($P468,Member_Tab,5,FALSE())*IF(AND(AP$5 &gt; VLOOKUP($P468,Member_Tab,6,FALSE()),AP$5 &lt; VLOOKUP($P468,Member_Tab,7,FALSE())),1,0))</f>
        <v>0</v>
      </c>
      <c r="AQ570" s="184" t="n">
        <f aca="false">IF(ISERROR(VLOOKUP($P468,Member_Tab,5,FALSE())),0,VLOOKUP($P468,Member_Tab,5,FALSE())*IF(AND(AQ$5 &gt; VLOOKUP($P468,Member_Tab,6,FALSE()),AQ$5 &lt; VLOOKUP($P468,Member_Tab,7,FALSE())),1,0))</f>
        <v>0</v>
      </c>
      <c r="AR570" s="184" t="n">
        <f aca="false">IF(ISERROR(VLOOKUP($P468,Member_Tab,5,FALSE())),0,VLOOKUP($P468,Member_Tab,5,FALSE())*IF(AND(AR$5 &gt; VLOOKUP($P468,Member_Tab,6,FALSE()),AR$5 &lt; VLOOKUP($P468,Member_Tab,7,FALSE())),1,0))</f>
        <v>0</v>
      </c>
      <c r="AS570" s="184" t="n">
        <f aca="false">IF(ISERROR(VLOOKUP($P468,Member_Tab,5,FALSE())),0,VLOOKUP($P468,Member_Tab,5,FALSE())*IF(AND(AS$5 &gt; VLOOKUP($P468,Member_Tab,6,FALSE()),AS$5 &lt; VLOOKUP($P468,Member_Tab,7,FALSE())),1,0))</f>
        <v>0</v>
      </c>
      <c r="AT570" s="184" t="n">
        <f aca="false">IF(ISERROR(VLOOKUP($P468,Member_Tab,5,FALSE())),0,VLOOKUP($P468,Member_Tab,5,FALSE())*IF(AND(AT$5 &gt; VLOOKUP($P468,Member_Tab,6,FALSE()),AT$5 &lt; VLOOKUP($P468,Member_Tab,7,FALSE())),1,0))</f>
        <v>0</v>
      </c>
      <c r="AU570" s="184" t="n">
        <f aca="false">IF(ISERROR(VLOOKUP($P468,Member_Tab,5,FALSE())),0,VLOOKUP($P468,Member_Tab,5,FALSE())*IF(AND(AU$5 &gt; VLOOKUP($P468,Member_Tab,6,FALSE()),AU$5 &lt; VLOOKUP($P468,Member_Tab,7,FALSE())),1,0))</f>
        <v>0</v>
      </c>
      <c r="AV570" s="184" t="n">
        <f aca="false">IF(ISERROR(VLOOKUP($P468,Member_Tab,5,FALSE())),0,VLOOKUP($P468,Member_Tab,5,FALSE())*IF(AND(AV$5 &gt; VLOOKUP($P468,Member_Tab,6,FALSE()),AV$5 &lt; VLOOKUP($P468,Member_Tab,7,FALSE())),1,0))</f>
        <v>0</v>
      </c>
      <c r="AW570" s="184" t="n">
        <f aca="false">IF(ISERROR(VLOOKUP($P468,Member_Tab,5,FALSE())),0,VLOOKUP($P468,Member_Tab,5,FALSE())*IF(AND(AW$5 &gt; VLOOKUP($P468,Member_Tab,6,FALSE()),AW$5 &lt; VLOOKUP($P468,Member_Tab,7,FALSE())),1,0))</f>
        <v>0</v>
      </c>
      <c r="AX570" s="184" t="n">
        <f aca="false">IF(ISERROR(VLOOKUP($P468,Member_Tab,5,FALSE())),0,VLOOKUP($P468,Member_Tab,5,FALSE())*IF(AND(AX$5 &gt; VLOOKUP($P468,Member_Tab,6,FALSE()),AX$5 &lt; VLOOKUP($P468,Member_Tab,7,FALSE())),1,0))</f>
        <v>0</v>
      </c>
      <c r="AY570" s="184" t="n">
        <f aca="false">IF(ISERROR(VLOOKUP($P468,Member_Tab,5,FALSE())),0,VLOOKUP($P468,Member_Tab,5,FALSE())*IF(AND(AY$5 &gt; VLOOKUP($P468,Member_Tab,6,FALSE()),AY$5 &lt; VLOOKUP($P468,Member_Tab,7,FALSE())),1,0))</f>
        <v>0</v>
      </c>
      <c r="AZ570" s="184" t="n">
        <f aca="false">IF(ISERROR(VLOOKUP($P468,Member_Tab,5,FALSE())),0,VLOOKUP($P468,Member_Tab,5,FALSE())*IF(AND(AZ$5 &gt; VLOOKUP($P468,Member_Tab,6,FALSE()),AZ$5 &lt; VLOOKUP($P468,Member_Tab,7,FALSE())),1,0))</f>
        <v>0</v>
      </c>
      <c r="BA570" s="184" t="n">
        <f aca="false">IF(ISERROR(VLOOKUP($P468,Member_Tab,5,FALSE())),0,VLOOKUP($P468,Member_Tab,5,FALSE())*IF(AND(BA$5 &gt; VLOOKUP($P468,Member_Tab,6,FALSE()),BA$5 &lt; VLOOKUP($P468,Member_Tab,7,FALSE())),1,0))</f>
        <v>0</v>
      </c>
      <c r="BB570" s="184" t="n">
        <f aca="false">IF(ISERROR(VLOOKUP($P468,Member_Tab,5,FALSE())),0,VLOOKUP($P468,Member_Tab,5,FALSE())*IF(AND(BB$5 &gt; VLOOKUP($P468,Member_Tab,6,FALSE()),BB$5 &lt; VLOOKUP($P468,Member_Tab,7,FALSE())),1,0))</f>
        <v>0</v>
      </c>
    </row>
    <row r="571" s="173" customFormat="true" ht="15.75" hidden="true" customHeight="false" outlineLevel="1" collapsed="false">
      <c r="E571" s="40"/>
      <c r="K571" s="40"/>
      <c r="L571" s="40"/>
      <c r="M571" s="40"/>
      <c r="N571" s="40"/>
      <c r="P571" s="183" t="n">
        <f aca="false">P469</f>
        <v>0</v>
      </c>
      <c r="Q571" s="40"/>
      <c r="R571" s="182"/>
      <c r="S571" s="184" t="n">
        <f aca="false">IF(ISERROR(VLOOKUP($P469,Member_Tab,5,FALSE())),0,VLOOKUP($P469,Member_Tab,5,FALSE())*IF(AND(S$5 &gt; VLOOKUP($P469,Member_Tab,6,FALSE()),S$5 &lt; VLOOKUP($P469,Member_Tab,7,FALSE())),1,0))</f>
        <v>0</v>
      </c>
      <c r="T571" s="184" t="n">
        <f aca="false">IF(ISERROR(VLOOKUP($P469,Member_Tab,5,FALSE())),0,VLOOKUP($P469,Member_Tab,5,FALSE())*IF(AND(T$5 &gt; VLOOKUP($P469,Member_Tab,6,FALSE()),T$5 &lt; VLOOKUP($P469,Member_Tab,7,FALSE())),1,0))</f>
        <v>0</v>
      </c>
      <c r="U571" s="184" t="n">
        <f aca="false">IF(ISERROR(VLOOKUP($P469,Member_Tab,5,FALSE())),0,VLOOKUP($P469,Member_Tab,5,FALSE())*IF(AND(U$5 &gt; VLOOKUP($P469,Member_Tab,6,FALSE()),U$5 &lt; VLOOKUP($P469,Member_Tab,7,FALSE())),1,0))</f>
        <v>0</v>
      </c>
      <c r="V571" s="184" t="n">
        <f aca="false">IF(ISERROR(VLOOKUP($P469,Member_Tab,5,FALSE())),0,VLOOKUP($P469,Member_Tab,5,FALSE())*IF(AND(V$5 &gt; VLOOKUP($P469,Member_Tab,6,FALSE()),V$5 &lt; VLOOKUP($P469,Member_Tab,7,FALSE())),1,0))</f>
        <v>0</v>
      </c>
      <c r="W571" s="184" t="n">
        <f aca="false">IF(ISERROR(VLOOKUP($P469,Member_Tab,5,FALSE())),0,VLOOKUP($P469,Member_Tab,5,FALSE())*IF(AND(W$5 &gt; VLOOKUP($P469,Member_Tab,6,FALSE()),W$5 &lt; VLOOKUP($P469,Member_Tab,7,FALSE())),1,0))</f>
        <v>0</v>
      </c>
      <c r="X571" s="184" t="n">
        <f aca="false">IF(ISERROR(VLOOKUP($P469,Member_Tab,5,FALSE())),0,VLOOKUP($P469,Member_Tab,5,FALSE())*IF(AND(X$5 &gt; VLOOKUP($P469,Member_Tab,6,FALSE()),X$5 &lt; VLOOKUP($P469,Member_Tab,7,FALSE())),1,0))</f>
        <v>0</v>
      </c>
      <c r="Y571" s="184" t="n">
        <f aca="false">IF(ISERROR(VLOOKUP($P469,Member_Tab,5,FALSE())),0,VLOOKUP($P469,Member_Tab,5,FALSE())*IF(AND(Y$5 &gt; VLOOKUP($P469,Member_Tab,6,FALSE()),Y$5 &lt; VLOOKUP($P469,Member_Tab,7,FALSE())),1,0))</f>
        <v>0</v>
      </c>
      <c r="Z571" s="184" t="n">
        <f aca="false">IF(ISERROR(VLOOKUP($P469,Member_Tab,5,FALSE())),0,VLOOKUP($P469,Member_Tab,5,FALSE())*IF(AND(Z$5 &gt; VLOOKUP($P469,Member_Tab,6,FALSE()),Z$5 &lt; VLOOKUP($P469,Member_Tab,7,FALSE())),1,0))</f>
        <v>0</v>
      </c>
      <c r="AA571" s="184" t="n">
        <f aca="false">IF(ISERROR(VLOOKUP($P469,Member_Tab,5,FALSE())),0,VLOOKUP($P469,Member_Tab,5,FALSE())*IF(AND(AA$5 &gt; VLOOKUP($P469,Member_Tab,6,FALSE()),AA$5 &lt; VLOOKUP($P469,Member_Tab,7,FALSE())),1,0))</f>
        <v>0</v>
      </c>
      <c r="AB571" s="184" t="n">
        <f aca="false">IF(ISERROR(VLOOKUP($P469,Member_Tab,5,FALSE())),0,VLOOKUP($P469,Member_Tab,5,FALSE())*IF(AND(AB$5 &gt; VLOOKUP($P469,Member_Tab,6,FALSE()),AB$5 &lt; VLOOKUP($P469,Member_Tab,7,FALSE())),1,0))</f>
        <v>0</v>
      </c>
      <c r="AC571" s="184" t="n">
        <f aca="false">IF(ISERROR(VLOOKUP($P469,Member_Tab,5,FALSE())),0,VLOOKUP($P469,Member_Tab,5,FALSE())*IF(AND(AC$5 &gt; VLOOKUP($P469,Member_Tab,6,FALSE()),AC$5 &lt; VLOOKUP($P469,Member_Tab,7,FALSE())),1,0))</f>
        <v>0</v>
      </c>
      <c r="AD571" s="184" t="n">
        <f aca="false">IF(ISERROR(VLOOKUP($P469,Member_Tab,5,FALSE())),0,VLOOKUP($P469,Member_Tab,5,FALSE())*IF(AND(AD$5 &gt; VLOOKUP($P469,Member_Tab,6,FALSE()),AD$5 &lt; VLOOKUP($P469,Member_Tab,7,FALSE())),1,0))</f>
        <v>0</v>
      </c>
      <c r="AE571" s="184" t="n">
        <f aca="false">IF(ISERROR(VLOOKUP($P469,Member_Tab,5,FALSE())),0,VLOOKUP($P469,Member_Tab,5,FALSE())*IF(AND(AE$5 &gt; VLOOKUP($P469,Member_Tab,6,FALSE()),AE$5 &lt; VLOOKUP($P469,Member_Tab,7,FALSE())),1,0))</f>
        <v>0</v>
      </c>
      <c r="AF571" s="184" t="n">
        <f aca="false">IF(ISERROR(VLOOKUP($P469,Member_Tab,5,FALSE())),0,VLOOKUP($P469,Member_Tab,5,FALSE())*IF(AND(AF$5 &gt; VLOOKUP($P469,Member_Tab,6,FALSE()),AF$5 &lt; VLOOKUP($P469,Member_Tab,7,FALSE())),1,0))</f>
        <v>0</v>
      </c>
      <c r="AG571" s="184" t="n">
        <f aca="false">IF(ISERROR(VLOOKUP($P469,Member_Tab,5,FALSE())),0,VLOOKUP($P469,Member_Tab,5,FALSE())*IF(AND(AG$5 &gt; VLOOKUP($P469,Member_Tab,6,FALSE()),AG$5 &lt; VLOOKUP($P469,Member_Tab,7,FALSE())),1,0))</f>
        <v>0</v>
      </c>
      <c r="AH571" s="184" t="n">
        <f aca="false">IF(ISERROR(VLOOKUP($P469,Member_Tab,5,FALSE())),0,VLOOKUP($P469,Member_Tab,5,FALSE())*IF(AND(AH$5 &gt; VLOOKUP($P469,Member_Tab,6,FALSE()),AH$5 &lt; VLOOKUP($P469,Member_Tab,7,FALSE())),1,0))</f>
        <v>0</v>
      </c>
      <c r="AI571" s="184" t="n">
        <f aca="false">IF(ISERROR(VLOOKUP($P469,Member_Tab,5,FALSE())),0,VLOOKUP($P469,Member_Tab,5,FALSE())*IF(AND(AI$5 &gt; VLOOKUP($P469,Member_Tab,6,FALSE()),AI$5 &lt; VLOOKUP($P469,Member_Tab,7,FALSE())),1,0))</f>
        <v>0</v>
      </c>
      <c r="AJ571" s="184" t="n">
        <f aca="false">IF(ISERROR(VLOOKUP($P469,Member_Tab,5,FALSE())),0,VLOOKUP($P469,Member_Tab,5,FALSE())*IF(AND(AJ$5 &gt; VLOOKUP($P469,Member_Tab,6,FALSE()),AJ$5 &lt; VLOOKUP($P469,Member_Tab,7,FALSE())),1,0))</f>
        <v>0</v>
      </c>
      <c r="AK571" s="184" t="n">
        <f aca="false">IF(ISERROR(VLOOKUP($P469,Member_Tab,5,FALSE())),0,VLOOKUP($P469,Member_Tab,5,FALSE())*IF(AND(AK$5 &gt; VLOOKUP($P469,Member_Tab,6,FALSE()),AK$5 &lt; VLOOKUP($P469,Member_Tab,7,FALSE())),1,0))</f>
        <v>0</v>
      </c>
      <c r="AL571" s="184" t="n">
        <f aca="false">IF(ISERROR(VLOOKUP($P469,Member_Tab,5,FALSE())),0,VLOOKUP($P469,Member_Tab,5,FALSE())*IF(AND(AL$5 &gt; VLOOKUP($P469,Member_Tab,6,FALSE()),AL$5 &lt; VLOOKUP($P469,Member_Tab,7,FALSE())),1,0))</f>
        <v>0</v>
      </c>
      <c r="AM571" s="184" t="n">
        <f aca="false">IF(ISERROR(VLOOKUP($P469,Member_Tab,5,FALSE())),0,VLOOKUP($P469,Member_Tab,5,FALSE())*IF(AND(AM$5 &gt; VLOOKUP($P469,Member_Tab,6,FALSE()),AM$5 &lt; VLOOKUP($P469,Member_Tab,7,FALSE())),1,0))</f>
        <v>0</v>
      </c>
      <c r="AN571" s="184" t="n">
        <f aca="false">IF(ISERROR(VLOOKUP($P469,Member_Tab,5,FALSE())),0,VLOOKUP($P469,Member_Tab,5,FALSE())*IF(AND(AN$5 &gt; VLOOKUP($P469,Member_Tab,6,FALSE()),AN$5 &lt; VLOOKUP($P469,Member_Tab,7,FALSE())),1,0))</f>
        <v>0</v>
      </c>
      <c r="AO571" s="184" t="n">
        <f aca="false">IF(ISERROR(VLOOKUP($P469,Member_Tab,5,FALSE())),0,VLOOKUP($P469,Member_Tab,5,FALSE())*IF(AND(AO$5 &gt; VLOOKUP($P469,Member_Tab,6,FALSE()),AO$5 &lt; VLOOKUP($P469,Member_Tab,7,FALSE())),1,0))</f>
        <v>0</v>
      </c>
      <c r="AP571" s="184" t="n">
        <f aca="false">IF(ISERROR(VLOOKUP($P469,Member_Tab,5,FALSE())),0,VLOOKUP($P469,Member_Tab,5,FALSE())*IF(AND(AP$5 &gt; VLOOKUP($P469,Member_Tab,6,FALSE()),AP$5 &lt; VLOOKUP($P469,Member_Tab,7,FALSE())),1,0))</f>
        <v>0</v>
      </c>
      <c r="AQ571" s="184" t="n">
        <f aca="false">IF(ISERROR(VLOOKUP($P469,Member_Tab,5,FALSE())),0,VLOOKUP($P469,Member_Tab,5,FALSE())*IF(AND(AQ$5 &gt; VLOOKUP($P469,Member_Tab,6,FALSE()),AQ$5 &lt; VLOOKUP($P469,Member_Tab,7,FALSE())),1,0))</f>
        <v>0</v>
      </c>
      <c r="AR571" s="184" t="n">
        <f aca="false">IF(ISERROR(VLOOKUP($P469,Member_Tab,5,FALSE())),0,VLOOKUP($P469,Member_Tab,5,FALSE())*IF(AND(AR$5 &gt; VLOOKUP($P469,Member_Tab,6,FALSE()),AR$5 &lt; VLOOKUP($P469,Member_Tab,7,FALSE())),1,0))</f>
        <v>0</v>
      </c>
      <c r="AS571" s="184" t="n">
        <f aca="false">IF(ISERROR(VLOOKUP($P469,Member_Tab,5,FALSE())),0,VLOOKUP($P469,Member_Tab,5,FALSE())*IF(AND(AS$5 &gt; VLOOKUP($P469,Member_Tab,6,FALSE()),AS$5 &lt; VLOOKUP($P469,Member_Tab,7,FALSE())),1,0))</f>
        <v>0</v>
      </c>
      <c r="AT571" s="184" t="n">
        <f aca="false">IF(ISERROR(VLOOKUP($P469,Member_Tab,5,FALSE())),0,VLOOKUP($P469,Member_Tab,5,FALSE())*IF(AND(AT$5 &gt; VLOOKUP($P469,Member_Tab,6,FALSE()),AT$5 &lt; VLOOKUP($P469,Member_Tab,7,FALSE())),1,0))</f>
        <v>0</v>
      </c>
      <c r="AU571" s="184" t="n">
        <f aca="false">IF(ISERROR(VLOOKUP($P469,Member_Tab,5,FALSE())),0,VLOOKUP($P469,Member_Tab,5,FALSE())*IF(AND(AU$5 &gt; VLOOKUP($P469,Member_Tab,6,FALSE()),AU$5 &lt; VLOOKUP($P469,Member_Tab,7,FALSE())),1,0))</f>
        <v>0</v>
      </c>
      <c r="AV571" s="184" t="n">
        <f aca="false">IF(ISERROR(VLOOKUP($P469,Member_Tab,5,FALSE())),0,VLOOKUP($P469,Member_Tab,5,FALSE())*IF(AND(AV$5 &gt; VLOOKUP($P469,Member_Tab,6,FALSE()),AV$5 &lt; VLOOKUP($P469,Member_Tab,7,FALSE())),1,0))</f>
        <v>0</v>
      </c>
      <c r="AW571" s="184" t="n">
        <f aca="false">IF(ISERROR(VLOOKUP($P469,Member_Tab,5,FALSE())),0,VLOOKUP($P469,Member_Tab,5,FALSE())*IF(AND(AW$5 &gt; VLOOKUP($P469,Member_Tab,6,FALSE()),AW$5 &lt; VLOOKUP($P469,Member_Tab,7,FALSE())),1,0))</f>
        <v>0</v>
      </c>
      <c r="AX571" s="184" t="n">
        <f aca="false">IF(ISERROR(VLOOKUP($P469,Member_Tab,5,FALSE())),0,VLOOKUP($P469,Member_Tab,5,FALSE())*IF(AND(AX$5 &gt; VLOOKUP($P469,Member_Tab,6,FALSE()),AX$5 &lt; VLOOKUP($P469,Member_Tab,7,FALSE())),1,0))</f>
        <v>0</v>
      </c>
      <c r="AY571" s="184" t="n">
        <f aca="false">IF(ISERROR(VLOOKUP($P469,Member_Tab,5,FALSE())),0,VLOOKUP($P469,Member_Tab,5,FALSE())*IF(AND(AY$5 &gt; VLOOKUP($P469,Member_Tab,6,FALSE()),AY$5 &lt; VLOOKUP($P469,Member_Tab,7,FALSE())),1,0))</f>
        <v>0</v>
      </c>
      <c r="AZ571" s="184" t="n">
        <f aca="false">IF(ISERROR(VLOOKUP($P469,Member_Tab,5,FALSE())),0,VLOOKUP($P469,Member_Tab,5,FALSE())*IF(AND(AZ$5 &gt; VLOOKUP($P469,Member_Tab,6,FALSE()),AZ$5 &lt; VLOOKUP($P469,Member_Tab,7,FALSE())),1,0))</f>
        <v>0</v>
      </c>
      <c r="BA571" s="184" t="n">
        <f aca="false">IF(ISERROR(VLOOKUP($P469,Member_Tab,5,FALSE())),0,VLOOKUP($P469,Member_Tab,5,FALSE())*IF(AND(BA$5 &gt; VLOOKUP($P469,Member_Tab,6,FALSE()),BA$5 &lt; VLOOKUP($P469,Member_Tab,7,FALSE())),1,0))</f>
        <v>0</v>
      </c>
      <c r="BB571" s="184" t="n">
        <f aca="false">IF(ISERROR(VLOOKUP($P469,Member_Tab,5,FALSE())),0,VLOOKUP($P469,Member_Tab,5,FALSE())*IF(AND(BB$5 &gt; VLOOKUP($P469,Member_Tab,6,FALSE()),BB$5 &lt; VLOOKUP($P469,Member_Tab,7,FALSE())),1,0))</f>
        <v>0</v>
      </c>
    </row>
    <row r="572" s="173" customFormat="true" ht="15.75" hidden="true" customHeight="false" outlineLevel="1" collapsed="false">
      <c r="E572" s="40"/>
      <c r="K572" s="40"/>
      <c r="L572" s="40"/>
      <c r="M572" s="40"/>
      <c r="N572" s="40"/>
      <c r="P572" s="183" t="n">
        <f aca="false">P470</f>
        <v>0</v>
      </c>
      <c r="Q572" s="40"/>
      <c r="R572" s="182"/>
      <c r="S572" s="184" t="n">
        <f aca="false">IF(ISERROR(VLOOKUP($P470,Member_Tab,5,FALSE())),0,VLOOKUP($P470,Member_Tab,5,FALSE())*IF(AND(S$5 &gt; VLOOKUP($P470,Member_Tab,6,FALSE()),S$5 &lt; VLOOKUP($P470,Member_Tab,7,FALSE())),1,0))</f>
        <v>0</v>
      </c>
      <c r="T572" s="184" t="n">
        <f aca="false">IF(ISERROR(VLOOKUP($P470,Member_Tab,5,FALSE())),0,VLOOKUP($P470,Member_Tab,5,FALSE())*IF(AND(T$5 &gt; VLOOKUP($P470,Member_Tab,6,FALSE()),T$5 &lt; VLOOKUP($P470,Member_Tab,7,FALSE())),1,0))</f>
        <v>0</v>
      </c>
      <c r="U572" s="184" t="n">
        <f aca="false">IF(ISERROR(VLOOKUP($P470,Member_Tab,5,FALSE())),0,VLOOKUP($P470,Member_Tab,5,FALSE())*IF(AND(U$5 &gt; VLOOKUP($P470,Member_Tab,6,FALSE()),U$5 &lt; VLOOKUP($P470,Member_Tab,7,FALSE())),1,0))</f>
        <v>0</v>
      </c>
      <c r="V572" s="184" t="n">
        <f aca="false">IF(ISERROR(VLOOKUP($P470,Member_Tab,5,FALSE())),0,VLOOKUP($P470,Member_Tab,5,FALSE())*IF(AND(V$5 &gt; VLOOKUP($P470,Member_Tab,6,FALSE()),V$5 &lt; VLOOKUP($P470,Member_Tab,7,FALSE())),1,0))</f>
        <v>0</v>
      </c>
      <c r="W572" s="184" t="n">
        <f aca="false">IF(ISERROR(VLOOKUP($P470,Member_Tab,5,FALSE())),0,VLOOKUP($P470,Member_Tab,5,FALSE())*IF(AND(W$5 &gt; VLOOKUP($P470,Member_Tab,6,FALSE()),W$5 &lt; VLOOKUP($P470,Member_Tab,7,FALSE())),1,0))</f>
        <v>0</v>
      </c>
      <c r="X572" s="184" t="n">
        <f aca="false">IF(ISERROR(VLOOKUP($P470,Member_Tab,5,FALSE())),0,VLOOKUP($P470,Member_Tab,5,FALSE())*IF(AND(X$5 &gt; VLOOKUP($P470,Member_Tab,6,FALSE()),X$5 &lt; VLOOKUP($P470,Member_Tab,7,FALSE())),1,0))</f>
        <v>0</v>
      </c>
      <c r="Y572" s="184" t="n">
        <f aca="false">IF(ISERROR(VLOOKUP($P470,Member_Tab,5,FALSE())),0,VLOOKUP($P470,Member_Tab,5,FALSE())*IF(AND(Y$5 &gt; VLOOKUP($P470,Member_Tab,6,FALSE()),Y$5 &lt; VLOOKUP($P470,Member_Tab,7,FALSE())),1,0))</f>
        <v>0</v>
      </c>
      <c r="Z572" s="184" t="n">
        <f aca="false">IF(ISERROR(VLOOKUP($P470,Member_Tab,5,FALSE())),0,VLOOKUP($P470,Member_Tab,5,FALSE())*IF(AND(Z$5 &gt; VLOOKUP($P470,Member_Tab,6,FALSE()),Z$5 &lt; VLOOKUP($P470,Member_Tab,7,FALSE())),1,0))</f>
        <v>0</v>
      </c>
      <c r="AA572" s="184" t="n">
        <f aca="false">IF(ISERROR(VLOOKUP($P470,Member_Tab,5,FALSE())),0,VLOOKUP($P470,Member_Tab,5,FALSE())*IF(AND(AA$5 &gt; VLOOKUP($P470,Member_Tab,6,FALSE()),AA$5 &lt; VLOOKUP($P470,Member_Tab,7,FALSE())),1,0))</f>
        <v>0</v>
      </c>
      <c r="AB572" s="184" t="n">
        <f aca="false">IF(ISERROR(VLOOKUP($P470,Member_Tab,5,FALSE())),0,VLOOKUP($P470,Member_Tab,5,FALSE())*IF(AND(AB$5 &gt; VLOOKUP($P470,Member_Tab,6,FALSE()),AB$5 &lt; VLOOKUP($P470,Member_Tab,7,FALSE())),1,0))</f>
        <v>0</v>
      </c>
      <c r="AC572" s="184" t="n">
        <f aca="false">IF(ISERROR(VLOOKUP($P470,Member_Tab,5,FALSE())),0,VLOOKUP($P470,Member_Tab,5,FALSE())*IF(AND(AC$5 &gt; VLOOKUP($P470,Member_Tab,6,FALSE()),AC$5 &lt; VLOOKUP($P470,Member_Tab,7,FALSE())),1,0))</f>
        <v>0</v>
      </c>
      <c r="AD572" s="184" t="n">
        <f aca="false">IF(ISERROR(VLOOKUP($P470,Member_Tab,5,FALSE())),0,VLOOKUP($P470,Member_Tab,5,FALSE())*IF(AND(AD$5 &gt; VLOOKUP($P470,Member_Tab,6,FALSE()),AD$5 &lt; VLOOKUP($P470,Member_Tab,7,FALSE())),1,0))</f>
        <v>0</v>
      </c>
      <c r="AE572" s="184" t="n">
        <f aca="false">IF(ISERROR(VLOOKUP($P470,Member_Tab,5,FALSE())),0,VLOOKUP($P470,Member_Tab,5,FALSE())*IF(AND(AE$5 &gt; VLOOKUP($P470,Member_Tab,6,FALSE()),AE$5 &lt; VLOOKUP($P470,Member_Tab,7,FALSE())),1,0))</f>
        <v>0</v>
      </c>
      <c r="AF572" s="184" t="n">
        <f aca="false">IF(ISERROR(VLOOKUP($P470,Member_Tab,5,FALSE())),0,VLOOKUP($P470,Member_Tab,5,FALSE())*IF(AND(AF$5 &gt; VLOOKUP($P470,Member_Tab,6,FALSE()),AF$5 &lt; VLOOKUP($P470,Member_Tab,7,FALSE())),1,0))</f>
        <v>0</v>
      </c>
      <c r="AG572" s="184" t="n">
        <f aca="false">IF(ISERROR(VLOOKUP($P470,Member_Tab,5,FALSE())),0,VLOOKUP($P470,Member_Tab,5,FALSE())*IF(AND(AG$5 &gt; VLOOKUP($P470,Member_Tab,6,FALSE()),AG$5 &lt; VLOOKUP($P470,Member_Tab,7,FALSE())),1,0))</f>
        <v>0</v>
      </c>
      <c r="AH572" s="184" t="n">
        <f aca="false">IF(ISERROR(VLOOKUP($P470,Member_Tab,5,FALSE())),0,VLOOKUP($P470,Member_Tab,5,FALSE())*IF(AND(AH$5 &gt; VLOOKUP($P470,Member_Tab,6,FALSE()),AH$5 &lt; VLOOKUP($P470,Member_Tab,7,FALSE())),1,0))</f>
        <v>0</v>
      </c>
      <c r="AI572" s="184" t="n">
        <f aca="false">IF(ISERROR(VLOOKUP($P470,Member_Tab,5,FALSE())),0,VLOOKUP($P470,Member_Tab,5,FALSE())*IF(AND(AI$5 &gt; VLOOKUP($P470,Member_Tab,6,FALSE()),AI$5 &lt; VLOOKUP($P470,Member_Tab,7,FALSE())),1,0))</f>
        <v>0</v>
      </c>
      <c r="AJ572" s="184" t="n">
        <f aca="false">IF(ISERROR(VLOOKUP($P470,Member_Tab,5,FALSE())),0,VLOOKUP($P470,Member_Tab,5,FALSE())*IF(AND(AJ$5 &gt; VLOOKUP($P470,Member_Tab,6,FALSE()),AJ$5 &lt; VLOOKUP($P470,Member_Tab,7,FALSE())),1,0))</f>
        <v>0</v>
      </c>
      <c r="AK572" s="184" t="n">
        <f aca="false">IF(ISERROR(VLOOKUP($P470,Member_Tab,5,FALSE())),0,VLOOKUP($P470,Member_Tab,5,FALSE())*IF(AND(AK$5 &gt; VLOOKUP($P470,Member_Tab,6,FALSE()),AK$5 &lt; VLOOKUP($P470,Member_Tab,7,FALSE())),1,0))</f>
        <v>0</v>
      </c>
      <c r="AL572" s="184" t="n">
        <f aca="false">IF(ISERROR(VLOOKUP($P470,Member_Tab,5,FALSE())),0,VLOOKUP($P470,Member_Tab,5,FALSE())*IF(AND(AL$5 &gt; VLOOKUP($P470,Member_Tab,6,FALSE()),AL$5 &lt; VLOOKUP($P470,Member_Tab,7,FALSE())),1,0))</f>
        <v>0</v>
      </c>
      <c r="AM572" s="184" t="n">
        <f aca="false">IF(ISERROR(VLOOKUP($P470,Member_Tab,5,FALSE())),0,VLOOKUP($P470,Member_Tab,5,FALSE())*IF(AND(AM$5 &gt; VLOOKUP($P470,Member_Tab,6,FALSE()),AM$5 &lt; VLOOKUP($P470,Member_Tab,7,FALSE())),1,0))</f>
        <v>0</v>
      </c>
      <c r="AN572" s="184" t="n">
        <f aca="false">IF(ISERROR(VLOOKUP($P470,Member_Tab,5,FALSE())),0,VLOOKUP($P470,Member_Tab,5,FALSE())*IF(AND(AN$5 &gt; VLOOKUP($P470,Member_Tab,6,FALSE()),AN$5 &lt; VLOOKUP($P470,Member_Tab,7,FALSE())),1,0))</f>
        <v>0</v>
      </c>
      <c r="AO572" s="184" t="n">
        <f aca="false">IF(ISERROR(VLOOKUP($P470,Member_Tab,5,FALSE())),0,VLOOKUP($P470,Member_Tab,5,FALSE())*IF(AND(AO$5 &gt; VLOOKUP($P470,Member_Tab,6,FALSE()),AO$5 &lt; VLOOKUP($P470,Member_Tab,7,FALSE())),1,0))</f>
        <v>0</v>
      </c>
      <c r="AP572" s="184" t="n">
        <f aca="false">IF(ISERROR(VLOOKUP($P470,Member_Tab,5,FALSE())),0,VLOOKUP($P470,Member_Tab,5,FALSE())*IF(AND(AP$5 &gt; VLOOKUP($P470,Member_Tab,6,FALSE()),AP$5 &lt; VLOOKUP($P470,Member_Tab,7,FALSE())),1,0))</f>
        <v>0</v>
      </c>
      <c r="AQ572" s="184" t="n">
        <f aca="false">IF(ISERROR(VLOOKUP($P470,Member_Tab,5,FALSE())),0,VLOOKUP($P470,Member_Tab,5,FALSE())*IF(AND(AQ$5 &gt; VLOOKUP($P470,Member_Tab,6,FALSE()),AQ$5 &lt; VLOOKUP($P470,Member_Tab,7,FALSE())),1,0))</f>
        <v>0</v>
      </c>
      <c r="AR572" s="184" t="n">
        <f aca="false">IF(ISERROR(VLOOKUP($P470,Member_Tab,5,FALSE())),0,VLOOKUP($P470,Member_Tab,5,FALSE())*IF(AND(AR$5 &gt; VLOOKUP($P470,Member_Tab,6,FALSE()),AR$5 &lt; VLOOKUP($P470,Member_Tab,7,FALSE())),1,0))</f>
        <v>0</v>
      </c>
      <c r="AS572" s="184" t="n">
        <f aca="false">IF(ISERROR(VLOOKUP($P470,Member_Tab,5,FALSE())),0,VLOOKUP($P470,Member_Tab,5,FALSE())*IF(AND(AS$5 &gt; VLOOKUP($P470,Member_Tab,6,FALSE()),AS$5 &lt; VLOOKUP($P470,Member_Tab,7,FALSE())),1,0))</f>
        <v>0</v>
      </c>
      <c r="AT572" s="184" t="n">
        <f aca="false">IF(ISERROR(VLOOKUP($P470,Member_Tab,5,FALSE())),0,VLOOKUP($P470,Member_Tab,5,FALSE())*IF(AND(AT$5 &gt; VLOOKUP($P470,Member_Tab,6,FALSE()),AT$5 &lt; VLOOKUP($P470,Member_Tab,7,FALSE())),1,0))</f>
        <v>0</v>
      </c>
      <c r="AU572" s="184" t="n">
        <f aca="false">IF(ISERROR(VLOOKUP($P470,Member_Tab,5,FALSE())),0,VLOOKUP($P470,Member_Tab,5,FALSE())*IF(AND(AU$5 &gt; VLOOKUP($P470,Member_Tab,6,FALSE()),AU$5 &lt; VLOOKUP($P470,Member_Tab,7,FALSE())),1,0))</f>
        <v>0</v>
      </c>
      <c r="AV572" s="184" t="n">
        <f aca="false">IF(ISERROR(VLOOKUP($P470,Member_Tab,5,FALSE())),0,VLOOKUP($P470,Member_Tab,5,FALSE())*IF(AND(AV$5 &gt; VLOOKUP($P470,Member_Tab,6,FALSE()),AV$5 &lt; VLOOKUP($P470,Member_Tab,7,FALSE())),1,0))</f>
        <v>0</v>
      </c>
      <c r="AW572" s="184" t="n">
        <f aca="false">IF(ISERROR(VLOOKUP($P470,Member_Tab,5,FALSE())),0,VLOOKUP($P470,Member_Tab,5,FALSE())*IF(AND(AW$5 &gt; VLOOKUP($P470,Member_Tab,6,FALSE()),AW$5 &lt; VLOOKUP($P470,Member_Tab,7,FALSE())),1,0))</f>
        <v>0</v>
      </c>
      <c r="AX572" s="184" t="n">
        <f aca="false">IF(ISERROR(VLOOKUP($P470,Member_Tab,5,FALSE())),0,VLOOKUP($P470,Member_Tab,5,FALSE())*IF(AND(AX$5 &gt; VLOOKUP($P470,Member_Tab,6,FALSE()),AX$5 &lt; VLOOKUP($P470,Member_Tab,7,FALSE())),1,0))</f>
        <v>0</v>
      </c>
      <c r="AY572" s="184" t="n">
        <f aca="false">IF(ISERROR(VLOOKUP($P470,Member_Tab,5,FALSE())),0,VLOOKUP($P470,Member_Tab,5,FALSE())*IF(AND(AY$5 &gt; VLOOKUP($P470,Member_Tab,6,FALSE()),AY$5 &lt; VLOOKUP($P470,Member_Tab,7,FALSE())),1,0))</f>
        <v>0</v>
      </c>
      <c r="AZ572" s="184" t="n">
        <f aca="false">IF(ISERROR(VLOOKUP($P470,Member_Tab,5,FALSE())),0,VLOOKUP($P470,Member_Tab,5,FALSE())*IF(AND(AZ$5 &gt; VLOOKUP($P470,Member_Tab,6,FALSE()),AZ$5 &lt; VLOOKUP($P470,Member_Tab,7,FALSE())),1,0))</f>
        <v>0</v>
      </c>
      <c r="BA572" s="184" t="n">
        <f aca="false">IF(ISERROR(VLOOKUP($P470,Member_Tab,5,FALSE())),0,VLOOKUP($P470,Member_Tab,5,FALSE())*IF(AND(BA$5 &gt; VLOOKUP($P470,Member_Tab,6,FALSE()),BA$5 &lt; VLOOKUP($P470,Member_Tab,7,FALSE())),1,0))</f>
        <v>0</v>
      </c>
      <c r="BB572" s="184" t="n">
        <f aca="false">IF(ISERROR(VLOOKUP($P470,Member_Tab,5,FALSE())),0,VLOOKUP($P470,Member_Tab,5,FALSE())*IF(AND(BB$5 &gt; VLOOKUP($P470,Member_Tab,6,FALSE()),BB$5 &lt; VLOOKUP($P470,Member_Tab,7,FALSE())),1,0))</f>
        <v>0</v>
      </c>
    </row>
    <row r="573" s="173" customFormat="true" ht="15.75" hidden="true" customHeight="false" outlineLevel="1" collapsed="false">
      <c r="E573" s="40"/>
      <c r="K573" s="40"/>
      <c r="L573" s="40"/>
      <c r="M573" s="40"/>
      <c r="N573" s="40"/>
      <c r="P573" s="183" t="n">
        <f aca="false">P471</f>
        <v>0</v>
      </c>
      <c r="Q573" s="40"/>
      <c r="R573" s="182"/>
      <c r="S573" s="184" t="n">
        <f aca="false">IF(ISERROR(VLOOKUP($P471,Member_Tab,5,FALSE())),0,VLOOKUP($P471,Member_Tab,5,FALSE())*IF(AND(S$5 &gt; VLOOKUP($P471,Member_Tab,6,FALSE()),S$5 &lt; VLOOKUP($P471,Member_Tab,7,FALSE())),1,0))</f>
        <v>0</v>
      </c>
      <c r="T573" s="184" t="n">
        <f aca="false">IF(ISERROR(VLOOKUP($P471,Member_Tab,5,FALSE())),0,VLOOKUP($P471,Member_Tab,5,FALSE())*IF(AND(T$5 &gt; VLOOKUP($P471,Member_Tab,6,FALSE()),T$5 &lt; VLOOKUP($P471,Member_Tab,7,FALSE())),1,0))</f>
        <v>0</v>
      </c>
      <c r="U573" s="184" t="n">
        <f aca="false">IF(ISERROR(VLOOKUP($P471,Member_Tab,5,FALSE())),0,VLOOKUP($P471,Member_Tab,5,FALSE())*IF(AND(U$5 &gt; VLOOKUP($P471,Member_Tab,6,FALSE()),U$5 &lt; VLOOKUP($P471,Member_Tab,7,FALSE())),1,0))</f>
        <v>0</v>
      </c>
      <c r="V573" s="184" t="n">
        <f aca="false">IF(ISERROR(VLOOKUP($P471,Member_Tab,5,FALSE())),0,VLOOKUP($P471,Member_Tab,5,FALSE())*IF(AND(V$5 &gt; VLOOKUP($P471,Member_Tab,6,FALSE()),V$5 &lt; VLOOKUP($P471,Member_Tab,7,FALSE())),1,0))</f>
        <v>0</v>
      </c>
      <c r="W573" s="184" t="n">
        <f aca="false">IF(ISERROR(VLOOKUP($P471,Member_Tab,5,FALSE())),0,VLOOKUP($P471,Member_Tab,5,FALSE())*IF(AND(W$5 &gt; VLOOKUP($P471,Member_Tab,6,FALSE()),W$5 &lt; VLOOKUP($P471,Member_Tab,7,FALSE())),1,0))</f>
        <v>0</v>
      </c>
      <c r="X573" s="184" t="n">
        <f aca="false">IF(ISERROR(VLOOKUP($P471,Member_Tab,5,FALSE())),0,VLOOKUP($P471,Member_Tab,5,FALSE())*IF(AND(X$5 &gt; VLOOKUP($P471,Member_Tab,6,FALSE()),X$5 &lt; VLOOKUP($P471,Member_Tab,7,FALSE())),1,0))</f>
        <v>0</v>
      </c>
      <c r="Y573" s="184" t="n">
        <f aca="false">IF(ISERROR(VLOOKUP($P471,Member_Tab,5,FALSE())),0,VLOOKUP($P471,Member_Tab,5,FALSE())*IF(AND(Y$5 &gt; VLOOKUP($P471,Member_Tab,6,FALSE()),Y$5 &lt; VLOOKUP($P471,Member_Tab,7,FALSE())),1,0))</f>
        <v>0</v>
      </c>
      <c r="Z573" s="184" t="n">
        <f aca="false">IF(ISERROR(VLOOKUP($P471,Member_Tab,5,FALSE())),0,VLOOKUP($P471,Member_Tab,5,FALSE())*IF(AND(Z$5 &gt; VLOOKUP($P471,Member_Tab,6,FALSE()),Z$5 &lt; VLOOKUP($P471,Member_Tab,7,FALSE())),1,0))</f>
        <v>0</v>
      </c>
      <c r="AA573" s="184" t="n">
        <f aca="false">IF(ISERROR(VLOOKUP($P471,Member_Tab,5,FALSE())),0,VLOOKUP($P471,Member_Tab,5,FALSE())*IF(AND(AA$5 &gt; VLOOKUP($P471,Member_Tab,6,FALSE()),AA$5 &lt; VLOOKUP($P471,Member_Tab,7,FALSE())),1,0))</f>
        <v>0</v>
      </c>
      <c r="AB573" s="184" t="n">
        <f aca="false">IF(ISERROR(VLOOKUP($P471,Member_Tab,5,FALSE())),0,VLOOKUP($P471,Member_Tab,5,FALSE())*IF(AND(AB$5 &gt; VLOOKUP($P471,Member_Tab,6,FALSE()),AB$5 &lt; VLOOKUP($P471,Member_Tab,7,FALSE())),1,0))</f>
        <v>0</v>
      </c>
      <c r="AC573" s="184" t="n">
        <f aca="false">IF(ISERROR(VLOOKUP($P471,Member_Tab,5,FALSE())),0,VLOOKUP($P471,Member_Tab,5,FALSE())*IF(AND(AC$5 &gt; VLOOKUP($P471,Member_Tab,6,FALSE()),AC$5 &lt; VLOOKUP($P471,Member_Tab,7,FALSE())),1,0))</f>
        <v>0</v>
      </c>
      <c r="AD573" s="184" t="n">
        <f aca="false">IF(ISERROR(VLOOKUP($P471,Member_Tab,5,FALSE())),0,VLOOKUP($P471,Member_Tab,5,FALSE())*IF(AND(AD$5 &gt; VLOOKUP($P471,Member_Tab,6,FALSE()),AD$5 &lt; VLOOKUP($P471,Member_Tab,7,FALSE())),1,0))</f>
        <v>0</v>
      </c>
      <c r="AE573" s="184" t="n">
        <f aca="false">IF(ISERROR(VLOOKUP($P471,Member_Tab,5,FALSE())),0,VLOOKUP($P471,Member_Tab,5,FALSE())*IF(AND(AE$5 &gt; VLOOKUP($P471,Member_Tab,6,FALSE()),AE$5 &lt; VLOOKUP($P471,Member_Tab,7,FALSE())),1,0))</f>
        <v>0</v>
      </c>
      <c r="AF573" s="184" t="n">
        <f aca="false">IF(ISERROR(VLOOKUP($P471,Member_Tab,5,FALSE())),0,VLOOKUP($P471,Member_Tab,5,FALSE())*IF(AND(AF$5 &gt; VLOOKUP($P471,Member_Tab,6,FALSE()),AF$5 &lt; VLOOKUP($P471,Member_Tab,7,FALSE())),1,0))</f>
        <v>0</v>
      </c>
      <c r="AG573" s="184" t="n">
        <f aca="false">IF(ISERROR(VLOOKUP($P471,Member_Tab,5,FALSE())),0,VLOOKUP($P471,Member_Tab,5,FALSE())*IF(AND(AG$5 &gt; VLOOKUP($P471,Member_Tab,6,FALSE()),AG$5 &lt; VLOOKUP($P471,Member_Tab,7,FALSE())),1,0))</f>
        <v>0</v>
      </c>
      <c r="AH573" s="184" t="n">
        <f aca="false">IF(ISERROR(VLOOKUP($P471,Member_Tab,5,FALSE())),0,VLOOKUP($P471,Member_Tab,5,FALSE())*IF(AND(AH$5 &gt; VLOOKUP($P471,Member_Tab,6,FALSE()),AH$5 &lt; VLOOKUP($P471,Member_Tab,7,FALSE())),1,0))</f>
        <v>0</v>
      </c>
      <c r="AI573" s="184" t="n">
        <f aca="false">IF(ISERROR(VLOOKUP($P471,Member_Tab,5,FALSE())),0,VLOOKUP($P471,Member_Tab,5,FALSE())*IF(AND(AI$5 &gt; VLOOKUP($P471,Member_Tab,6,FALSE()),AI$5 &lt; VLOOKUP($P471,Member_Tab,7,FALSE())),1,0))</f>
        <v>0</v>
      </c>
      <c r="AJ573" s="184" t="n">
        <f aca="false">IF(ISERROR(VLOOKUP($P471,Member_Tab,5,FALSE())),0,VLOOKUP($P471,Member_Tab,5,FALSE())*IF(AND(AJ$5 &gt; VLOOKUP($P471,Member_Tab,6,FALSE()),AJ$5 &lt; VLOOKUP($P471,Member_Tab,7,FALSE())),1,0))</f>
        <v>0</v>
      </c>
      <c r="AK573" s="184" t="n">
        <f aca="false">IF(ISERROR(VLOOKUP($P471,Member_Tab,5,FALSE())),0,VLOOKUP($P471,Member_Tab,5,FALSE())*IF(AND(AK$5 &gt; VLOOKUP($P471,Member_Tab,6,FALSE()),AK$5 &lt; VLOOKUP($P471,Member_Tab,7,FALSE())),1,0))</f>
        <v>0</v>
      </c>
      <c r="AL573" s="184" t="n">
        <f aca="false">IF(ISERROR(VLOOKUP($P471,Member_Tab,5,FALSE())),0,VLOOKUP($P471,Member_Tab,5,FALSE())*IF(AND(AL$5 &gt; VLOOKUP($P471,Member_Tab,6,FALSE()),AL$5 &lt; VLOOKUP($P471,Member_Tab,7,FALSE())),1,0))</f>
        <v>0</v>
      </c>
      <c r="AM573" s="184" t="n">
        <f aca="false">IF(ISERROR(VLOOKUP($P471,Member_Tab,5,FALSE())),0,VLOOKUP($P471,Member_Tab,5,FALSE())*IF(AND(AM$5 &gt; VLOOKUP($P471,Member_Tab,6,FALSE()),AM$5 &lt; VLOOKUP($P471,Member_Tab,7,FALSE())),1,0))</f>
        <v>0</v>
      </c>
      <c r="AN573" s="184" t="n">
        <f aca="false">IF(ISERROR(VLOOKUP($P471,Member_Tab,5,FALSE())),0,VLOOKUP($P471,Member_Tab,5,FALSE())*IF(AND(AN$5 &gt; VLOOKUP($P471,Member_Tab,6,FALSE()),AN$5 &lt; VLOOKUP($P471,Member_Tab,7,FALSE())),1,0))</f>
        <v>0</v>
      </c>
      <c r="AO573" s="184" t="n">
        <f aca="false">IF(ISERROR(VLOOKUP($P471,Member_Tab,5,FALSE())),0,VLOOKUP($P471,Member_Tab,5,FALSE())*IF(AND(AO$5 &gt; VLOOKUP($P471,Member_Tab,6,FALSE()),AO$5 &lt; VLOOKUP($P471,Member_Tab,7,FALSE())),1,0))</f>
        <v>0</v>
      </c>
      <c r="AP573" s="184" t="n">
        <f aca="false">IF(ISERROR(VLOOKUP($P471,Member_Tab,5,FALSE())),0,VLOOKUP($P471,Member_Tab,5,FALSE())*IF(AND(AP$5 &gt; VLOOKUP($P471,Member_Tab,6,FALSE()),AP$5 &lt; VLOOKUP($P471,Member_Tab,7,FALSE())),1,0))</f>
        <v>0</v>
      </c>
      <c r="AQ573" s="184" t="n">
        <f aca="false">IF(ISERROR(VLOOKUP($P471,Member_Tab,5,FALSE())),0,VLOOKUP($P471,Member_Tab,5,FALSE())*IF(AND(AQ$5 &gt; VLOOKUP($P471,Member_Tab,6,FALSE()),AQ$5 &lt; VLOOKUP($P471,Member_Tab,7,FALSE())),1,0))</f>
        <v>0</v>
      </c>
      <c r="AR573" s="184" t="n">
        <f aca="false">IF(ISERROR(VLOOKUP($P471,Member_Tab,5,FALSE())),0,VLOOKUP($P471,Member_Tab,5,FALSE())*IF(AND(AR$5 &gt; VLOOKUP($P471,Member_Tab,6,FALSE()),AR$5 &lt; VLOOKUP($P471,Member_Tab,7,FALSE())),1,0))</f>
        <v>0</v>
      </c>
      <c r="AS573" s="184" t="n">
        <f aca="false">IF(ISERROR(VLOOKUP($P471,Member_Tab,5,FALSE())),0,VLOOKUP($P471,Member_Tab,5,FALSE())*IF(AND(AS$5 &gt; VLOOKUP($P471,Member_Tab,6,FALSE()),AS$5 &lt; VLOOKUP($P471,Member_Tab,7,FALSE())),1,0))</f>
        <v>0</v>
      </c>
      <c r="AT573" s="184" t="n">
        <f aca="false">IF(ISERROR(VLOOKUP($P471,Member_Tab,5,FALSE())),0,VLOOKUP($P471,Member_Tab,5,FALSE())*IF(AND(AT$5 &gt; VLOOKUP($P471,Member_Tab,6,FALSE()),AT$5 &lt; VLOOKUP($P471,Member_Tab,7,FALSE())),1,0))</f>
        <v>0</v>
      </c>
      <c r="AU573" s="184" t="n">
        <f aca="false">IF(ISERROR(VLOOKUP($P471,Member_Tab,5,FALSE())),0,VLOOKUP($P471,Member_Tab,5,FALSE())*IF(AND(AU$5 &gt; VLOOKUP($P471,Member_Tab,6,FALSE()),AU$5 &lt; VLOOKUP($P471,Member_Tab,7,FALSE())),1,0))</f>
        <v>0</v>
      </c>
      <c r="AV573" s="184" t="n">
        <f aca="false">IF(ISERROR(VLOOKUP($P471,Member_Tab,5,FALSE())),0,VLOOKUP($P471,Member_Tab,5,FALSE())*IF(AND(AV$5 &gt; VLOOKUP($P471,Member_Tab,6,FALSE()),AV$5 &lt; VLOOKUP($P471,Member_Tab,7,FALSE())),1,0))</f>
        <v>0</v>
      </c>
      <c r="AW573" s="184" t="n">
        <f aca="false">IF(ISERROR(VLOOKUP($P471,Member_Tab,5,FALSE())),0,VLOOKUP($P471,Member_Tab,5,FALSE())*IF(AND(AW$5 &gt; VLOOKUP($P471,Member_Tab,6,FALSE()),AW$5 &lt; VLOOKUP($P471,Member_Tab,7,FALSE())),1,0))</f>
        <v>0</v>
      </c>
      <c r="AX573" s="184" t="n">
        <f aca="false">IF(ISERROR(VLOOKUP($P471,Member_Tab,5,FALSE())),0,VLOOKUP($P471,Member_Tab,5,FALSE())*IF(AND(AX$5 &gt; VLOOKUP($P471,Member_Tab,6,FALSE()),AX$5 &lt; VLOOKUP($P471,Member_Tab,7,FALSE())),1,0))</f>
        <v>0</v>
      </c>
      <c r="AY573" s="184" t="n">
        <f aca="false">IF(ISERROR(VLOOKUP($P471,Member_Tab,5,FALSE())),0,VLOOKUP($P471,Member_Tab,5,FALSE())*IF(AND(AY$5 &gt; VLOOKUP($P471,Member_Tab,6,FALSE()),AY$5 &lt; VLOOKUP($P471,Member_Tab,7,FALSE())),1,0))</f>
        <v>0</v>
      </c>
      <c r="AZ573" s="184" t="n">
        <f aca="false">IF(ISERROR(VLOOKUP($P471,Member_Tab,5,FALSE())),0,VLOOKUP($P471,Member_Tab,5,FALSE())*IF(AND(AZ$5 &gt; VLOOKUP($P471,Member_Tab,6,FALSE()),AZ$5 &lt; VLOOKUP($P471,Member_Tab,7,FALSE())),1,0))</f>
        <v>0</v>
      </c>
      <c r="BA573" s="184" t="n">
        <f aca="false">IF(ISERROR(VLOOKUP($P471,Member_Tab,5,FALSE())),0,VLOOKUP($P471,Member_Tab,5,FALSE())*IF(AND(BA$5 &gt; VLOOKUP($P471,Member_Tab,6,FALSE()),BA$5 &lt; VLOOKUP($P471,Member_Tab,7,FALSE())),1,0))</f>
        <v>0</v>
      </c>
      <c r="BB573" s="184" t="n">
        <f aca="false">IF(ISERROR(VLOOKUP($P471,Member_Tab,5,FALSE())),0,VLOOKUP($P471,Member_Tab,5,FALSE())*IF(AND(BB$5 &gt; VLOOKUP($P471,Member_Tab,6,FALSE()),BB$5 &lt; VLOOKUP($P471,Member_Tab,7,FALSE())),1,0))</f>
        <v>0</v>
      </c>
    </row>
    <row r="574" s="173" customFormat="true" ht="15.75" hidden="true" customHeight="false" outlineLevel="1" collapsed="false">
      <c r="E574" s="40"/>
      <c r="K574" s="40"/>
      <c r="L574" s="40"/>
      <c r="M574" s="40"/>
      <c r="N574" s="40"/>
      <c r="P574" s="183" t="n">
        <f aca="false">P472</f>
        <v>0</v>
      </c>
      <c r="Q574" s="40"/>
      <c r="R574" s="182"/>
      <c r="S574" s="184" t="n">
        <f aca="false">IF(ISERROR(VLOOKUP($P472,Member_Tab,5,FALSE())),0,VLOOKUP($P472,Member_Tab,5,FALSE())*IF(AND(S$5 &gt; VLOOKUP($P472,Member_Tab,6,FALSE()),S$5 &lt; VLOOKUP($P472,Member_Tab,7,FALSE())),1,0))</f>
        <v>0</v>
      </c>
      <c r="T574" s="184" t="n">
        <f aca="false">IF(ISERROR(VLOOKUP($P472,Member_Tab,5,FALSE())),0,VLOOKUP($P472,Member_Tab,5,FALSE())*IF(AND(T$5 &gt; VLOOKUP($P472,Member_Tab,6,FALSE()),T$5 &lt; VLOOKUP($P472,Member_Tab,7,FALSE())),1,0))</f>
        <v>0</v>
      </c>
      <c r="U574" s="184" t="n">
        <f aca="false">IF(ISERROR(VLOOKUP($P472,Member_Tab,5,FALSE())),0,VLOOKUP($P472,Member_Tab,5,FALSE())*IF(AND(U$5 &gt; VLOOKUP($P472,Member_Tab,6,FALSE()),U$5 &lt; VLOOKUP($P472,Member_Tab,7,FALSE())),1,0))</f>
        <v>0</v>
      </c>
      <c r="V574" s="184" t="n">
        <f aca="false">IF(ISERROR(VLOOKUP($P472,Member_Tab,5,FALSE())),0,VLOOKUP($P472,Member_Tab,5,FALSE())*IF(AND(V$5 &gt; VLOOKUP($P472,Member_Tab,6,FALSE()),V$5 &lt; VLOOKUP($P472,Member_Tab,7,FALSE())),1,0))</f>
        <v>0</v>
      </c>
      <c r="W574" s="184" t="n">
        <f aca="false">IF(ISERROR(VLOOKUP($P472,Member_Tab,5,FALSE())),0,VLOOKUP($P472,Member_Tab,5,FALSE())*IF(AND(W$5 &gt; VLOOKUP($P472,Member_Tab,6,FALSE()),W$5 &lt; VLOOKUP($P472,Member_Tab,7,FALSE())),1,0))</f>
        <v>0</v>
      </c>
      <c r="X574" s="184" t="n">
        <f aca="false">IF(ISERROR(VLOOKUP($P472,Member_Tab,5,FALSE())),0,VLOOKUP($P472,Member_Tab,5,FALSE())*IF(AND(X$5 &gt; VLOOKUP($P472,Member_Tab,6,FALSE()),X$5 &lt; VLOOKUP($P472,Member_Tab,7,FALSE())),1,0))</f>
        <v>0</v>
      </c>
      <c r="Y574" s="184" t="n">
        <f aca="false">IF(ISERROR(VLOOKUP($P472,Member_Tab,5,FALSE())),0,VLOOKUP($P472,Member_Tab,5,FALSE())*IF(AND(Y$5 &gt; VLOOKUP($P472,Member_Tab,6,FALSE()),Y$5 &lt; VLOOKUP($P472,Member_Tab,7,FALSE())),1,0))</f>
        <v>0</v>
      </c>
      <c r="Z574" s="184" t="n">
        <f aca="false">IF(ISERROR(VLOOKUP($P472,Member_Tab,5,FALSE())),0,VLOOKUP($P472,Member_Tab,5,FALSE())*IF(AND(Z$5 &gt; VLOOKUP($P472,Member_Tab,6,FALSE()),Z$5 &lt; VLOOKUP($P472,Member_Tab,7,FALSE())),1,0))</f>
        <v>0</v>
      </c>
      <c r="AA574" s="184" t="n">
        <f aca="false">IF(ISERROR(VLOOKUP($P472,Member_Tab,5,FALSE())),0,VLOOKUP($P472,Member_Tab,5,FALSE())*IF(AND(AA$5 &gt; VLOOKUP($P472,Member_Tab,6,FALSE()),AA$5 &lt; VLOOKUP($P472,Member_Tab,7,FALSE())),1,0))</f>
        <v>0</v>
      </c>
      <c r="AB574" s="184" t="n">
        <f aca="false">IF(ISERROR(VLOOKUP($P472,Member_Tab,5,FALSE())),0,VLOOKUP($P472,Member_Tab,5,FALSE())*IF(AND(AB$5 &gt; VLOOKUP($P472,Member_Tab,6,FALSE()),AB$5 &lt; VLOOKUP($P472,Member_Tab,7,FALSE())),1,0))</f>
        <v>0</v>
      </c>
      <c r="AC574" s="184" t="n">
        <f aca="false">IF(ISERROR(VLOOKUP($P472,Member_Tab,5,FALSE())),0,VLOOKUP($P472,Member_Tab,5,FALSE())*IF(AND(AC$5 &gt; VLOOKUP($P472,Member_Tab,6,FALSE()),AC$5 &lt; VLOOKUP($P472,Member_Tab,7,FALSE())),1,0))</f>
        <v>0</v>
      </c>
      <c r="AD574" s="184" t="n">
        <f aca="false">IF(ISERROR(VLOOKUP($P472,Member_Tab,5,FALSE())),0,VLOOKUP($P472,Member_Tab,5,FALSE())*IF(AND(AD$5 &gt; VLOOKUP($P472,Member_Tab,6,FALSE()),AD$5 &lt; VLOOKUP($P472,Member_Tab,7,FALSE())),1,0))</f>
        <v>0</v>
      </c>
      <c r="AE574" s="184" t="n">
        <f aca="false">IF(ISERROR(VLOOKUP($P472,Member_Tab,5,FALSE())),0,VLOOKUP($P472,Member_Tab,5,FALSE())*IF(AND(AE$5 &gt; VLOOKUP($P472,Member_Tab,6,FALSE()),AE$5 &lt; VLOOKUP($P472,Member_Tab,7,FALSE())),1,0))</f>
        <v>0</v>
      </c>
      <c r="AF574" s="184" t="n">
        <f aca="false">IF(ISERROR(VLOOKUP($P472,Member_Tab,5,FALSE())),0,VLOOKUP($P472,Member_Tab,5,FALSE())*IF(AND(AF$5 &gt; VLOOKUP($P472,Member_Tab,6,FALSE()),AF$5 &lt; VLOOKUP($P472,Member_Tab,7,FALSE())),1,0))</f>
        <v>0</v>
      </c>
      <c r="AG574" s="184" t="n">
        <f aca="false">IF(ISERROR(VLOOKUP($P472,Member_Tab,5,FALSE())),0,VLOOKUP($P472,Member_Tab,5,FALSE())*IF(AND(AG$5 &gt; VLOOKUP($P472,Member_Tab,6,FALSE()),AG$5 &lt; VLOOKUP($P472,Member_Tab,7,FALSE())),1,0))</f>
        <v>0</v>
      </c>
      <c r="AH574" s="184" t="n">
        <f aca="false">IF(ISERROR(VLOOKUP($P472,Member_Tab,5,FALSE())),0,VLOOKUP($P472,Member_Tab,5,FALSE())*IF(AND(AH$5 &gt; VLOOKUP($P472,Member_Tab,6,FALSE()),AH$5 &lt; VLOOKUP($P472,Member_Tab,7,FALSE())),1,0))</f>
        <v>0</v>
      </c>
      <c r="AI574" s="184" t="n">
        <f aca="false">IF(ISERROR(VLOOKUP($P472,Member_Tab,5,FALSE())),0,VLOOKUP($P472,Member_Tab,5,FALSE())*IF(AND(AI$5 &gt; VLOOKUP($P472,Member_Tab,6,FALSE()),AI$5 &lt; VLOOKUP($P472,Member_Tab,7,FALSE())),1,0))</f>
        <v>0</v>
      </c>
      <c r="AJ574" s="184" t="n">
        <f aca="false">IF(ISERROR(VLOOKUP($P472,Member_Tab,5,FALSE())),0,VLOOKUP($P472,Member_Tab,5,FALSE())*IF(AND(AJ$5 &gt; VLOOKUP($P472,Member_Tab,6,FALSE()),AJ$5 &lt; VLOOKUP($P472,Member_Tab,7,FALSE())),1,0))</f>
        <v>0</v>
      </c>
      <c r="AK574" s="184" t="n">
        <f aca="false">IF(ISERROR(VLOOKUP($P472,Member_Tab,5,FALSE())),0,VLOOKUP($P472,Member_Tab,5,FALSE())*IF(AND(AK$5 &gt; VLOOKUP($P472,Member_Tab,6,FALSE()),AK$5 &lt; VLOOKUP($P472,Member_Tab,7,FALSE())),1,0))</f>
        <v>0</v>
      </c>
      <c r="AL574" s="184" t="n">
        <f aca="false">IF(ISERROR(VLOOKUP($P472,Member_Tab,5,FALSE())),0,VLOOKUP($P472,Member_Tab,5,FALSE())*IF(AND(AL$5 &gt; VLOOKUP($P472,Member_Tab,6,FALSE()),AL$5 &lt; VLOOKUP($P472,Member_Tab,7,FALSE())),1,0))</f>
        <v>0</v>
      </c>
      <c r="AM574" s="184" t="n">
        <f aca="false">IF(ISERROR(VLOOKUP($P472,Member_Tab,5,FALSE())),0,VLOOKUP($P472,Member_Tab,5,FALSE())*IF(AND(AM$5 &gt; VLOOKUP($P472,Member_Tab,6,FALSE()),AM$5 &lt; VLOOKUP($P472,Member_Tab,7,FALSE())),1,0))</f>
        <v>0</v>
      </c>
      <c r="AN574" s="184" t="n">
        <f aca="false">IF(ISERROR(VLOOKUP($P472,Member_Tab,5,FALSE())),0,VLOOKUP($P472,Member_Tab,5,FALSE())*IF(AND(AN$5 &gt; VLOOKUP($P472,Member_Tab,6,FALSE()),AN$5 &lt; VLOOKUP($P472,Member_Tab,7,FALSE())),1,0))</f>
        <v>0</v>
      </c>
      <c r="AO574" s="184" t="n">
        <f aca="false">IF(ISERROR(VLOOKUP($P472,Member_Tab,5,FALSE())),0,VLOOKUP($P472,Member_Tab,5,FALSE())*IF(AND(AO$5 &gt; VLOOKUP($P472,Member_Tab,6,FALSE()),AO$5 &lt; VLOOKUP($P472,Member_Tab,7,FALSE())),1,0))</f>
        <v>0</v>
      </c>
      <c r="AP574" s="184" t="n">
        <f aca="false">IF(ISERROR(VLOOKUP($P472,Member_Tab,5,FALSE())),0,VLOOKUP($P472,Member_Tab,5,FALSE())*IF(AND(AP$5 &gt; VLOOKUP($P472,Member_Tab,6,FALSE()),AP$5 &lt; VLOOKUP($P472,Member_Tab,7,FALSE())),1,0))</f>
        <v>0</v>
      </c>
      <c r="AQ574" s="184" t="n">
        <f aca="false">IF(ISERROR(VLOOKUP($P472,Member_Tab,5,FALSE())),0,VLOOKUP($P472,Member_Tab,5,FALSE())*IF(AND(AQ$5 &gt; VLOOKUP($P472,Member_Tab,6,FALSE()),AQ$5 &lt; VLOOKUP($P472,Member_Tab,7,FALSE())),1,0))</f>
        <v>0</v>
      </c>
      <c r="AR574" s="184" t="n">
        <f aca="false">IF(ISERROR(VLOOKUP($P472,Member_Tab,5,FALSE())),0,VLOOKUP($P472,Member_Tab,5,FALSE())*IF(AND(AR$5 &gt; VLOOKUP($P472,Member_Tab,6,FALSE()),AR$5 &lt; VLOOKUP($P472,Member_Tab,7,FALSE())),1,0))</f>
        <v>0</v>
      </c>
      <c r="AS574" s="184" t="n">
        <f aca="false">IF(ISERROR(VLOOKUP($P472,Member_Tab,5,FALSE())),0,VLOOKUP($P472,Member_Tab,5,FALSE())*IF(AND(AS$5 &gt; VLOOKUP($P472,Member_Tab,6,FALSE()),AS$5 &lt; VLOOKUP($P472,Member_Tab,7,FALSE())),1,0))</f>
        <v>0</v>
      </c>
      <c r="AT574" s="184" t="n">
        <f aca="false">IF(ISERROR(VLOOKUP($P472,Member_Tab,5,FALSE())),0,VLOOKUP($P472,Member_Tab,5,FALSE())*IF(AND(AT$5 &gt; VLOOKUP($P472,Member_Tab,6,FALSE()),AT$5 &lt; VLOOKUP($P472,Member_Tab,7,FALSE())),1,0))</f>
        <v>0</v>
      </c>
      <c r="AU574" s="184" t="n">
        <f aca="false">IF(ISERROR(VLOOKUP($P472,Member_Tab,5,FALSE())),0,VLOOKUP($P472,Member_Tab,5,FALSE())*IF(AND(AU$5 &gt; VLOOKUP($P472,Member_Tab,6,FALSE()),AU$5 &lt; VLOOKUP($P472,Member_Tab,7,FALSE())),1,0))</f>
        <v>0</v>
      </c>
      <c r="AV574" s="184" t="n">
        <f aca="false">IF(ISERROR(VLOOKUP($P472,Member_Tab,5,FALSE())),0,VLOOKUP($P472,Member_Tab,5,FALSE())*IF(AND(AV$5 &gt; VLOOKUP($P472,Member_Tab,6,FALSE()),AV$5 &lt; VLOOKUP($P472,Member_Tab,7,FALSE())),1,0))</f>
        <v>0</v>
      </c>
      <c r="AW574" s="184" t="n">
        <f aca="false">IF(ISERROR(VLOOKUP($P472,Member_Tab,5,FALSE())),0,VLOOKUP($P472,Member_Tab,5,FALSE())*IF(AND(AW$5 &gt; VLOOKUP($P472,Member_Tab,6,FALSE()),AW$5 &lt; VLOOKUP($P472,Member_Tab,7,FALSE())),1,0))</f>
        <v>0</v>
      </c>
      <c r="AX574" s="184" t="n">
        <f aca="false">IF(ISERROR(VLOOKUP($P472,Member_Tab,5,FALSE())),0,VLOOKUP($P472,Member_Tab,5,FALSE())*IF(AND(AX$5 &gt; VLOOKUP($P472,Member_Tab,6,FALSE()),AX$5 &lt; VLOOKUP($P472,Member_Tab,7,FALSE())),1,0))</f>
        <v>0</v>
      </c>
      <c r="AY574" s="184" t="n">
        <f aca="false">IF(ISERROR(VLOOKUP($P472,Member_Tab,5,FALSE())),0,VLOOKUP($P472,Member_Tab,5,FALSE())*IF(AND(AY$5 &gt; VLOOKUP($P472,Member_Tab,6,FALSE()),AY$5 &lt; VLOOKUP($P472,Member_Tab,7,FALSE())),1,0))</f>
        <v>0</v>
      </c>
      <c r="AZ574" s="184" t="n">
        <f aca="false">IF(ISERROR(VLOOKUP($P472,Member_Tab,5,FALSE())),0,VLOOKUP($P472,Member_Tab,5,FALSE())*IF(AND(AZ$5 &gt; VLOOKUP($P472,Member_Tab,6,FALSE()),AZ$5 &lt; VLOOKUP($P472,Member_Tab,7,FALSE())),1,0))</f>
        <v>0</v>
      </c>
      <c r="BA574" s="184" t="n">
        <f aca="false">IF(ISERROR(VLOOKUP($P472,Member_Tab,5,FALSE())),0,VLOOKUP($P472,Member_Tab,5,FALSE())*IF(AND(BA$5 &gt; VLOOKUP($P472,Member_Tab,6,FALSE()),BA$5 &lt; VLOOKUP($P472,Member_Tab,7,FALSE())),1,0))</f>
        <v>0</v>
      </c>
      <c r="BB574" s="184" t="n">
        <f aca="false">IF(ISERROR(VLOOKUP($P472,Member_Tab,5,FALSE())),0,VLOOKUP($P472,Member_Tab,5,FALSE())*IF(AND(BB$5 &gt; VLOOKUP($P472,Member_Tab,6,FALSE()),BB$5 &lt; VLOOKUP($P472,Member_Tab,7,FALSE())),1,0))</f>
        <v>0</v>
      </c>
    </row>
    <row r="575" s="173" customFormat="true" ht="15.75" hidden="true" customHeight="false" outlineLevel="1" collapsed="false">
      <c r="E575" s="40"/>
      <c r="K575" s="40"/>
      <c r="L575" s="40"/>
      <c r="M575" s="40"/>
      <c r="N575" s="40"/>
      <c r="P575" s="183" t="n">
        <f aca="false">P473</f>
        <v>0</v>
      </c>
      <c r="Q575" s="40"/>
      <c r="R575" s="182"/>
      <c r="S575" s="184" t="n">
        <f aca="false">IF(ISERROR(VLOOKUP($P473,Member_Tab,5,FALSE())),0,VLOOKUP($P473,Member_Tab,5,FALSE())*IF(AND(S$5 &gt; VLOOKUP($P473,Member_Tab,6,FALSE()),S$5 &lt; VLOOKUP($P473,Member_Tab,7,FALSE())),1,0))</f>
        <v>0</v>
      </c>
      <c r="T575" s="184" t="n">
        <f aca="false">IF(ISERROR(VLOOKUP($P473,Member_Tab,5,FALSE())),0,VLOOKUP($P473,Member_Tab,5,FALSE())*IF(AND(T$5 &gt; VLOOKUP($P473,Member_Tab,6,FALSE()),T$5 &lt; VLOOKUP($P473,Member_Tab,7,FALSE())),1,0))</f>
        <v>0</v>
      </c>
      <c r="U575" s="184" t="n">
        <f aca="false">IF(ISERROR(VLOOKUP($P473,Member_Tab,5,FALSE())),0,VLOOKUP($P473,Member_Tab,5,FALSE())*IF(AND(U$5 &gt; VLOOKUP($P473,Member_Tab,6,FALSE()),U$5 &lt; VLOOKUP($P473,Member_Tab,7,FALSE())),1,0))</f>
        <v>0</v>
      </c>
      <c r="V575" s="184" t="n">
        <f aca="false">IF(ISERROR(VLOOKUP($P473,Member_Tab,5,FALSE())),0,VLOOKUP($P473,Member_Tab,5,FALSE())*IF(AND(V$5 &gt; VLOOKUP($P473,Member_Tab,6,FALSE()),V$5 &lt; VLOOKUP($P473,Member_Tab,7,FALSE())),1,0))</f>
        <v>0</v>
      </c>
      <c r="W575" s="184" t="n">
        <f aca="false">IF(ISERROR(VLOOKUP($P473,Member_Tab,5,FALSE())),0,VLOOKUP($P473,Member_Tab,5,FALSE())*IF(AND(W$5 &gt; VLOOKUP($P473,Member_Tab,6,FALSE()),W$5 &lt; VLOOKUP($P473,Member_Tab,7,FALSE())),1,0))</f>
        <v>0</v>
      </c>
      <c r="X575" s="184" t="n">
        <f aca="false">IF(ISERROR(VLOOKUP($P473,Member_Tab,5,FALSE())),0,VLOOKUP($P473,Member_Tab,5,FALSE())*IF(AND(X$5 &gt; VLOOKUP($P473,Member_Tab,6,FALSE()),X$5 &lt; VLOOKUP($P473,Member_Tab,7,FALSE())),1,0))</f>
        <v>0</v>
      </c>
      <c r="Y575" s="184" t="n">
        <f aca="false">IF(ISERROR(VLOOKUP($P473,Member_Tab,5,FALSE())),0,VLOOKUP($P473,Member_Tab,5,FALSE())*IF(AND(Y$5 &gt; VLOOKUP($P473,Member_Tab,6,FALSE()),Y$5 &lt; VLOOKUP($P473,Member_Tab,7,FALSE())),1,0))</f>
        <v>0</v>
      </c>
      <c r="Z575" s="184" t="n">
        <f aca="false">IF(ISERROR(VLOOKUP($P473,Member_Tab,5,FALSE())),0,VLOOKUP($P473,Member_Tab,5,FALSE())*IF(AND(Z$5 &gt; VLOOKUP($P473,Member_Tab,6,FALSE()),Z$5 &lt; VLOOKUP($P473,Member_Tab,7,FALSE())),1,0))</f>
        <v>0</v>
      </c>
      <c r="AA575" s="184" t="n">
        <f aca="false">IF(ISERROR(VLOOKUP($P473,Member_Tab,5,FALSE())),0,VLOOKUP($P473,Member_Tab,5,FALSE())*IF(AND(AA$5 &gt; VLOOKUP($P473,Member_Tab,6,FALSE()),AA$5 &lt; VLOOKUP($P473,Member_Tab,7,FALSE())),1,0))</f>
        <v>0</v>
      </c>
      <c r="AB575" s="184" t="n">
        <f aca="false">IF(ISERROR(VLOOKUP($P473,Member_Tab,5,FALSE())),0,VLOOKUP($P473,Member_Tab,5,FALSE())*IF(AND(AB$5 &gt; VLOOKUP($P473,Member_Tab,6,FALSE()),AB$5 &lt; VLOOKUP($P473,Member_Tab,7,FALSE())),1,0))</f>
        <v>0</v>
      </c>
      <c r="AC575" s="184" t="n">
        <f aca="false">IF(ISERROR(VLOOKUP($P473,Member_Tab,5,FALSE())),0,VLOOKUP($P473,Member_Tab,5,FALSE())*IF(AND(AC$5 &gt; VLOOKUP($P473,Member_Tab,6,FALSE()),AC$5 &lt; VLOOKUP($P473,Member_Tab,7,FALSE())),1,0))</f>
        <v>0</v>
      </c>
      <c r="AD575" s="184" t="n">
        <f aca="false">IF(ISERROR(VLOOKUP($P473,Member_Tab,5,FALSE())),0,VLOOKUP($P473,Member_Tab,5,FALSE())*IF(AND(AD$5 &gt; VLOOKUP($P473,Member_Tab,6,FALSE()),AD$5 &lt; VLOOKUP($P473,Member_Tab,7,FALSE())),1,0))</f>
        <v>0</v>
      </c>
      <c r="AE575" s="184" t="n">
        <f aca="false">IF(ISERROR(VLOOKUP($P473,Member_Tab,5,FALSE())),0,VLOOKUP($P473,Member_Tab,5,FALSE())*IF(AND(AE$5 &gt; VLOOKUP($P473,Member_Tab,6,FALSE()),AE$5 &lt; VLOOKUP($P473,Member_Tab,7,FALSE())),1,0))</f>
        <v>0</v>
      </c>
      <c r="AF575" s="184" t="n">
        <f aca="false">IF(ISERROR(VLOOKUP($P473,Member_Tab,5,FALSE())),0,VLOOKUP($P473,Member_Tab,5,FALSE())*IF(AND(AF$5 &gt; VLOOKUP($P473,Member_Tab,6,FALSE()),AF$5 &lt; VLOOKUP($P473,Member_Tab,7,FALSE())),1,0))</f>
        <v>0</v>
      </c>
      <c r="AG575" s="184" t="n">
        <f aca="false">IF(ISERROR(VLOOKUP($P473,Member_Tab,5,FALSE())),0,VLOOKUP($P473,Member_Tab,5,FALSE())*IF(AND(AG$5 &gt; VLOOKUP($P473,Member_Tab,6,FALSE()),AG$5 &lt; VLOOKUP($P473,Member_Tab,7,FALSE())),1,0))</f>
        <v>0</v>
      </c>
      <c r="AH575" s="184" t="n">
        <f aca="false">IF(ISERROR(VLOOKUP($P473,Member_Tab,5,FALSE())),0,VLOOKUP($P473,Member_Tab,5,FALSE())*IF(AND(AH$5 &gt; VLOOKUP($P473,Member_Tab,6,FALSE()),AH$5 &lt; VLOOKUP($P473,Member_Tab,7,FALSE())),1,0))</f>
        <v>0</v>
      </c>
      <c r="AI575" s="184" t="n">
        <f aca="false">IF(ISERROR(VLOOKUP($P473,Member_Tab,5,FALSE())),0,VLOOKUP($P473,Member_Tab,5,FALSE())*IF(AND(AI$5 &gt; VLOOKUP($P473,Member_Tab,6,FALSE()),AI$5 &lt; VLOOKUP($P473,Member_Tab,7,FALSE())),1,0))</f>
        <v>0</v>
      </c>
      <c r="AJ575" s="184" t="n">
        <f aca="false">IF(ISERROR(VLOOKUP($P473,Member_Tab,5,FALSE())),0,VLOOKUP($P473,Member_Tab,5,FALSE())*IF(AND(AJ$5 &gt; VLOOKUP($P473,Member_Tab,6,FALSE()),AJ$5 &lt; VLOOKUP($P473,Member_Tab,7,FALSE())),1,0))</f>
        <v>0</v>
      </c>
      <c r="AK575" s="184" t="n">
        <f aca="false">IF(ISERROR(VLOOKUP($P473,Member_Tab,5,FALSE())),0,VLOOKUP($P473,Member_Tab,5,FALSE())*IF(AND(AK$5 &gt; VLOOKUP($P473,Member_Tab,6,FALSE()),AK$5 &lt; VLOOKUP($P473,Member_Tab,7,FALSE())),1,0))</f>
        <v>0</v>
      </c>
      <c r="AL575" s="184" t="n">
        <f aca="false">IF(ISERROR(VLOOKUP($P473,Member_Tab,5,FALSE())),0,VLOOKUP($P473,Member_Tab,5,FALSE())*IF(AND(AL$5 &gt; VLOOKUP($P473,Member_Tab,6,FALSE()),AL$5 &lt; VLOOKUP($P473,Member_Tab,7,FALSE())),1,0))</f>
        <v>0</v>
      </c>
      <c r="AM575" s="184" t="n">
        <f aca="false">IF(ISERROR(VLOOKUP($P473,Member_Tab,5,FALSE())),0,VLOOKUP($P473,Member_Tab,5,FALSE())*IF(AND(AM$5 &gt; VLOOKUP($P473,Member_Tab,6,FALSE()),AM$5 &lt; VLOOKUP($P473,Member_Tab,7,FALSE())),1,0))</f>
        <v>0</v>
      </c>
      <c r="AN575" s="184" t="n">
        <f aca="false">IF(ISERROR(VLOOKUP($P473,Member_Tab,5,FALSE())),0,VLOOKUP($P473,Member_Tab,5,FALSE())*IF(AND(AN$5 &gt; VLOOKUP($P473,Member_Tab,6,FALSE()),AN$5 &lt; VLOOKUP($P473,Member_Tab,7,FALSE())),1,0))</f>
        <v>0</v>
      </c>
      <c r="AO575" s="184" t="n">
        <f aca="false">IF(ISERROR(VLOOKUP($P473,Member_Tab,5,FALSE())),0,VLOOKUP($P473,Member_Tab,5,FALSE())*IF(AND(AO$5 &gt; VLOOKUP($P473,Member_Tab,6,FALSE()),AO$5 &lt; VLOOKUP($P473,Member_Tab,7,FALSE())),1,0))</f>
        <v>0</v>
      </c>
      <c r="AP575" s="184" t="n">
        <f aca="false">IF(ISERROR(VLOOKUP($P473,Member_Tab,5,FALSE())),0,VLOOKUP($P473,Member_Tab,5,FALSE())*IF(AND(AP$5 &gt; VLOOKUP($P473,Member_Tab,6,FALSE()),AP$5 &lt; VLOOKUP($P473,Member_Tab,7,FALSE())),1,0))</f>
        <v>0</v>
      </c>
      <c r="AQ575" s="184" t="n">
        <f aca="false">IF(ISERROR(VLOOKUP($P473,Member_Tab,5,FALSE())),0,VLOOKUP($P473,Member_Tab,5,FALSE())*IF(AND(AQ$5 &gt; VLOOKUP($P473,Member_Tab,6,FALSE()),AQ$5 &lt; VLOOKUP($P473,Member_Tab,7,FALSE())),1,0))</f>
        <v>0</v>
      </c>
      <c r="AR575" s="184" t="n">
        <f aca="false">IF(ISERROR(VLOOKUP($P473,Member_Tab,5,FALSE())),0,VLOOKUP($P473,Member_Tab,5,FALSE())*IF(AND(AR$5 &gt; VLOOKUP($P473,Member_Tab,6,FALSE()),AR$5 &lt; VLOOKUP($P473,Member_Tab,7,FALSE())),1,0))</f>
        <v>0</v>
      </c>
      <c r="AS575" s="184" t="n">
        <f aca="false">IF(ISERROR(VLOOKUP($P473,Member_Tab,5,FALSE())),0,VLOOKUP($P473,Member_Tab,5,FALSE())*IF(AND(AS$5 &gt; VLOOKUP($P473,Member_Tab,6,FALSE()),AS$5 &lt; VLOOKUP($P473,Member_Tab,7,FALSE())),1,0))</f>
        <v>0</v>
      </c>
      <c r="AT575" s="184" t="n">
        <f aca="false">IF(ISERROR(VLOOKUP($P473,Member_Tab,5,FALSE())),0,VLOOKUP($P473,Member_Tab,5,FALSE())*IF(AND(AT$5 &gt; VLOOKUP($P473,Member_Tab,6,FALSE()),AT$5 &lt; VLOOKUP($P473,Member_Tab,7,FALSE())),1,0))</f>
        <v>0</v>
      </c>
      <c r="AU575" s="184" t="n">
        <f aca="false">IF(ISERROR(VLOOKUP($P473,Member_Tab,5,FALSE())),0,VLOOKUP($P473,Member_Tab,5,FALSE())*IF(AND(AU$5 &gt; VLOOKUP($P473,Member_Tab,6,FALSE()),AU$5 &lt; VLOOKUP($P473,Member_Tab,7,FALSE())),1,0))</f>
        <v>0</v>
      </c>
      <c r="AV575" s="184" t="n">
        <f aca="false">IF(ISERROR(VLOOKUP($P473,Member_Tab,5,FALSE())),0,VLOOKUP($P473,Member_Tab,5,FALSE())*IF(AND(AV$5 &gt; VLOOKUP($P473,Member_Tab,6,FALSE()),AV$5 &lt; VLOOKUP($P473,Member_Tab,7,FALSE())),1,0))</f>
        <v>0</v>
      </c>
      <c r="AW575" s="184" t="n">
        <f aca="false">IF(ISERROR(VLOOKUP($P473,Member_Tab,5,FALSE())),0,VLOOKUP($P473,Member_Tab,5,FALSE())*IF(AND(AW$5 &gt; VLOOKUP($P473,Member_Tab,6,FALSE()),AW$5 &lt; VLOOKUP($P473,Member_Tab,7,FALSE())),1,0))</f>
        <v>0</v>
      </c>
      <c r="AX575" s="184" t="n">
        <f aca="false">IF(ISERROR(VLOOKUP($P473,Member_Tab,5,FALSE())),0,VLOOKUP($P473,Member_Tab,5,FALSE())*IF(AND(AX$5 &gt; VLOOKUP($P473,Member_Tab,6,FALSE()),AX$5 &lt; VLOOKUP($P473,Member_Tab,7,FALSE())),1,0))</f>
        <v>0</v>
      </c>
      <c r="AY575" s="184" t="n">
        <f aca="false">IF(ISERROR(VLOOKUP($P473,Member_Tab,5,FALSE())),0,VLOOKUP($P473,Member_Tab,5,FALSE())*IF(AND(AY$5 &gt; VLOOKUP($P473,Member_Tab,6,FALSE()),AY$5 &lt; VLOOKUP($P473,Member_Tab,7,FALSE())),1,0))</f>
        <v>0</v>
      </c>
      <c r="AZ575" s="184" t="n">
        <f aca="false">IF(ISERROR(VLOOKUP($P473,Member_Tab,5,FALSE())),0,VLOOKUP($P473,Member_Tab,5,FALSE())*IF(AND(AZ$5 &gt; VLOOKUP($P473,Member_Tab,6,FALSE()),AZ$5 &lt; VLOOKUP($P473,Member_Tab,7,FALSE())),1,0))</f>
        <v>0</v>
      </c>
      <c r="BA575" s="184" t="n">
        <f aca="false">IF(ISERROR(VLOOKUP($P473,Member_Tab,5,FALSE())),0,VLOOKUP($P473,Member_Tab,5,FALSE())*IF(AND(BA$5 &gt; VLOOKUP($P473,Member_Tab,6,FALSE()),BA$5 &lt; VLOOKUP($P473,Member_Tab,7,FALSE())),1,0))</f>
        <v>0</v>
      </c>
      <c r="BB575" s="184" t="n">
        <f aca="false">IF(ISERROR(VLOOKUP($P473,Member_Tab,5,FALSE())),0,VLOOKUP($P473,Member_Tab,5,FALSE())*IF(AND(BB$5 &gt; VLOOKUP($P473,Member_Tab,6,FALSE()),BB$5 &lt; VLOOKUP($P473,Member_Tab,7,FALSE())),1,0))</f>
        <v>0</v>
      </c>
    </row>
    <row r="576" s="173" customFormat="true" ht="15.75" hidden="true" customHeight="false" outlineLevel="1" collapsed="false">
      <c r="E576" s="40"/>
      <c r="K576" s="40"/>
      <c r="L576" s="40"/>
      <c r="M576" s="40"/>
      <c r="N576" s="40"/>
      <c r="P576" s="183" t="n">
        <f aca="false">P474</f>
        <v>0</v>
      </c>
      <c r="Q576" s="40"/>
      <c r="R576" s="182"/>
      <c r="S576" s="184" t="n">
        <f aca="false">IF(ISERROR(VLOOKUP($P474,Member_Tab,5,FALSE())),0,VLOOKUP($P474,Member_Tab,5,FALSE())*IF(AND(S$5 &gt; VLOOKUP($P474,Member_Tab,6,FALSE()),S$5 &lt; VLOOKUP($P474,Member_Tab,7,FALSE())),1,0))</f>
        <v>0</v>
      </c>
      <c r="T576" s="184" t="n">
        <f aca="false">IF(ISERROR(VLOOKUP($P474,Member_Tab,5,FALSE())),0,VLOOKUP($P474,Member_Tab,5,FALSE())*IF(AND(T$5 &gt; VLOOKUP($P474,Member_Tab,6,FALSE()),T$5 &lt; VLOOKUP($P474,Member_Tab,7,FALSE())),1,0))</f>
        <v>0</v>
      </c>
      <c r="U576" s="184" t="n">
        <f aca="false">IF(ISERROR(VLOOKUP($P474,Member_Tab,5,FALSE())),0,VLOOKUP($P474,Member_Tab,5,FALSE())*IF(AND(U$5 &gt; VLOOKUP($P474,Member_Tab,6,FALSE()),U$5 &lt; VLOOKUP($P474,Member_Tab,7,FALSE())),1,0))</f>
        <v>0</v>
      </c>
      <c r="V576" s="184" t="n">
        <f aca="false">IF(ISERROR(VLOOKUP($P474,Member_Tab,5,FALSE())),0,VLOOKUP($P474,Member_Tab,5,FALSE())*IF(AND(V$5 &gt; VLOOKUP($P474,Member_Tab,6,FALSE()),V$5 &lt; VLOOKUP($P474,Member_Tab,7,FALSE())),1,0))</f>
        <v>0</v>
      </c>
      <c r="W576" s="184" t="n">
        <f aca="false">IF(ISERROR(VLOOKUP($P474,Member_Tab,5,FALSE())),0,VLOOKUP($P474,Member_Tab,5,FALSE())*IF(AND(W$5 &gt; VLOOKUP($P474,Member_Tab,6,FALSE()),W$5 &lt; VLOOKUP($P474,Member_Tab,7,FALSE())),1,0))</f>
        <v>0</v>
      </c>
      <c r="X576" s="184" t="n">
        <f aca="false">IF(ISERROR(VLOOKUP($P474,Member_Tab,5,FALSE())),0,VLOOKUP($P474,Member_Tab,5,FALSE())*IF(AND(X$5 &gt; VLOOKUP($P474,Member_Tab,6,FALSE()),X$5 &lt; VLOOKUP($P474,Member_Tab,7,FALSE())),1,0))</f>
        <v>0</v>
      </c>
      <c r="Y576" s="184" t="n">
        <f aca="false">IF(ISERROR(VLOOKUP($P474,Member_Tab,5,FALSE())),0,VLOOKUP($P474,Member_Tab,5,FALSE())*IF(AND(Y$5 &gt; VLOOKUP($P474,Member_Tab,6,FALSE()),Y$5 &lt; VLOOKUP($P474,Member_Tab,7,FALSE())),1,0))</f>
        <v>0</v>
      </c>
      <c r="Z576" s="184" t="n">
        <f aca="false">IF(ISERROR(VLOOKUP($P474,Member_Tab,5,FALSE())),0,VLOOKUP($P474,Member_Tab,5,FALSE())*IF(AND(Z$5 &gt; VLOOKUP($P474,Member_Tab,6,FALSE()),Z$5 &lt; VLOOKUP($P474,Member_Tab,7,FALSE())),1,0))</f>
        <v>0</v>
      </c>
      <c r="AA576" s="184" t="n">
        <f aca="false">IF(ISERROR(VLOOKUP($P474,Member_Tab,5,FALSE())),0,VLOOKUP($P474,Member_Tab,5,FALSE())*IF(AND(AA$5 &gt; VLOOKUP($P474,Member_Tab,6,FALSE()),AA$5 &lt; VLOOKUP($P474,Member_Tab,7,FALSE())),1,0))</f>
        <v>0</v>
      </c>
      <c r="AB576" s="184" t="n">
        <f aca="false">IF(ISERROR(VLOOKUP($P474,Member_Tab,5,FALSE())),0,VLOOKUP($P474,Member_Tab,5,FALSE())*IF(AND(AB$5 &gt; VLOOKUP($P474,Member_Tab,6,FALSE()),AB$5 &lt; VLOOKUP($P474,Member_Tab,7,FALSE())),1,0))</f>
        <v>0</v>
      </c>
      <c r="AC576" s="184" t="n">
        <f aca="false">IF(ISERROR(VLOOKUP($P474,Member_Tab,5,FALSE())),0,VLOOKUP($P474,Member_Tab,5,FALSE())*IF(AND(AC$5 &gt; VLOOKUP($P474,Member_Tab,6,FALSE()),AC$5 &lt; VLOOKUP($P474,Member_Tab,7,FALSE())),1,0))</f>
        <v>0</v>
      </c>
      <c r="AD576" s="184" t="n">
        <f aca="false">IF(ISERROR(VLOOKUP($P474,Member_Tab,5,FALSE())),0,VLOOKUP($P474,Member_Tab,5,FALSE())*IF(AND(AD$5 &gt; VLOOKUP($P474,Member_Tab,6,FALSE()),AD$5 &lt; VLOOKUP($P474,Member_Tab,7,FALSE())),1,0))</f>
        <v>0</v>
      </c>
      <c r="AE576" s="184" t="n">
        <f aca="false">IF(ISERROR(VLOOKUP($P474,Member_Tab,5,FALSE())),0,VLOOKUP($P474,Member_Tab,5,FALSE())*IF(AND(AE$5 &gt; VLOOKUP($P474,Member_Tab,6,FALSE()),AE$5 &lt; VLOOKUP($P474,Member_Tab,7,FALSE())),1,0))</f>
        <v>0</v>
      </c>
      <c r="AF576" s="184" t="n">
        <f aca="false">IF(ISERROR(VLOOKUP($P474,Member_Tab,5,FALSE())),0,VLOOKUP($P474,Member_Tab,5,FALSE())*IF(AND(AF$5 &gt; VLOOKUP($P474,Member_Tab,6,FALSE()),AF$5 &lt; VLOOKUP($P474,Member_Tab,7,FALSE())),1,0))</f>
        <v>0</v>
      </c>
      <c r="AG576" s="184" t="n">
        <f aca="false">IF(ISERROR(VLOOKUP($P474,Member_Tab,5,FALSE())),0,VLOOKUP($P474,Member_Tab,5,FALSE())*IF(AND(AG$5 &gt; VLOOKUP($P474,Member_Tab,6,FALSE()),AG$5 &lt; VLOOKUP($P474,Member_Tab,7,FALSE())),1,0))</f>
        <v>0</v>
      </c>
      <c r="AH576" s="184" t="n">
        <f aca="false">IF(ISERROR(VLOOKUP($P474,Member_Tab,5,FALSE())),0,VLOOKUP($P474,Member_Tab,5,FALSE())*IF(AND(AH$5 &gt; VLOOKUP($P474,Member_Tab,6,FALSE()),AH$5 &lt; VLOOKUP($P474,Member_Tab,7,FALSE())),1,0))</f>
        <v>0</v>
      </c>
      <c r="AI576" s="184" t="n">
        <f aca="false">IF(ISERROR(VLOOKUP($P474,Member_Tab,5,FALSE())),0,VLOOKUP($P474,Member_Tab,5,FALSE())*IF(AND(AI$5 &gt; VLOOKUP($P474,Member_Tab,6,FALSE()),AI$5 &lt; VLOOKUP($P474,Member_Tab,7,FALSE())),1,0))</f>
        <v>0</v>
      </c>
      <c r="AJ576" s="184" t="n">
        <f aca="false">IF(ISERROR(VLOOKUP($P474,Member_Tab,5,FALSE())),0,VLOOKUP($P474,Member_Tab,5,FALSE())*IF(AND(AJ$5 &gt; VLOOKUP($P474,Member_Tab,6,FALSE()),AJ$5 &lt; VLOOKUP($P474,Member_Tab,7,FALSE())),1,0))</f>
        <v>0</v>
      </c>
      <c r="AK576" s="184" t="n">
        <f aca="false">IF(ISERROR(VLOOKUP($P474,Member_Tab,5,FALSE())),0,VLOOKUP($P474,Member_Tab,5,FALSE())*IF(AND(AK$5 &gt; VLOOKUP($P474,Member_Tab,6,FALSE()),AK$5 &lt; VLOOKUP($P474,Member_Tab,7,FALSE())),1,0))</f>
        <v>0</v>
      </c>
      <c r="AL576" s="184" t="n">
        <f aca="false">IF(ISERROR(VLOOKUP($P474,Member_Tab,5,FALSE())),0,VLOOKUP($P474,Member_Tab,5,FALSE())*IF(AND(AL$5 &gt; VLOOKUP($P474,Member_Tab,6,FALSE()),AL$5 &lt; VLOOKUP($P474,Member_Tab,7,FALSE())),1,0))</f>
        <v>0</v>
      </c>
      <c r="AM576" s="184" t="n">
        <f aca="false">IF(ISERROR(VLOOKUP($P474,Member_Tab,5,FALSE())),0,VLOOKUP($P474,Member_Tab,5,FALSE())*IF(AND(AM$5 &gt; VLOOKUP($P474,Member_Tab,6,FALSE()),AM$5 &lt; VLOOKUP($P474,Member_Tab,7,FALSE())),1,0))</f>
        <v>0</v>
      </c>
      <c r="AN576" s="184" t="n">
        <f aca="false">IF(ISERROR(VLOOKUP($P474,Member_Tab,5,FALSE())),0,VLOOKUP($P474,Member_Tab,5,FALSE())*IF(AND(AN$5 &gt; VLOOKUP($P474,Member_Tab,6,FALSE()),AN$5 &lt; VLOOKUP($P474,Member_Tab,7,FALSE())),1,0))</f>
        <v>0</v>
      </c>
      <c r="AO576" s="184" t="n">
        <f aca="false">IF(ISERROR(VLOOKUP($P474,Member_Tab,5,FALSE())),0,VLOOKUP($P474,Member_Tab,5,FALSE())*IF(AND(AO$5 &gt; VLOOKUP($P474,Member_Tab,6,FALSE()),AO$5 &lt; VLOOKUP($P474,Member_Tab,7,FALSE())),1,0))</f>
        <v>0</v>
      </c>
      <c r="AP576" s="184" t="n">
        <f aca="false">IF(ISERROR(VLOOKUP($P474,Member_Tab,5,FALSE())),0,VLOOKUP($P474,Member_Tab,5,FALSE())*IF(AND(AP$5 &gt; VLOOKUP($P474,Member_Tab,6,FALSE()),AP$5 &lt; VLOOKUP($P474,Member_Tab,7,FALSE())),1,0))</f>
        <v>0</v>
      </c>
      <c r="AQ576" s="184" t="n">
        <f aca="false">IF(ISERROR(VLOOKUP($P474,Member_Tab,5,FALSE())),0,VLOOKUP($P474,Member_Tab,5,FALSE())*IF(AND(AQ$5 &gt; VLOOKUP($P474,Member_Tab,6,FALSE()),AQ$5 &lt; VLOOKUP($P474,Member_Tab,7,FALSE())),1,0))</f>
        <v>0</v>
      </c>
      <c r="AR576" s="184" t="n">
        <f aca="false">IF(ISERROR(VLOOKUP($P474,Member_Tab,5,FALSE())),0,VLOOKUP($P474,Member_Tab,5,FALSE())*IF(AND(AR$5 &gt; VLOOKUP($P474,Member_Tab,6,FALSE()),AR$5 &lt; VLOOKUP($P474,Member_Tab,7,FALSE())),1,0))</f>
        <v>0</v>
      </c>
      <c r="AS576" s="184" t="n">
        <f aca="false">IF(ISERROR(VLOOKUP($P474,Member_Tab,5,FALSE())),0,VLOOKUP($P474,Member_Tab,5,FALSE())*IF(AND(AS$5 &gt; VLOOKUP($P474,Member_Tab,6,FALSE()),AS$5 &lt; VLOOKUP($P474,Member_Tab,7,FALSE())),1,0))</f>
        <v>0</v>
      </c>
      <c r="AT576" s="184" t="n">
        <f aca="false">IF(ISERROR(VLOOKUP($P474,Member_Tab,5,FALSE())),0,VLOOKUP($P474,Member_Tab,5,FALSE())*IF(AND(AT$5 &gt; VLOOKUP($P474,Member_Tab,6,FALSE()),AT$5 &lt; VLOOKUP($P474,Member_Tab,7,FALSE())),1,0))</f>
        <v>0</v>
      </c>
      <c r="AU576" s="184" t="n">
        <f aca="false">IF(ISERROR(VLOOKUP($P474,Member_Tab,5,FALSE())),0,VLOOKUP($P474,Member_Tab,5,FALSE())*IF(AND(AU$5 &gt; VLOOKUP($P474,Member_Tab,6,FALSE()),AU$5 &lt; VLOOKUP($P474,Member_Tab,7,FALSE())),1,0))</f>
        <v>0</v>
      </c>
      <c r="AV576" s="184" t="n">
        <f aca="false">IF(ISERROR(VLOOKUP($P474,Member_Tab,5,FALSE())),0,VLOOKUP($P474,Member_Tab,5,FALSE())*IF(AND(AV$5 &gt; VLOOKUP($P474,Member_Tab,6,FALSE()),AV$5 &lt; VLOOKUP($P474,Member_Tab,7,FALSE())),1,0))</f>
        <v>0</v>
      </c>
      <c r="AW576" s="184" t="n">
        <f aca="false">IF(ISERROR(VLOOKUP($P474,Member_Tab,5,FALSE())),0,VLOOKUP($P474,Member_Tab,5,FALSE())*IF(AND(AW$5 &gt; VLOOKUP($P474,Member_Tab,6,FALSE()),AW$5 &lt; VLOOKUP($P474,Member_Tab,7,FALSE())),1,0))</f>
        <v>0</v>
      </c>
      <c r="AX576" s="184" t="n">
        <f aca="false">IF(ISERROR(VLOOKUP($P474,Member_Tab,5,FALSE())),0,VLOOKUP($P474,Member_Tab,5,FALSE())*IF(AND(AX$5 &gt; VLOOKUP($P474,Member_Tab,6,FALSE()),AX$5 &lt; VLOOKUP($P474,Member_Tab,7,FALSE())),1,0))</f>
        <v>0</v>
      </c>
      <c r="AY576" s="184" t="n">
        <f aca="false">IF(ISERROR(VLOOKUP($P474,Member_Tab,5,FALSE())),0,VLOOKUP($P474,Member_Tab,5,FALSE())*IF(AND(AY$5 &gt; VLOOKUP($P474,Member_Tab,6,FALSE()),AY$5 &lt; VLOOKUP($P474,Member_Tab,7,FALSE())),1,0))</f>
        <v>0</v>
      </c>
      <c r="AZ576" s="184" t="n">
        <f aca="false">IF(ISERROR(VLOOKUP($P474,Member_Tab,5,FALSE())),0,VLOOKUP($P474,Member_Tab,5,FALSE())*IF(AND(AZ$5 &gt; VLOOKUP($P474,Member_Tab,6,FALSE()),AZ$5 &lt; VLOOKUP($P474,Member_Tab,7,FALSE())),1,0))</f>
        <v>0</v>
      </c>
      <c r="BA576" s="184" t="n">
        <f aca="false">IF(ISERROR(VLOOKUP($P474,Member_Tab,5,FALSE())),0,VLOOKUP($P474,Member_Tab,5,FALSE())*IF(AND(BA$5 &gt; VLOOKUP($P474,Member_Tab,6,FALSE()),BA$5 &lt; VLOOKUP($P474,Member_Tab,7,FALSE())),1,0))</f>
        <v>0</v>
      </c>
      <c r="BB576" s="184" t="n">
        <f aca="false">IF(ISERROR(VLOOKUP($P474,Member_Tab,5,FALSE())),0,VLOOKUP($P474,Member_Tab,5,FALSE())*IF(AND(BB$5 &gt; VLOOKUP($P474,Member_Tab,6,FALSE()),BB$5 &lt; VLOOKUP($P474,Member_Tab,7,FALSE())),1,0))</f>
        <v>0</v>
      </c>
    </row>
    <row r="577" s="173" customFormat="true" ht="15.75" hidden="true" customHeight="false" outlineLevel="1" collapsed="false">
      <c r="E577" s="40"/>
      <c r="K577" s="40"/>
      <c r="L577" s="40"/>
      <c r="M577" s="40"/>
      <c r="N577" s="40"/>
      <c r="P577" s="183" t="n">
        <f aca="false">P475</f>
        <v>0</v>
      </c>
      <c r="Q577" s="40"/>
      <c r="R577" s="182"/>
      <c r="S577" s="184" t="n">
        <f aca="false">IF(ISERROR(VLOOKUP($P475,Member_Tab,5,FALSE())),0,VLOOKUP($P475,Member_Tab,5,FALSE())*IF(AND(S$5 &gt; VLOOKUP($P475,Member_Tab,6,FALSE()),S$5 &lt; VLOOKUP($P475,Member_Tab,7,FALSE())),1,0))</f>
        <v>0</v>
      </c>
      <c r="T577" s="184" t="n">
        <f aca="false">IF(ISERROR(VLOOKUP($P475,Member_Tab,5,FALSE())),0,VLOOKUP($P475,Member_Tab,5,FALSE())*IF(AND(T$5 &gt; VLOOKUP($P475,Member_Tab,6,FALSE()),T$5 &lt; VLOOKUP($P475,Member_Tab,7,FALSE())),1,0))</f>
        <v>0</v>
      </c>
      <c r="U577" s="184" t="n">
        <f aca="false">IF(ISERROR(VLOOKUP($P475,Member_Tab,5,FALSE())),0,VLOOKUP($P475,Member_Tab,5,FALSE())*IF(AND(U$5 &gt; VLOOKUP($P475,Member_Tab,6,FALSE()),U$5 &lt; VLOOKUP($P475,Member_Tab,7,FALSE())),1,0))</f>
        <v>0</v>
      </c>
      <c r="V577" s="184" t="n">
        <f aca="false">IF(ISERROR(VLOOKUP($P475,Member_Tab,5,FALSE())),0,VLOOKUP($P475,Member_Tab,5,FALSE())*IF(AND(V$5 &gt; VLOOKUP($P475,Member_Tab,6,FALSE()),V$5 &lt; VLOOKUP($P475,Member_Tab,7,FALSE())),1,0))</f>
        <v>0</v>
      </c>
      <c r="W577" s="184" t="n">
        <f aca="false">IF(ISERROR(VLOOKUP($P475,Member_Tab,5,FALSE())),0,VLOOKUP($P475,Member_Tab,5,FALSE())*IF(AND(W$5 &gt; VLOOKUP($P475,Member_Tab,6,FALSE()),W$5 &lt; VLOOKUP($P475,Member_Tab,7,FALSE())),1,0))</f>
        <v>0</v>
      </c>
      <c r="X577" s="184" t="n">
        <f aca="false">IF(ISERROR(VLOOKUP($P475,Member_Tab,5,FALSE())),0,VLOOKUP($P475,Member_Tab,5,FALSE())*IF(AND(X$5 &gt; VLOOKUP($P475,Member_Tab,6,FALSE()),X$5 &lt; VLOOKUP($P475,Member_Tab,7,FALSE())),1,0))</f>
        <v>0</v>
      </c>
      <c r="Y577" s="184" t="n">
        <f aca="false">IF(ISERROR(VLOOKUP($P475,Member_Tab,5,FALSE())),0,VLOOKUP($P475,Member_Tab,5,FALSE())*IF(AND(Y$5 &gt; VLOOKUP($P475,Member_Tab,6,FALSE()),Y$5 &lt; VLOOKUP($P475,Member_Tab,7,FALSE())),1,0))</f>
        <v>0</v>
      </c>
      <c r="Z577" s="184" t="n">
        <f aca="false">IF(ISERROR(VLOOKUP($P475,Member_Tab,5,FALSE())),0,VLOOKUP($P475,Member_Tab,5,FALSE())*IF(AND(Z$5 &gt; VLOOKUP($P475,Member_Tab,6,FALSE()),Z$5 &lt; VLOOKUP($P475,Member_Tab,7,FALSE())),1,0))</f>
        <v>0</v>
      </c>
      <c r="AA577" s="184" t="n">
        <f aca="false">IF(ISERROR(VLOOKUP($P475,Member_Tab,5,FALSE())),0,VLOOKUP($P475,Member_Tab,5,FALSE())*IF(AND(AA$5 &gt; VLOOKUP($P475,Member_Tab,6,FALSE()),AA$5 &lt; VLOOKUP($P475,Member_Tab,7,FALSE())),1,0))</f>
        <v>0</v>
      </c>
      <c r="AB577" s="184" t="n">
        <f aca="false">IF(ISERROR(VLOOKUP($P475,Member_Tab,5,FALSE())),0,VLOOKUP($P475,Member_Tab,5,FALSE())*IF(AND(AB$5 &gt; VLOOKUP($P475,Member_Tab,6,FALSE()),AB$5 &lt; VLOOKUP($P475,Member_Tab,7,FALSE())),1,0))</f>
        <v>0</v>
      </c>
      <c r="AC577" s="184" t="n">
        <f aca="false">IF(ISERROR(VLOOKUP($P475,Member_Tab,5,FALSE())),0,VLOOKUP($P475,Member_Tab,5,FALSE())*IF(AND(AC$5 &gt; VLOOKUP($P475,Member_Tab,6,FALSE()),AC$5 &lt; VLOOKUP($P475,Member_Tab,7,FALSE())),1,0))</f>
        <v>0</v>
      </c>
      <c r="AD577" s="184" t="n">
        <f aca="false">IF(ISERROR(VLOOKUP($P475,Member_Tab,5,FALSE())),0,VLOOKUP($P475,Member_Tab,5,FALSE())*IF(AND(AD$5 &gt; VLOOKUP($P475,Member_Tab,6,FALSE()),AD$5 &lt; VLOOKUP($P475,Member_Tab,7,FALSE())),1,0))</f>
        <v>0</v>
      </c>
      <c r="AE577" s="184" t="n">
        <f aca="false">IF(ISERROR(VLOOKUP($P475,Member_Tab,5,FALSE())),0,VLOOKUP($P475,Member_Tab,5,FALSE())*IF(AND(AE$5 &gt; VLOOKUP($P475,Member_Tab,6,FALSE()),AE$5 &lt; VLOOKUP($P475,Member_Tab,7,FALSE())),1,0))</f>
        <v>0</v>
      </c>
      <c r="AF577" s="184" t="n">
        <f aca="false">IF(ISERROR(VLOOKUP($P475,Member_Tab,5,FALSE())),0,VLOOKUP($P475,Member_Tab,5,FALSE())*IF(AND(AF$5 &gt; VLOOKUP($P475,Member_Tab,6,FALSE()),AF$5 &lt; VLOOKUP($P475,Member_Tab,7,FALSE())),1,0))</f>
        <v>0</v>
      </c>
      <c r="AG577" s="184" t="n">
        <f aca="false">IF(ISERROR(VLOOKUP($P475,Member_Tab,5,FALSE())),0,VLOOKUP($P475,Member_Tab,5,FALSE())*IF(AND(AG$5 &gt; VLOOKUP($P475,Member_Tab,6,FALSE()),AG$5 &lt; VLOOKUP($P475,Member_Tab,7,FALSE())),1,0))</f>
        <v>0</v>
      </c>
      <c r="AH577" s="184" t="n">
        <f aca="false">IF(ISERROR(VLOOKUP($P475,Member_Tab,5,FALSE())),0,VLOOKUP($P475,Member_Tab,5,FALSE())*IF(AND(AH$5 &gt; VLOOKUP($P475,Member_Tab,6,FALSE()),AH$5 &lt; VLOOKUP($P475,Member_Tab,7,FALSE())),1,0))</f>
        <v>0</v>
      </c>
      <c r="AI577" s="184" t="n">
        <f aca="false">IF(ISERROR(VLOOKUP($P475,Member_Tab,5,FALSE())),0,VLOOKUP($P475,Member_Tab,5,FALSE())*IF(AND(AI$5 &gt; VLOOKUP($P475,Member_Tab,6,FALSE()),AI$5 &lt; VLOOKUP($P475,Member_Tab,7,FALSE())),1,0))</f>
        <v>0</v>
      </c>
      <c r="AJ577" s="184" t="n">
        <f aca="false">IF(ISERROR(VLOOKUP($P475,Member_Tab,5,FALSE())),0,VLOOKUP($P475,Member_Tab,5,FALSE())*IF(AND(AJ$5 &gt; VLOOKUP($P475,Member_Tab,6,FALSE()),AJ$5 &lt; VLOOKUP($P475,Member_Tab,7,FALSE())),1,0))</f>
        <v>0</v>
      </c>
      <c r="AK577" s="184" t="n">
        <f aca="false">IF(ISERROR(VLOOKUP($P475,Member_Tab,5,FALSE())),0,VLOOKUP($P475,Member_Tab,5,FALSE())*IF(AND(AK$5 &gt; VLOOKUP($P475,Member_Tab,6,FALSE()),AK$5 &lt; VLOOKUP($P475,Member_Tab,7,FALSE())),1,0))</f>
        <v>0</v>
      </c>
      <c r="AL577" s="184" t="n">
        <f aca="false">IF(ISERROR(VLOOKUP($P475,Member_Tab,5,FALSE())),0,VLOOKUP($P475,Member_Tab,5,FALSE())*IF(AND(AL$5 &gt; VLOOKUP($P475,Member_Tab,6,FALSE()),AL$5 &lt; VLOOKUP($P475,Member_Tab,7,FALSE())),1,0))</f>
        <v>0</v>
      </c>
      <c r="AM577" s="184" t="n">
        <f aca="false">IF(ISERROR(VLOOKUP($P475,Member_Tab,5,FALSE())),0,VLOOKUP($P475,Member_Tab,5,FALSE())*IF(AND(AM$5 &gt; VLOOKUP($P475,Member_Tab,6,FALSE()),AM$5 &lt; VLOOKUP($P475,Member_Tab,7,FALSE())),1,0))</f>
        <v>0</v>
      </c>
      <c r="AN577" s="184" t="n">
        <f aca="false">IF(ISERROR(VLOOKUP($P475,Member_Tab,5,FALSE())),0,VLOOKUP($P475,Member_Tab,5,FALSE())*IF(AND(AN$5 &gt; VLOOKUP($P475,Member_Tab,6,FALSE()),AN$5 &lt; VLOOKUP($P475,Member_Tab,7,FALSE())),1,0))</f>
        <v>0</v>
      </c>
      <c r="AO577" s="184" t="n">
        <f aca="false">IF(ISERROR(VLOOKUP($P475,Member_Tab,5,FALSE())),0,VLOOKUP($P475,Member_Tab,5,FALSE())*IF(AND(AO$5 &gt; VLOOKUP($P475,Member_Tab,6,FALSE()),AO$5 &lt; VLOOKUP($P475,Member_Tab,7,FALSE())),1,0))</f>
        <v>0</v>
      </c>
      <c r="AP577" s="184" t="n">
        <f aca="false">IF(ISERROR(VLOOKUP($P475,Member_Tab,5,FALSE())),0,VLOOKUP($P475,Member_Tab,5,FALSE())*IF(AND(AP$5 &gt; VLOOKUP($P475,Member_Tab,6,FALSE()),AP$5 &lt; VLOOKUP($P475,Member_Tab,7,FALSE())),1,0))</f>
        <v>0</v>
      </c>
      <c r="AQ577" s="184" t="n">
        <f aca="false">IF(ISERROR(VLOOKUP($P475,Member_Tab,5,FALSE())),0,VLOOKUP($P475,Member_Tab,5,FALSE())*IF(AND(AQ$5 &gt; VLOOKUP($P475,Member_Tab,6,FALSE()),AQ$5 &lt; VLOOKUP($P475,Member_Tab,7,FALSE())),1,0))</f>
        <v>0</v>
      </c>
      <c r="AR577" s="184" t="n">
        <f aca="false">IF(ISERROR(VLOOKUP($P475,Member_Tab,5,FALSE())),0,VLOOKUP($P475,Member_Tab,5,FALSE())*IF(AND(AR$5 &gt; VLOOKUP($P475,Member_Tab,6,FALSE()),AR$5 &lt; VLOOKUP($P475,Member_Tab,7,FALSE())),1,0))</f>
        <v>0</v>
      </c>
      <c r="AS577" s="184" t="n">
        <f aca="false">IF(ISERROR(VLOOKUP($P475,Member_Tab,5,FALSE())),0,VLOOKUP($P475,Member_Tab,5,FALSE())*IF(AND(AS$5 &gt; VLOOKUP($P475,Member_Tab,6,FALSE()),AS$5 &lt; VLOOKUP($P475,Member_Tab,7,FALSE())),1,0))</f>
        <v>0</v>
      </c>
      <c r="AT577" s="184" t="n">
        <f aca="false">IF(ISERROR(VLOOKUP($P475,Member_Tab,5,FALSE())),0,VLOOKUP($P475,Member_Tab,5,FALSE())*IF(AND(AT$5 &gt; VLOOKUP($P475,Member_Tab,6,FALSE()),AT$5 &lt; VLOOKUP($P475,Member_Tab,7,FALSE())),1,0))</f>
        <v>0</v>
      </c>
      <c r="AU577" s="184" t="n">
        <f aca="false">IF(ISERROR(VLOOKUP($P475,Member_Tab,5,FALSE())),0,VLOOKUP($P475,Member_Tab,5,FALSE())*IF(AND(AU$5 &gt; VLOOKUP($P475,Member_Tab,6,FALSE()),AU$5 &lt; VLOOKUP($P475,Member_Tab,7,FALSE())),1,0))</f>
        <v>0</v>
      </c>
      <c r="AV577" s="184" t="n">
        <f aca="false">IF(ISERROR(VLOOKUP($P475,Member_Tab,5,FALSE())),0,VLOOKUP($P475,Member_Tab,5,FALSE())*IF(AND(AV$5 &gt; VLOOKUP($P475,Member_Tab,6,FALSE()),AV$5 &lt; VLOOKUP($P475,Member_Tab,7,FALSE())),1,0))</f>
        <v>0</v>
      </c>
      <c r="AW577" s="184" t="n">
        <f aca="false">IF(ISERROR(VLOOKUP($P475,Member_Tab,5,FALSE())),0,VLOOKUP($P475,Member_Tab,5,FALSE())*IF(AND(AW$5 &gt; VLOOKUP($P475,Member_Tab,6,FALSE()),AW$5 &lt; VLOOKUP($P475,Member_Tab,7,FALSE())),1,0))</f>
        <v>0</v>
      </c>
      <c r="AX577" s="184" t="n">
        <f aca="false">IF(ISERROR(VLOOKUP($P475,Member_Tab,5,FALSE())),0,VLOOKUP($P475,Member_Tab,5,FALSE())*IF(AND(AX$5 &gt; VLOOKUP($P475,Member_Tab,6,FALSE()),AX$5 &lt; VLOOKUP($P475,Member_Tab,7,FALSE())),1,0))</f>
        <v>0</v>
      </c>
      <c r="AY577" s="184" t="n">
        <f aca="false">IF(ISERROR(VLOOKUP($P475,Member_Tab,5,FALSE())),0,VLOOKUP($P475,Member_Tab,5,FALSE())*IF(AND(AY$5 &gt; VLOOKUP($P475,Member_Tab,6,FALSE()),AY$5 &lt; VLOOKUP($P475,Member_Tab,7,FALSE())),1,0))</f>
        <v>0</v>
      </c>
      <c r="AZ577" s="184" t="n">
        <f aca="false">IF(ISERROR(VLOOKUP($P475,Member_Tab,5,FALSE())),0,VLOOKUP($P475,Member_Tab,5,FALSE())*IF(AND(AZ$5 &gt; VLOOKUP($P475,Member_Tab,6,FALSE()),AZ$5 &lt; VLOOKUP($P475,Member_Tab,7,FALSE())),1,0))</f>
        <v>0</v>
      </c>
      <c r="BA577" s="184" t="n">
        <f aca="false">IF(ISERROR(VLOOKUP($P475,Member_Tab,5,FALSE())),0,VLOOKUP($P475,Member_Tab,5,FALSE())*IF(AND(BA$5 &gt; VLOOKUP($P475,Member_Tab,6,FALSE()),BA$5 &lt; VLOOKUP($P475,Member_Tab,7,FALSE())),1,0))</f>
        <v>0</v>
      </c>
      <c r="BB577" s="184" t="n">
        <f aca="false">IF(ISERROR(VLOOKUP($P475,Member_Tab,5,FALSE())),0,VLOOKUP($P475,Member_Tab,5,FALSE())*IF(AND(BB$5 &gt; VLOOKUP($P475,Member_Tab,6,FALSE()),BB$5 &lt; VLOOKUP($P475,Member_Tab,7,FALSE())),1,0))</f>
        <v>0</v>
      </c>
    </row>
    <row r="578" s="173" customFormat="true" ht="15.75" hidden="true" customHeight="false" outlineLevel="1" collapsed="false">
      <c r="E578" s="40"/>
      <c r="K578" s="40"/>
      <c r="L578" s="40"/>
      <c r="M578" s="40"/>
      <c r="N578" s="40"/>
      <c r="P578" s="183" t="n">
        <f aca="false">P476</f>
        <v>0</v>
      </c>
      <c r="Q578" s="40"/>
      <c r="R578" s="182"/>
      <c r="S578" s="184" t="n">
        <f aca="false">IF(ISERROR(VLOOKUP($P476,Member_Tab,5,FALSE())),0,VLOOKUP($P476,Member_Tab,5,FALSE())*IF(AND(S$5 &gt; VLOOKUP($P476,Member_Tab,6,FALSE()),S$5 &lt; VLOOKUP($P476,Member_Tab,7,FALSE())),1,0))</f>
        <v>0</v>
      </c>
      <c r="T578" s="184" t="n">
        <f aca="false">IF(ISERROR(VLOOKUP($P476,Member_Tab,5,FALSE())),0,VLOOKUP($P476,Member_Tab,5,FALSE())*IF(AND(T$5 &gt; VLOOKUP($P476,Member_Tab,6,FALSE()),T$5 &lt; VLOOKUP($P476,Member_Tab,7,FALSE())),1,0))</f>
        <v>0</v>
      </c>
      <c r="U578" s="184" t="n">
        <f aca="false">IF(ISERROR(VLOOKUP($P476,Member_Tab,5,FALSE())),0,VLOOKUP($P476,Member_Tab,5,FALSE())*IF(AND(U$5 &gt; VLOOKUP($P476,Member_Tab,6,FALSE()),U$5 &lt; VLOOKUP($P476,Member_Tab,7,FALSE())),1,0))</f>
        <v>0</v>
      </c>
      <c r="V578" s="184" t="n">
        <f aca="false">IF(ISERROR(VLOOKUP($P476,Member_Tab,5,FALSE())),0,VLOOKUP($P476,Member_Tab,5,FALSE())*IF(AND(V$5 &gt; VLOOKUP($P476,Member_Tab,6,FALSE()),V$5 &lt; VLOOKUP($P476,Member_Tab,7,FALSE())),1,0))</f>
        <v>0</v>
      </c>
      <c r="W578" s="184" t="n">
        <f aca="false">IF(ISERROR(VLOOKUP($P476,Member_Tab,5,FALSE())),0,VLOOKUP($P476,Member_Tab,5,FALSE())*IF(AND(W$5 &gt; VLOOKUP($P476,Member_Tab,6,FALSE()),W$5 &lt; VLOOKUP($P476,Member_Tab,7,FALSE())),1,0))</f>
        <v>0</v>
      </c>
      <c r="X578" s="184" t="n">
        <f aca="false">IF(ISERROR(VLOOKUP($P476,Member_Tab,5,FALSE())),0,VLOOKUP($P476,Member_Tab,5,FALSE())*IF(AND(X$5 &gt; VLOOKUP($P476,Member_Tab,6,FALSE()),X$5 &lt; VLOOKUP($P476,Member_Tab,7,FALSE())),1,0))</f>
        <v>0</v>
      </c>
      <c r="Y578" s="184" t="n">
        <f aca="false">IF(ISERROR(VLOOKUP($P476,Member_Tab,5,FALSE())),0,VLOOKUP($P476,Member_Tab,5,FALSE())*IF(AND(Y$5 &gt; VLOOKUP($P476,Member_Tab,6,FALSE()),Y$5 &lt; VLOOKUP($P476,Member_Tab,7,FALSE())),1,0))</f>
        <v>0</v>
      </c>
      <c r="Z578" s="184" t="n">
        <f aca="false">IF(ISERROR(VLOOKUP($P476,Member_Tab,5,FALSE())),0,VLOOKUP($P476,Member_Tab,5,FALSE())*IF(AND(Z$5 &gt; VLOOKUP($P476,Member_Tab,6,FALSE()),Z$5 &lt; VLOOKUP($P476,Member_Tab,7,FALSE())),1,0))</f>
        <v>0</v>
      </c>
      <c r="AA578" s="184" t="n">
        <f aca="false">IF(ISERROR(VLOOKUP($P476,Member_Tab,5,FALSE())),0,VLOOKUP($P476,Member_Tab,5,FALSE())*IF(AND(AA$5 &gt; VLOOKUP($P476,Member_Tab,6,FALSE()),AA$5 &lt; VLOOKUP($P476,Member_Tab,7,FALSE())),1,0))</f>
        <v>0</v>
      </c>
      <c r="AB578" s="184" t="n">
        <f aca="false">IF(ISERROR(VLOOKUP($P476,Member_Tab,5,FALSE())),0,VLOOKUP($P476,Member_Tab,5,FALSE())*IF(AND(AB$5 &gt; VLOOKUP($P476,Member_Tab,6,FALSE()),AB$5 &lt; VLOOKUP($P476,Member_Tab,7,FALSE())),1,0))</f>
        <v>0</v>
      </c>
      <c r="AC578" s="184" t="n">
        <f aca="false">IF(ISERROR(VLOOKUP($P476,Member_Tab,5,FALSE())),0,VLOOKUP($P476,Member_Tab,5,FALSE())*IF(AND(AC$5 &gt; VLOOKUP($P476,Member_Tab,6,FALSE()),AC$5 &lt; VLOOKUP($P476,Member_Tab,7,FALSE())),1,0))</f>
        <v>0</v>
      </c>
      <c r="AD578" s="184" t="n">
        <f aca="false">IF(ISERROR(VLOOKUP($P476,Member_Tab,5,FALSE())),0,VLOOKUP($P476,Member_Tab,5,FALSE())*IF(AND(AD$5 &gt; VLOOKUP($P476,Member_Tab,6,FALSE()),AD$5 &lt; VLOOKUP($P476,Member_Tab,7,FALSE())),1,0))</f>
        <v>0</v>
      </c>
      <c r="AE578" s="184" t="n">
        <f aca="false">IF(ISERROR(VLOOKUP($P476,Member_Tab,5,FALSE())),0,VLOOKUP($P476,Member_Tab,5,FALSE())*IF(AND(AE$5 &gt; VLOOKUP($P476,Member_Tab,6,FALSE()),AE$5 &lt; VLOOKUP($P476,Member_Tab,7,FALSE())),1,0))</f>
        <v>0</v>
      </c>
      <c r="AF578" s="184" t="n">
        <f aca="false">IF(ISERROR(VLOOKUP($P476,Member_Tab,5,FALSE())),0,VLOOKUP($P476,Member_Tab,5,FALSE())*IF(AND(AF$5 &gt; VLOOKUP($P476,Member_Tab,6,FALSE()),AF$5 &lt; VLOOKUP($P476,Member_Tab,7,FALSE())),1,0))</f>
        <v>0</v>
      </c>
      <c r="AG578" s="184" t="n">
        <f aca="false">IF(ISERROR(VLOOKUP($P476,Member_Tab,5,FALSE())),0,VLOOKUP($P476,Member_Tab,5,FALSE())*IF(AND(AG$5 &gt; VLOOKUP($P476,Member_Tab,6,FALSE()),AG$5 &lt; VLOOKUP($P476,Member_Tab,7,FALSE())),1,0))</f>
        <v>0</v>
      </c>
      <c r="AH578" s="184" t="n">
        <f aca="false">IF(ISERROR(VLOOKUP($P476,Member_Tab,5,FALSE())),0,VLOOKUP($P476,Member_Tab,5,FALSE())*IF(AND(AH$5 &gt; VLOOKUP($P476,Member_Tab,6,FALSE()),AH$5 &lt; VLOOKUP($P476,Member_Tab,7,FALSE())),1,0))</f>
        <v>0</v>
      </c>
      <c r="AI578" s="184" t="n">
        <f aca="false">IF(ISERROR(VLOOKUP($P476,Member_Tab,5,FALSE())),0,VLOOKUP($P476,Member_Tab,5,FALSE())*IF(AND(AI$5 &gt; VLOOKUP($P476,Member_Tab,6,FALSE()),AI$5 &lt; VLOOKUP($P476,Member_Tab,7,FALSE())),1,0))</f>
        <v>0</v>
      </c>
      <c r="AJ578" s="184" t="n">
        <f aca="false">IF(ISERROR(VLOOKUP($P476,Member_Tab,5,FALSE())),0,VLOOKUP($P476,Member_Tab,5,FALSE())*IF(AND(AJ$5 &gt; VLOOKUP($P476,Member_Tab,6,FALSE()),AJ$5 &lt; VLOOKUP($P476,Member_Tab,7,FALSE())),1,0))</f>
        <v>0</v>
      </c>
      <c r="AK578" s="184" t="n">
        <f aca="false">IF(ISERROR(VLOOKUP($P476,Member_Tab,5,FALSE())),0,VLOOKUP($P476,Member_Tab,5,FALSE())*IF(AND(AK$5 &gt; VLOOKUP($P476,Member_Tab,6,FALSE()),AK$5 &lt; VLOOKUP($P476,Member_Tab,7,FALSE())),1,0))</f>
        <v>0</v>
      </c>
      <c r="AL578" s="184" t="n">
        <f aca="false">IF(ISERROR(VLOOKUP($P476,Member_Tab,5,FALSE())),0,VLOOKUP($P476,Member_Tab,5,FALSE())*IF(AND(AL$5 &gt; VLOOKUP($P476,Member_Tab,6,FALSE()),AL$5 &lt; VLOOKUP($P476,Member_Tab,7,FALSE())),1,0))</f>
        <v>0</v>
      </c>
      <c r="AM578" s="184" t="n">
        <f aca="false">IF(ISERROR(VLOOKUP($P476,Member_Tab,5,FALSE())),0,VLOOKUP($P476,Member_Tab,5,FALSE())*IF(AND(AM$5 &gt; VLOOKUP($P476,Member_Tab,6,FALSE()),AM$5 &lt; VLOOKUP($P476,Member_Tab,7,FALSE())),1,0))</f>
        <v>0</v>
      </c>
      <c r="AN578" s="184" t="n">
        <f aca="false">IF(ISERROR(VLOOKUP($P476,Member_Tab,5,FALSE())),0,VLOOKUP($P476,Member_Tab,5,FALSE())*IF(AND(AN$5 &gt; VLOOKUP($P476,Member_Tab,6,FALSE()),AN$5 &lt; VLOOKUP($P476,Member_Tab,7,FALSE())),1,0))</f>
        <v>0</v>
      </c>
      <c r="AO578" s="184" t="n">
        <f aca="false">IF(ISERROR(VLOOKUP($P476,Member_Tab,5,FALSE())),0,VLOOKUP($P476,Member_Tab,5,FALSE())*IF(AND(AO$5 &gt; VLOOKUP($P476,Member_Tab,6,FALSE()),AO$5 &lt; VLOOKUP($P476,Member_Tab,7,FALSE())),1,0))</f>
        <v>0</v>
      </c>
      <c r="AP578" s="184" t="n">
        <f aca="false">IF(ISERROR(VLOOKUP($P476,Member_Tab,5,FALSE())),0,VLOOKUP($P476,Member_Tab,5,FALSE())*IF(AND(AP$5 &gt; VLOOKUP($P476,Member_Tab,6,FALSE()),AP$5 &lt; VLOOKUP($P476,Member_Tab,7,FALSE())),1,0))</f>
        <v>0</v>
      </c>
      <c r="AQ578" s="184" t="n">
        <f aca="false">IF(ISERROR(VLOOKUP($P476,Member_Tab,5,FALSE())),0,VLOOKUP($P476,Member_Tab,5,FALSE())*IF(AND(AQ$5 &gt; VLOOKUP($P476,Member_Tab,6,FALSE()),AQ$5 &lt; VLOOKUP($P476,Member_Tab,7,FALSE())),1,0))</f>
        <v>0</v>
      </c>
      <c r="AR578" s="184" t="n">
        <f aca="false">IF(ISERROR(VLOOKUP($P476,Member_Tab,5,FALSE())),0,VLOOKUP($P476,Member_Tab,5,FALSE())*IF(AND(AR$5 &gt; VLOOKUP($P476,Member_Tab,6,FALSE()),AR$5 &lt; VLOOKUP($P476,Member_Tab,7,FALSE())),1,0))</f>
        <v>0</v>
      </c>
      <c r="AS578" s="184" t="n">
        <f aca="false">IF(ISERROR(VLOOKUP($P476,Member_Tab,5,FALSE())),0,VLOOKUP($P476,Member_Tab,5,FALSE())*IF(AND(AS$5 &gt; VLOOKUP($P476,Member_Tab,6,FALSE()),AS$5 &lt; VLOOKUP($P476,Member_Tab,7,FALSE())),1,0))</f>
        <v>0</v>
      </c>
      <c r="AT578" s="184" t="n">
        <f aca="false">IF(ISERROR(VLOOKUP($P476,Member_Tab,5,FALSE())),0,VLOOKUP($P476,Member_Tab,5,FALSE())*IF(AND(AT$5 &gt; VLOOKUP($P476,Member_Tab,6,FALSE()),AT$5 &lt; VLOOKUP($P476,Member_Tab,7,FALSE())),1,0))</f>
        <v>0</v>
      </c>
      <c r="AU578" s="184" t="n">
        <f aca="false">IF(ISERROR(VLOOKUP($P476,Member_Tab,5,FALSE())),0,VLOOKUP($P476,Member_Tab,5,FALSE())*IF(AND(AU$5 &gt; VLOOKUP($P476,Member_Tab,6,FALSE()),AU$5 &lt; VLOOKUP($P476,Member_Tab,7,FALSE())),1,0))</f>
        <v>0</v>
      </c>
      <c r="AV578" s="184" t="n">
        <f aca="false">IF(ISERROR(VLOOKUP($P476,Member_Tab,5,FALSE())),0,VLOOKUP($P476,Member_Tab,5,FALSE())*IF(AND(AV$5 &gt; VLOOKUP($P476,Member_Tab,6,FALSE()),AV$5 &lt; VLOOKUP($P476,Member_Tab,7,FALSE())),1,0))</f>
        <v>0</v>
      </c>
      <c r="AW578" s="184" t="n">
        <f aca="false">IF(ISERROR(VLOOKUP($P476,Member_Tab,5,FALSE())),0,VLOOKUP($P476,Member_Tab,5,FALSE())*IF(AND(AW$5 &gt; VLOOKUP($P476,Member_Tab,6,FALSE()),AW$5 &lt; VLOOKUP($P476,Member_Tab,7,FALSE())),1,0))</f>
        <v>0</v>
      </c>
      <c r="AX578" s="184" t="n">
        <f aca="false">IF(ISERROR(VLOOKUP($P476,Member_Tab,5,FALSE())),0,VLOOKUP($P476,Member_Tab,5,FALSE())*IF(AND(AX$5 &gt; VLOOKUP($P476,Member_Tab,6,FALSE()),AX$5 &lt; VLOOKUP($P476,Member_Tab,7,FALSE())),1,0))</f>
        <v>0</v>
      </c>
      <c r="AY578" s="184" t="n">
        <f aca="false">IF(ISERROR(VLOOKUP($P476,Member_Tab,5,FALSE())),0,VLOOKUP($P476,Member_Tab,5,FALSE())*IF(AND(AY$5 &gt; VLOOKUP($P476,Member_Tab,6,FALSE()),AY$5 &lt; VLOOKUP($P476,Member_Tab,7,FALSE())),1,0))</f>
        <v>0</v>
      </c>
      <c r="AZ578" s="184" t="n">
        <f aca="false">IF(ISERROR(VLOOKUP($P476,Member_Tab,5,FALSE())),0,VLOOKUP($P476,Member_Tab,5,FALSE())*IF(AND(AZ$5 &gt; VLOOKUP($P476,Member_Tab,6,FALSE()),AZ$5 &lt; VLOOKUP($P476,Member_Tab,7,FALSE())),1,0))</f>
        <v>0</v>
      </c>
      <c r="BA578" s="184" t="n">
        <f aca="false">IF(ISERROR(VLOOKUP($P476,Member_Tab,5,FALSE())),0,VLOOKUP($P476,Member_Tab,5,FALSE())*IF(AND(BA$5 &gt; VLOOKUP($P476,Member_Tab,6,FALSE()),BA$5 &lt; VLOOKUP($P476,Member_Tab,7,FALSE())),1,0))</f>
        <v>0</v>
      </c>
      <c r="BB578" s="184" t="n">
        <f aca="false">IF(ISERROR(VLOOKUP($P476,Member_Tab,5,FALSE())),0,VLOOKUP($P476,Member_Tab,5,FALSE())*IF(AND(BB$5 &gt; VLOOKUP($P476,Member_Tab,6,FALSE()),BB$5 &lt; VLOOKUP($P476,Member_Tab,7,FALSE())),1,0))</f>
        <v>0</v>
      </c>
    </row>
    <row r="579" s="173" customFormat="true" ht="15.75" hidden="true" customHeight="false" outlineLevel="1" collapsed="false">
      <c r="E579" s="40"/>
      <c r="K579" s="40"/>
      <c r="L579" s="40"/>
      <c r="M579" s="40"/>
      <c r="N579" s="40"/>
      <c r="P579" s="183" t="n">
        <f aca="false">P477</f>
        <v>0</v>
      </c>
      <c r="Q579" s="40"/>
      <c r="R579" s="182"/>
      <c r="S579" s="184" t="n">
        <f aca="false">IF(ISERROR(VLOOKUP($P477,Member_Tab,5,FALSE())),0,VLOOKUP($P477,Member_Tab,5,FALSE())*IF(AND(S$5 &gt; VLOOKUP($P477,Member_Tab,6,FALSE()),S$5 &lt; VLOOKUP($P477,Member_Tab,7,FALSE())),1,0))</f>
        <v>0</v>
      </c>
      <c r="T579" s="184" t="n">
        <f aca="false">IF(ISERROR(VLOOKUP($P477,Member_Tab,5,FALSE())),0,VLOOKUP($P477,Member_Tab,5,FALSE())*IF(AND(T$5 &gt; VLOOKUP($P477,Member_Tab,6,FALSE()),T$5 &lt; VLOOKUP($P477,Member_Tab,7,FALSE())),1,0))</f>
        <v>0</v>
      </c>
      <c r="U579" s="184" t="n">
        <f aca="false">IF(ISERROR(VLOOKUP($P477,Member_Tab,5,FALSE())),0,VLOOKUP($P477,Member_Tab,5,FALSE())*IF(AND(U$5 &gt; VLOOKUP($P477,Member_Tab,6,FALSE()),U$5 &lt; VLOOKUP($P477,Member_Tab,7,FALSE())),1,0))</f>
        <v>0</v>
      </c>
      <c r="V579" s="184" t="n">
        <f aca="false">IF(ISERROR(VLOOKUP($P477,Member_Tab,5,FALSE())),0,VLOOKUP($P477,Member_Tab,5,FALSE())*IF(AND(V$5 &gt; VLOOKUP($P477,Member_Tab,6,FALSE()),V$5 &lt; VLOOKUP($P477,Member_Tab,7,FALSE())),1,0))</f>
        <v>0</v>
      </c>
      <c r="W579" s="184" t="n">
        <f aca="false">IF(ISERROR(VLOOKUP($P477,Member_Tab,5,FALSE())),0,VLOOKUP($P477,Member_Tab,5,FALSE())*IF(AND(W$5 &gt; VLOOKUP($P477,Member_Tab,6,FALSE()),W$5 &lt; VLOOKUP($P477,Member_Tab,7,FALSE())),1,0))</f>
        <v>0</v>
      </c>
      <c r="X579" s="184" t="n">
        <f aca="false">IF(ISERROR(VLOOKUP($P477,Member_Tab,5,FALSE())),0,VLOOKUP($P477,Member_Tab,5,FALSE())*IF(AND(X$5 &gt; VLOOKUP($P477,Member_Tab,6,FALSE()),X$5 &lt; VLOOKUP($P477,Member_Tab,7,FALSE())),1,0))</f>
        <v>0</v>
      </c>
      <c r="Y579" s="184" t="n">
        <f aca="false">IF(ISERROR(VLOOKUP($P477,Member_Tab,5,FALSE())),0,VLOOKUP($P477,Member_Tab,5,FALSE())*IF(AND(Y$5 &gt; VLOOKUP($P477,Member_Tab,6,FALSE()),Y$5 &lt; VLOOKUP($P477,Member_Tab,7,FALSE())),1,0))</f>
        <v>0</v>
      </c>
      <c r="Z579" s="184" t="n">
        <f aca="false">IF(ISERROR(VLOOKUP($P477,Member_Tab,5,FALSE())),0,VLOOKUP($P477,Member_Tab,5,FALSE())*IF(AND(Z$5 &gt; VLOOKUP($P477,Member_Tab,6,FALSE()),Z$5 &lt; VLOOKUP($P477,Member_Tab,7,FALSE())),1,0))</f>
        <v>0</v>
      </c>
      <c r="AA579" s="184" t="n">
        <f aca="false">IF(ISERROR(VLOOKUP($P477,Member_Tab,5,FALSE())),0,VLOOKUP($P477,Member_Tab,5,FALSE())*IF(AND(AA$5 &gt; VLOOKUP($P477,Member_Tab,6,FALSE()),AA$5 &lt; VLOOKUP($P477,Member_Tab,7,FALSE())),1,0))</f>
        <v>0</v>
      </c>
      <c r="AB579" s="184" t="n">
        <f aca="false">IF(ISERROR(VLOOKUP($P477,Member_Tab,5,FALSE())),0,VLOOKUP($P477,Member_Tab,5,FALSE())*IF(AND(AB$5 &gt; VLOOKUP($P477,Member_Tab,6,FALSE()),AB$5 &lt; VLOOKUP($P477,Member_Tab,7,FALSE())),1,0))</f>
        <v>0</v>
      </c>
      <c r="AC579" s="184" t="n">
        <f aca="false">IF(ISERROR(VLOOKUP($P477,Member_Tab,5,FALSE())),0,VLOOKUP($P477,Member_Tab,5,FALSE())*IF(AND(AC$5 &gt; VLOOKUP($P477,Member_Tab,6,FALSE()),AC$5 &lt; VLOOKUP($P477,Member_Tab,7,FALSE())),1,0))</f>
        <v>0</v>
      </c>
      <c r="AD579" s="184" t="n">
        <f aca="false">IF(ISERROR(VLOOKUP($P477,Member_Tab,5,FALSE())),0,VLOOKUP($P477,Member_Tab,5,FALSE())*IF(AND(AD$5 &gt; VLOOKUP($P477,Member_Tab,6,FALSE()),AD$5 &lt; VLOOKUP($P477,Member_Tab,7,FALSE())),1,0))</f>
        <v>0</v>
      </c>
      <c r="AE579" s="184" t="n">
        <f aca="false">IF(ISERROR(VLOOKUP($P477,Member_Tab,5,FALSE())),0,VLOOKUP($P477,Member_Tab,5,FALSE())*IF(AND(AE$5 &gt; VLOOKUP($P477,Member_Tab,6,FALSE()),AE$5 &lt; VLOOKUP($P477,Member_Tab,7,FALSE())),1,0))</f>
        <v>0</v>
      </c>
      <c r="AF579" s="184" t="n">
        <f aca="false">IF(ISERROR(VLOOKUP($P477,Member_Tab,5,FALSE())),0,VLOOKUP($P477,Member_Tab,5,FALSE())*IF(AND(AF$5 &gt; VLOOKUP($P477,Member_Tab,6,FALSE()),AF$5 &lt; VLOOKUP($P477,Member_Tab,7,FALSE())),1,0))</f>
        <v>0</v>
      </c>
      <c r="AG579" s="184" t="n">
        <f aca="false">IF(ISERROR(VLOOKUP($P477,Member_Tab,5,FALSE())),0,VLOOKUP($P477,Member_Tab,5,FALSE())*IF(AND(AG$5 &gt; VLOOKUP($P477,Member_Tab,6,FALSE()),AG$5 &lt; VLOOKUP($P477,Member_Tab,7,FALSE())),1,0))</f>
        <v>0</v>
      </c>
      <c r="AH579" s="184" t="n">
        <f aca="false">IF(ISERROR(VLOOKUP($P477,Member_Tab,5,FALSE())),0,VLOOKUP($P477,Member_Tab,5,FALSE())*IF(AND(AH$5 &gt; VLOOKUP($P477,Member_Tab,6,FALSE()),AH$5 &lt; VLOOKUP($P477,Member_Tab,7,FALSE())),1,0))</f>
        <v>0</v>
      </c>
      <c r="AI579" s="184" t="n">
        <f aca="false">IF(ISERROR(VLOOKUP($P477,Member_Tab,5,FALSE())),0,VLOOKUP($P477,Member_Tab,5,FALSE())*IF(AND(AI$5 &gt; VLOOKUP($P477,Member_Tab,6,FALSE()),AI$5 &lt; VLOOKUP($P477,Member_Tab,7,FALSE())),1,0))</f>
        <v>0</v>
      </c>
      <c r="AJ579" s="184" t="n">
        <f aca="false">IF(ISERROR(VLOOKUP($P477,Member_Tab,5,FALSE())),0,VLOOKUP($P477,Member_Tab,5,FALSE())*IF(AND(AJ$5 &gt; VLOOKUP($P477,Member_Tab,6,FALSE()),AJ$5 &lt; VLOOKUP($P477,Member_Tab,7,FALSE())),1,0))</f>
        <v>0</v>
      </c>
      <c r="AK579" s="184" t="n">
        <f aca="false">IF(ISERROR(VLOOKUP($P477,Member_Tab,5,FALSE())),0,VLOOKUP($P477,Member_Tab,5,FALSE())*IF(AND(AK$5 &gt; VLOOKUP($P477,Member_Tab,6,FALSE()),AK$5 &lt; VLOOKUP($P477,Member_Tab,7,FALSE())),1,0))</f>
        <v>0</v>
      </c>
      <c r="AL579" s="184" t="n">
        <f aca="false">IF(ISERROR(VLOOKUP($P477,Member_Tab,5,FALSE())),0,VLOOKUP($P477,Member_Tab,5,FALSE())*IF(AND(AL$5 &gt; VLOOKUP($P477,Member_Tab,6,FALSE()),AL$5 &lt; VLOOKUP($P477,Member_Tab,7,FALSE())),1,0))</f>
        <v>0</v>
      </c>
      <c r="AM579" s="184" t="n">
        <f aca="false">IF(ISERROR(VLOOKUP($P477,Member_Tab,5,FALSE())),0,VLOOKUP($P477,Member_Tab,5,FALSE())*IF(AND(AM$5 &gt; VLOOKUP($P477,Member_Tab,6,FALSE()),AM$5 &lt; VLOOKUP($P477,Member_Tab,7,FALSE())),1,0))</f>
        <v>0</v>
      </c>
      <c r="AN579" s="184" t="n">
        <f aca="false">IF(ISERROR(VLOOKUP($P477,Member_Tab,5,FALSE())),0,VLOOKUP($P477,Member_Tab,5,FALSE())*IF(AND(AN$5 &gt; VLOOKUP($P477,Member_Tab,6,FALSE()),AN$5 &lt; VLOOKUP($P477,Member_Tab,7,FALSE())),1,0))</f>
        <v>0</v>
      </c>
      <c r="AO579" s="184" t="n">
        <f aca="false">IF(ISERROR(VLOOKUP($P477,Member_Tab,5,FALSE())),0,VLOOKUP($P477,Member_Tab,5,FALSE())*IF(AND(AO$5 &gt; VLOOKUP($P477,Member_Tab,6,FALSE()),AO$5 &lt; VLOOKUP($P477,Member_Tab,7,FALSE())),1,0))</f>
        <v>0</v>
      </c>
      <c r="AP579" s="184" t="n">
        <f aca="false">IF(ISERROR(VLOOKUP($P477,Member_Tab,5,FALSE())),0,VLOOKUP($P477,Member_Tab,5,FALSE())*IF(AND(AP$5 &gt; VLOOKUP($P477,Member_Tab,6,FALSE()),AP$5 &lt; VLOOKUP($P477,Member_Tab,7,FALSE())),1,0))</f>
        <v>0</v>
      </c>
      <c r="AQ579" s="184" t="n">
        <f aca="false">IF(ISERROR(VLOOKUP($P477,Member_Tab,5,FALSE())),0,VLOOKUP($P477,Member_Tab,5,FALSE())*IF(AND(AQ$5 &gt; VLOOKUP($P477,Member_Tab,6,FALSE()),AQ$5 &lt; VLOOKUP($P477,Member_Tab,7,FALSE())),1,0))</f>
        <v>0</v>
      </c>
      <c r="AR579" s="184" t="n">
        <f aca="false">IF(ISERROR(VLOOKUP($P477,Member_Tab,5,FALSE())),0,VLOOKUP($P477,Member_Tab,5,FALSE())*IF(AND(AR$5 &gt; VLOOKUP($P477,Member_Tab,6,FALSE()),AR$5 &lt; VLOOKUP($P477,Member_Tab,7,FALSE())),1,0))</f>
        <v>0</v>
      </c>
      <c r="AS579" s="184" t="n">
        <f aca="false">IF(ISERROR(VLOOKUP($P477,Member_Tab,5,FALSE())),0,VLOOKUP($P477,Member_Tab,5,FALSE())*IF(AND(AS$5 &gt; VLOOKUP($P477,Member_Tab,6,FALSE()),AS$5 &lt; VLOOKUP($P477,Member_Tab,7,FALSE())),1,0))</f>
        <v>0</v>
      </c>
      <c r="AT579" s="184" t="n">
        <f aca="false">IF(ISERROR(VLOOKUP($P477,Member_Tab,5,FALSE())),0,VLOOKUP($P477,Member_Tab,5,FALSE())*IF(AND(AT$5 &gt; VLOOKUP($P477,Member_Tab,6,FALSE()),AT$5 &lt; VLOOKUP($P477,Member_Tab,7,FALSE())),1,0))</f>
        <v>0</v>
      </c>
      <c r="AU579" s="184" t="n">
        <f aca="false">IF(ISERROR(VLOOKUP($P477,Member_Tab,5,FALSE())),0,VLOOKUP($P477,Member_Tab,5,FALSE())*IF(AND(AU$5 &gt; VLOOKUP($P477,Member_Tab,6,FALSE()),AU$5 &lt; VLOOKUP($P477,Member_Tab,7,FALSE())),1,0))</f>
        <v>0</v>
      </c>
      <c r="AV579" s="184" t="n">
        <f aca="false">IF(ISERROR(VLOOKUP($P477,Member_Tab,5,FALSE())),0,VLOOKUP($P477,Member_Tab,5,FALSE())*IF(AND(AV$5 &gt; VLOOKUP($P477,Member_Tab,6,FALSE()),AV$5 &lt; VLOOKUP($P477,Member_Tab,7,FALSE())),1,0))</f>
        <v>0</v>
      </c>
      <c r="AW579" s="184" t="n">
        <f aca="false">IF(ISERROR(VLOOKUP($P477,Member_Tab,5,FALSE())),0,VLOOKUP($P477,Member_Tab,5,FALSE())*IF(AND(AW$5 &gt; VLOOKUP($P477,Member_Tab,6,FALSE()),AW$5 &lt; VLOOKUP($P477,Member_Tab,7,FALSE())),1,0))</f>
        <v>0</v>
      </c>
      <c r="AX579" s="184" t="n">
        <f aca="false">IF(ISERROR(VLOOKUP($P477,Member_Tab,5,FALSE())),0,VLOOKUP($P477,Member_Tab,5,FALSE())*IF(AND(AX$5 &gt; VLOOKUP($P477,Member_Tab,6,FALSE()),AX$5 &lt; VLOOKUP($P477,Member_Tab,7,FALSE())),1,0))</f>
        <v>0</v>
      </c>
      <c r="AY579" s="184" t="n">
        <f aca="false">IF(ISERROR(VLOOKUP($P477,Member_Tab,5,FALSE())),0,VLOOKUP($P477,Member_Tab,5,FALSE())*IF(AND(AY$5 &gt; VLOOKUP($P477,Member_Tab,6,FALSE()),AY$5 &lt; VLOOKUP($P477,Member_Tab,7,FALSE())),1,0))</f>
        <v>0</v>
      </c>
      <c r="AZ579" s="184" t="n">
        <f aca="false">IF(ISERROR(VLOOKUP($P477,Member_Tab,5,FALSE())),0,VLOOKUP($P477,Member_Tab,5,FALSE())*IF(AND(AZ$5 &gt; VLOOKUP($P477,Member_Tab,6,FALSE()),AZ$5 &lt; VLOOKUP($P477,Member_Tab,7,FALSE())),1,0))</f>
        <v>0</v>
      </c>
      <c r="BA579" s="184" t="n">
        <f aca="false">IF(ISERROR(VLOOKUP($P477,Member_Tab,5,FALSE())),0,VLOOKUP($P477,Member_Tab,5,FALSE())*IF(AND(BA$5 &gt; VLOOKUP($P477,Member_Tab,6,FALSE()),BA$5 &lt; VLOOKUP($P477,Member_Tab,7,FALSE())),1,0))</f>
        <v>0</v>
      </c>
      <c r="BB579" s="184" t="n">
        <f aca="false">IF(ISERROR(VLOOKUP($P477,Member_Tab,5,FALSE())),0,VLOOKUP($P477,Member_Tab,5,FALSE())*IF(AND(BB$5 &gt; VLOOKUP($P477,Member_Tab,6,FALSE()),BB$5 &lt; VLOOKUP($P477,Member_Tab,7,FALSE())),1,0))</f>
        <v>0</v>
      </c>
    </row>
    <row r="580" s="173" customFormat="true" ht="15.75" hidden="true" customHeight="false" outlineLevel="1" collapsed="false">
      <c r="E580" s="40"/>
      <c r="K580" s="40"/>
      <c r="L580" s="40"/>
      <c r="M580" s="40"/>
      <c r="N580" s="40"/>
      <c r="P580" s="183" t="n">
        <f aca="false">P478</f>
        <v>0</v>
      </c>
      <c r="Q580" s="40"/>
      <c r="R580" s="182"/>
      <c r="S580" s="184" t="n">
        <f aca="false">IF(ISERROR(VLOOKUP($P478,Member_Tab,5,FALSE())),0,VLOOKUP($P478,Member_Tab,5,FALSE())*IF(AND(S$5 &gt; VLOOKUP($P478,Member_Tab,6,FALSE()),S$5 &lt; VLOOKUP($P478,Member_Tab,7,FALSE())),1,0))</f>
        <v>0</v>
      </c>
      <c r="T580" s="184" t="n">
        <f aca="false">IF(ISERROR(VLOOKUP($P478,Member_Tab,5,FALSE())),0,VLOOKUP($P478,Member_Tab,5,FALSE())*IF(AND(T$5 &gt; VLOOKUP($P478,Member_Tab,6,FALSE()),T$5 &lt; VLOOKUP($P478,Member_Tab,7,FALSE())),1,0))</f>
        <v>0</v>
      </c>
      <c r="U580" s="184" t="n">
        <f aca="false">IF(ISERROR(VLOOKUP($P478,Member_Tab,5,FALSE())),0,VLOOKUP($P478,Member_Tab,5,FALSE())*IF(AND(U$5 &gt; VLOOKUP($P478,Member_Tab,6,FALSE()),U$5 &lt; VLOOKUP($P478,Member_Tab,7,FALSE())),1,0))</f>
        <v>0</v>
      </c>
      <c r="V580" s="184" t="n">
        <f aca="false">IF(ISERROR(VLOOKUP($P478,Member_Tab,5,FALSE())),0,VLOOKUP($P478,Member_Tab,5,FALSE())*IF(AND(V$5 &gt; VLOOKUP($P478,Member_Tab,6,FALSE()),V$5 &lt; VLOOKUP($P478,Member_Tab,7,FALSE())),1,0))</f>
        <v>0</v>
      </c>
      <c r="W580" s="184" t="n">
        <f aca="false">IF(ISERROR(VLOOKUP($P478,Member_Tab,5,FALSE())),0,VLOOKUP($P478,Member_Tab,5,FALSE())*IF(AND(W$5 &gt; VLOOKUP($P478,Member_Tab,6,FALSE()),W$5 &lt; VLOOKUP($P478,Member_Tab,7,FALSE())),1,0))</f>
        <v>0</v>
      </c>
      <c r="X580" s="184" t="n">
        <f aca="false">IF(ISERROR(VLOOKUP($P478,Member_Tab,5,FALSE())),0,VLOOKUP($P478,Member_Tab,5,FALSE())*IF(AND(X$5 &gt; VLOOKUP($P478,Member_Tab,6,FALSE()),X$5 &lt; VLOOKUP($P478,Member_Tab,7,FALSE())),1,0))</f>
        <v>0</v>
      </c>
      <c r="Y580" s="184" t="n">
        <f aca="false">IF(ISERROR(VLOOKUP($P478,Member_Tab,5,FALSE())),0,VLOOKUP($P478,Member_Tab,5,FALSE())*IF(AND(Y$5 &gt; VLOOKUP($P478,Member_Tab,6,FALSE()),Y$5 &lt; VLOOKUP($P478,Member_Tab,7,FALSE())),1,0))</f>
        <v>0</v>
      </c>
      <c r="Z580" s="184" t="n">
        <f aca="false">IF(ISERROR(VLOOKUP($P478,Member_Tab,5,FALSE())),0,VLOOKUP($P478,Member_Tab,5,FALSE())*IF(AND(Z$5 &gt; VLOOKUP($P478,Member_Tab,6,FALSE()),Z$5 &lt; VLOOKUP($P478,Member_Tab,7,FALSE())),1,0))</f>
        <v>0</v>
      </c>
      <c r="AA580" s="184" t="n">
        <f aca="false">IF(ISERROR(VLOOKUP($P478,Member_Tab,5,FALSE())),0,VLOOKUP($P478,Member_Tab,5,FALSE())*IF(AND(AA$5 &gt; VLOOKUP($P478,Member_Tab,6,FALSE()),AA$5 &lt; VLOOKUP($P478,Member_Tab,7,FALSE())),1,0))</f>
        <v>0</v>
      </c>
      <c r="AB580" s="184" t="n">
        <f aca="false">IF(ISERROR(VLOOKUP($P478,Member_Tab,5,FALSE())),0,VLOOKUP($P478,Member_Tab,5,FALSE())*IF(AND(AB$5 &gt; VLOOKUP($P478,Member_Tab,6,FALSE()),AB$5 &lt; VLOOKUP($P478,Member_Tab,7,FALSE())),1,0))</f>
        <v>0</v>
      </c>
      <c r="AC580" s="184" t="n">
        <f aca="false">IF(ISERROR(VLOOKUP($P478,Member_Tab,5,FALSE())),0,VLOOKUP($P478,Member_Tab,5,FALSE())*IF(AND(AC$5 &gt; VLOOKUP($P478,Member_Tab,6,FALSE()),AC$5 &lt; VLOOKUP($P478,Member_Tab,7,FALSE())),1,0))</f>
        <v>0</v>
      </c>
      <c r="AD580" s="184" t="n">
        <f aca="false">IF(ISERROR(VLOOKUP($P478,Member_Tab,5,FALSE())),0,VLOOKUP($P478,Member_Tab,5,FALSE())*IF(AND(AD$5 &gt; VLOOKUP($P478,Member_Tab,6,FALSE()),AD$5 &lt; VLOOKUP($P478,Member_Tab,7,FALSE())),1,0))</f>
        <v>0</v>
      </c>
      <c r="AE580" s="184" t="n">
        <f aca="false">IF(ISERROR(VLOOKUP($P478,Member_Tab,5,FALSE())),0,VLOOKUP($P478,Member_Tab,5,FALSE())*IF(AND(AE$5 &gt; VLOOKUP($P478,Member_Tab,6,FALSE()),AE$5 &lt; VLOOKUP($P478,Member_Tab,7,FALSE())),1,0))</f>
        <v>0</v>
      </c>
      <c r="AF580" s="184" t="n">
        <f aca="false">IF(ISERROR(VLOOKUP($P478,Member_Tab,5,FALSE())),0,VLOOKUP($P478,Member_Tab,5,FALSE())*IF(AND(AF$5 &gt; VLOOKUP($P478,Member_Tab,6,FALSE()),AF$5 &lt; VLOOKUP($P478,Member_Tab,7,FALSE())),1,0))</f>
        <v>0</v>
      </c>
      <c r="AG580" s="184" t="n">
        <f aca="false">IF(ISERROR(VLOOKUP($P478,Member_Tab,5,FALSE())),0,VLOOKUP($P478,Member_Tab,5,FALSE())*IF(AND(AG$5 &gt; VLOOKUP($P478,Member_Tab,6,FALSE()),AG$5 &lt; VLOOKUP($P478,Member_Tab,7,FALSE())),1,0))</f>
        <v>0</v>
      </c>
      <c r="AH580" s="184" t="n">
        <f aca="false">IF(ISERROR(VLOOKUP($P478,Member_Tab,5,FALSE())),0,VLOOKUP($P478,Member_Tab,5,FALSE())*IF(AND(AH$5 &gt; VLOOKUP($P478,Member_Tab,6,FALSE()),AH$5 &lt; VLOOKUP($P478,Member_Tab,7,FALSE())),1,0))</f>
        <v>0</v>
      </c>
      <c r="AI580" s="184" t="n">
        <f aca="false">IF(ISERROR(VLOOKUP($P478,Member_Tab,5,FALSE())),0,VLOOKUP($P478,Member_Tab,5,FALSE())*IF(AND(AI$5 &gt; VLOOKUP($P478,Member_Tab,6,FALSE()),AI$5 &lt; VLOOKUP($P478,Member_Tab,7,FALSE())),1,0))</f>
        <v>0</v>
      </c>
      <c r="AJ580" s="184" t="n">
        <f aca="false">IF(ISERROR(VLOOKUP($P478,Member_Tab,5,FALSE())),0,VLOOKUP($P478,Member_Tab,5,FALSE())*IF(AND(AJ$5 &gt; VLOOKUP($P478,Member_Tab,6,FALSE()),AJ$5 &lt; VLOOKUP($P478,Member_Tab,7,FALSE())),1,0))</f>
        <v>0</v>
      </c>
      <c r="AK580" s="184" t="n">
        <f aca="false">IF(ISERROR(VLOOKUP($P478,Member_Tab,5,FALSE())),0,VLOOKUP($P478,Member_Tab,5,FALSE())*IF(AND(AK$5 &gt; VLOOKUP($P478,Member_Tab,6,FALSE()),AK$5 &lt; VLOOKUP($P478,Member_Tab,7,FALSE())),1,0))</f>
        <v>0</v>
      </c>
      <c r="AL580" s="184" t="n">
        <f aca="false">IF(ISERROR(VLOOKUP($P478,Member_Tab,5,FALSE())),0,VLOOKUP($P478,Member_Tab,5,FALSE())*IF(AND(AL$5 &gt; VLOOKUP($P478,Member_Tab,6,FALSE()),AL$5 &lt; VLOOKUP($P478,Member_Tab,7,FALSE())),1,0))</f>
        <v>0</v>
      </c>
      <c r="AM580" s="184" t="n">
        <f aca="false">IF(ISERROR(VLOOKUP($P478,Member_Tab,5,FALSE())),0,VLOOKUP($P478,Member_Tab,5,FALSE())*IF(AND(AM$5 &gt; VLOOKUP($P478,Member_Tab,6,FALSE()),AM$5 &lt; VLOOKUP($P478,Member_Tab,7,FALSE())),1,0))</f>
        <v>0</v>
      </c>
      <c r="AN580" s="184" t="n">
        <f aca="false">IF(ISERROR(VLOOKUP($P478,Member_Tab,5,FALSE())),0,VLOOKUP($P478,Member_Tab,5,FALSE())*IF(AND(AN$5 &gt; VLOOKUP($P478,Member_Tab,6,FALSE()),AN$5 &lt; VLOOKUP($P478,Member_Tab,7,FALSE())),1,0))</f>
        <v>0</v>
      </c>
      <c r="AO580" s="184" t="n">
        <f aca="false">IF(ISERROR(VLOOKUP($P478,Member_Tab,5,FALSE())),0,VLOOKUP($P478,Member_Tab,5,FALSE())*IF(AND(AO$5 &gt; VLOOKUP($P478,Member_Tab,6,FALSE()),AO$5 &lt; VLOOKUP($P478,Member_Tab,7,FALSE())),1,0))</f>
        <v>0</v>
      </c>
      <c r="AP580" s="184" t="n">
        <f aca="false">IF(ISERROR(VLOOKUP($P478,Member_Tab,5,FALSE())),0,VLOOKUP($P478,Member_Tab,5,FALSE())*IF(AND(AP$5 &gt; VLOOKUP($P478,Member_Tab,6,FALSE()),AP$5 &lt; VLOOKUP($P478,Member_Tab,7,FALSE())),1,0))</f>
        <v>0</v>
      </c>
      <c r="AQ580" s="184" t="n">
        <f aca="false">IF(ISERROR(VLOOKUP($P478,Member_Tab,5,FALSE())),0,VLOOKUP($P478,Member_Tab,5,FALSE())*IF(AND(AQ$5 &gt; VLOOKUP($P478,Member_Tab,6,FALSE()),AQ$5 &lt; VLOOKUP($P478,Member_Tab,7,FALSE())),1,0))</f>
        <v>0</v>
      </c>
      <c r="AR580" s="184" t="n">
        <f aca="false">IF(ISERROR(VLOOKUP($P478,Member_Tab,5,FALSE())),0,VLOOKUP($P478,Member_Tab,5,FALSE())*IF(AND(AR$5 &gt; VLOOKUP($P478,Member_Tab,6,FALSE()),AR$5 &lt; VLOOKUP($P478,Member_Tab,7,FALSE())),1,0))</f>
        <v>0</v>
      </c>
      <c r="AS580" s="184" t="n">
        <f aca="false">IF(ISERROR(VLOOKUP($P478,Member_Tab,5,FALSE())),0,VLOOKUP($P478,Member_Tab,5,FALSE())*IF(AND(AS$5 &gt; VLOOKUP($P478,Member_Tab,6,FALSE()),AS$5 &lt; VLOOKUP($P478,Member_Tab,7,FALSE())),1,0))</f>
        <v>0</v>
      </c>
      <c r="AT580" s="184" t="n">
        <f aca="false">IF(ISERROR(VLOOKUP($P478,Member_Tab,5,FALSE())),0,VLOOKUP($P478,Member_Tab,5,FALSE())*IF(AND(AT$5 &gt; VLOOKUP($P478,Member_Tab,6,FALSE()),AT$5 &lt; VLOOKUP($P478,Member_Tab,7,FALSE())),1,0))</f>
        <v>0</v>
      </c>
      <c r="AU580" s="184" t="n">
        <f aca="false">IF(ISERROR(VLOOKUP($P478,Member_Tab,5,FALSE())),0,VLOOKUP($P478,Member_Tab,5,FALSE())*IF(AND(AU$5 &gt; VLOOKUP($P478,Member_Tab,6,FALSE()),AU$5 &lt; VLOOKUP($P478,Member_Tab,7,FALSE())),1,0))</f>
        <v>0</v>
      </c>
      <c r="AV580" s="184" t="n">
        <f aca="false">IF(ISERROR(VLOOKUP($P478,Member_Tab,5,FALSE())),0,VLOOKUP($P478,Member_Tab,5,FALSE())*IF(AND(AV$5 &gt; VLOOKUP($P478,Member_Tab,6,FALSE()),AV$5 &lt; VLOOKUP($P478,Member_Tab,7,FALSE())),1,0))</f>
        <v>0</v>
      </c>
      <c r="AW580" s="184" t="n">
        <f aca="false">IF(ISERROR(VLOOKUP($P478,Member_Tab,5,FALSE())),0,VLOOKUP($P478,Member_Tab,5,FALSE())*IF(AND(AW$5 &gt; VLOOKUP($P478,Member_Tab,6,FALSE()),AW$5 &lt; VLOOKUP($P478,Member_Tab,7,FALSE())),1,0))</f>
        <v>0</v>
      </c>
      <c r="AX580" s="184" t="n">
        <f aca="false">IF(ISERROR(VLOOKUP($P478,Member_Tab,5,FALSE())),0,VLOOKUP($P478,Member_Tab,5,FALSE())*IF(AND(AX$5 &gt; VLOOKUP($P478,Member_Tab,6,FALSE()),AX$5 &lt; VLOOKUP($P478,Member_Tab,7,FALSE())),1,0))</f>
        <v>0</v>
      </c>
      <c r="AY580" s="184" t="n">
        <f aca="false">IF(ISERROR(VLOOKUP($P478,Member_Tab,5,FALSE())),0,VLOOKUP($P478,Member_Tab,5,FALSE())*IF(AND(AY$5 &gt; VLOOKUP($P478,Member_Tab,6,FALSE()),AY$5 &lt; VLOOKUP($P478,Member_Tab,7,FALSE())),1,0))</f>
        <v>0</v>
      </c>
      <c r="AZ580" s="184" t="n">
        <f aca="false">IF(ISERROR(VLOOKUP($P478,Member_Tab,5,FALSE())),0,VLOOKUP($P478,Member_Tab,5,FALSE())*IF(AND(AZ$5 &gt; VLOOKUP($P478,Member_Tab,6,FALSE()),AZ$5 &lt; VLOOKUP($P478,Member_Tab,7,FALSE())),1,0))</f>
        <v>0</v>
      </c>
      <c r="BA580" s="184" t="n">
        <f aca="false">IF(ISERROR(VLOOKUP($P478,Member_Tab,5,FALSE())),0,VLOOKUP($P478,Member_Tab,5,FALSE())*IF(AND(BA$5 &gt; VLOOKUP($P478,Member_Tab,6,FALSE()),BA$5 &lt; VLOOKUP($P478,Member_Tab,7,FALSE())),1,0))</f>
        <v>0</v>
      </c>
      <c r="BB580" s="184" t="n">
        <f aca="false">IF(ISERROR(VLOOKUP($P478,Member_Tab,5,FALSE())),0,VLOOKUP($P478,Member_Tab,5,FALSE())*IF(AND(BB$5 &gt; VLOOKUP($P478,Member_Tab,6,FALSE()),BB$5 &lt; VLOOKUP($P478,Member_Tab,7,FALSE())),1,0))</f>
        <v>0</v>
      </c>
    </row>
    <row r="581" s="173" customFormat="true" ht="15.75" hidden="true" customHeight="false" outlineLevel="1" collapsed="false">
      <c r="E581" s="40"/>
      <c r="K581" s="40"/>
      <c r="L581" s="40"/>
      <c r="M581" s="40"/>
      <c r="N581" s="40"/>
      <c r="P581" s="183" t="n">
        <f aca="false">P479</f>
        <v>0</v>
      </c>
      <c r="Q581" s="40"/>
      <c r="R581" s="182"/>
      <c r="S581" s="184" t="n">
        <f aca="false">IF(ISERROR(VLOOKUP($P479,Member_Tab,5,FALSE())),0,VLOOKUP($P479,Member_Tab,5,FALSE())*IF(AND(S$5 &gt; VLOOKUP($P479,Member_Tab,6,FALSE()),S$5 &lt; VLOOKUP($P479,Member_Tab,7,FALSE())),1,0))</f>
        <v>0</v>
      </c>
      <c r="T581" s="184" t="n">
        <f aca="false">IF(ISERROR(VLOOKUP($P479,Member_Tab,5,FALSE())),0,VLOOKUP($P479,Member_Tab,5,FALSE())*IF(AND(T$5 &gt; VLOOKUP($P479,Member_Tab,6,FALSE()),T$5 &lt; VLOOKUP($P479,Member_Tab,7,FALSE())),1,0))</f>
        <v>0</v>
      </c>
      <c r="U581" s="184" t="n">
        <f aca="false">IF(ISERROR(VLOOKUP($P479,Member_Tab,5,FALSE())),0,VLOOKUP($P479,Member_Tab,5,FALSE())*IF(AND(U$5 &gt; VLOOKUP($P479,Member_Tab,6,FALSE()),U$5 &lt; VLOOKUP($P479,Member_Tab,7,FALSE())),1,0))</f>
        <v>0</v>
      </c>
      <c r="V581" s="184" t="n">
        <f aca="false">IF(ISERROR(VLOOKUP($P479,Member_Tab,5,FALSE())),0,VLOOKUP($P479,Member_Tab,5,FALSE())*IF(AND(V$5 &gt; VLOOKUP($P479,Member_Tab,6,FALSE()),V$5 &lt; VLOOKUP($P479,Member_Tab,7,FALSE())),1,0))</f>
        <v>0</v>
      </c>
      <c r="W581" s="184" t="n">
        <f aca="false">IF(ISERROR(VLOOKUP($P479,Member_Tab,5,FALSE())),0,VLOOKUP($P479,Member_Tab,5,FALSE())*IF(AND(W$5 &gt; VLOOKUP($P479,Member_Tab,6,FALSE()),W$5 &lt; VLOOKUP($P479,Member_Tab,7,FALSE())),1,0))</f>
        <v>0</v>
      </c>
      <c r="X581" s="184" t="n">
        <f aca="false">IF(ISERROR(VLOOKUP($P479,Member_Tab,5,FALSE())),0,VLOOKUP($P479,Member_Tab,5,FALSE())*IF(AND(X$5 &gt; VLOOKUP($P479,Member_Tab,6,FALSE()),X$5 &lt; VLOOKUP($P479,Member_Tab,7,FALSE())),1,0))</f>
        <v>0</v>
      </c>
      <c r="Y581" s="184" t="n">
        <f aca="false">IF(ISERROR(VLOOKUP($P479,Member_Tab,5,FALSE())),0,VLOOKUP($P479,Member_Tab,5,FALSE())*IF(AND(Y$5 &gt; VLOOKUP($P479,Member_Tab,6,FALSE()),Y$5 &lt; VLOOKUP($P479,Member_Tab,7,FALSE())),1,0))</f>
        <v>0</v>
      </c>
      <c r="Z581" s="184" t="n">
        <f aca="false">IF(ISERROR(VLOOKUP($P479,Member_Tab,5,FALSE())),0,VLOOKUP($P479,Member_Tab,5,FALSE())*IF(AND(Z$5 &gt; VLOOKUP($P479,Member_Tab,6,FALSE()),Z$5 &lt; VLOOKUP($P479,Member_Tab,7,FALSE())),1,0))</f>
        <v>0</v>
      </c>
      <c r="AA581" s="184" t="n">
        <f aca="false">IF(ISERROR(VLOOKUP($P479,Member_Tab,5,FALSE())),0,VLOOKUP($P479,Member_Tab,5,FALSE())*IF(AND(AA$5 &gt; VLOOKUP($P479,Member_Tab,6,FALSE()),AA$5 &lt; VLOOKUP($P479,Member_Tab,7,FALSE())),1,0))</f>
        <v>0</v>
      </c>
      <c r="AB581" s="184" t="n">
        <f aca="false">IF(ISERROR(VLOOKUP($P479,Member_Tab,5,FALSE())),0,VLOOKUP($P479,Member_Tab,5,FALSE())*IF(AND(AB$5 &gt; VLOOKUP($P479,Member_Tab,6,FALSE()),AB$5 &lt; VLOOKUP($P479,Member_Tab,7,FALSE())),1,0))</f>
        <v>0</v>
      </c>
      <c r="AC581" s="184" t="n">
        <f aca="false">IF(ISERROR(VLOOKUP($P479,Member_Tab,5,FALSE())),0,VLOOKUP($P479,Member_Tab,5,FALSE())*IF(AND(AC$5 &gt; VLOOKUP($P479,Member_Tab,6,FALSE()),AC$5 &lt; VLOOKUP($P479,Member_Tab,7,FALSE())),1,0))</f>
        <v>0</v>
      </c>
      <c r="AD581" s="184" t="n">
        <f aca="false">IF(ISERROR(VLOOKUP($P479,Member_Tab,5,FALSE())),0,VLOOKUP($P479,Member_Tab,5,FALSE())*IF(AND(AD$5 &gt; VLOOKUP($P479,Member_Tab,6,FALSE()),AD$5 &lt; VLOOKUP($P479,Member_Tab,7,FALSE())),1,0))</f>
        <v>0</v>
      </c>
      <c r="AE581" s="184" t="n">
        <f aca="false">IF(ISERROR(VLOOKUP($P479,Member_Tab,5,FALSE())),0,VLOOKUP($P479,Member_Tab,5,FALSE())*IF(AND(AE$5 &gt; VLOOKUP($P479,Member_Tab,6,FALSE()),AE$5 &lt; VLOOKUP($P479,Member_Tab,7,FALSE())),1,0))</f>
        <v>0</v>
      </c>
      <c r="AF581" s="184" t="n">
        <f aca="false">IF(ISERROR(VLOOKUP($P479,Member_Tab,5,FALSE())),0,VLOOKUP($P479,Member_Tab,5,FALSE())*IF(AND(AF$5 &gt; VLOOKUP($P479,Member_Tab,6,FALSE()),AF$5 &lt; VLOOKUP($P479,Member_Tab,7,FALSE())),1,0))</f>
        <v>0</v>
      </c>
      <c r="AG581" s="184" t="n">
        <f aca="false">IF(ISERROR(VLOOKUP($P479,Member_Tab,5,FALSE())),0,VLOOKUP($P479,Member_Tab,5,FALSE())*IF(AND(AG$5 &gt; VLOOKUP($P479,Member_Tab,6,FALSE()),AG$5 &lt; VLOOKUP($P479,Member_Tab,7,FALSE())),1,0))</f>
        <v>0</v>
      </c>
      <c r="AH581" s="184" t="n">
        <f aca="false">IF(ISERROR(VLOOKUP($P479,Member_Tab,5,FALSE())),0,VLOOKUP($P479,Member_Tab,5,FALSE())*IF(AND(AH$5 &gt; VLOOKUP($P479,Member_Tab,6,FALSE()),AH$5 &lt; VLOOKUP($P479,Member_Tab,7,FALSE())),1,0))</f>
        <v>0</v>
      </c>
      <c r="AI581" s="184" t="n">
        <f aca="false">IF(ISERROR(VLOOKUP($P479,Member_Tab,5,FALSE())),0,VLOOKUP($P479,Member_Tab,5,FALSE())*IF(AND(AI$5 &gt; VLOOKUP($P479,Member_Tab,6,FALSE()),AI$5 &lt; VLOOKUP($P479,Member_Tab,7,FALSE())),1,0))</f>
        <v>0</v>
      </c>
      <c r="AJ581" s="184" t="n">
        <f aca="false">IF(ISERROR(VLOOKUP($P479,Member_Tab,5,FALSE())),0,VLOOKUP($P479,Member_Tab,5,FALSE())*IF(AND(AJ$5 &gt; VLOOKUP($P479,Member_Tab,6,FALSE()),AJ$5 &lt; VLOOKUP($P479,Member_Tab,7,FALSE())),1,0))</f>
        <v>0</v>
      </c>
      <c r="AK581" s="184" t="n">
        <f aca="false">IF(ISERROR(VLOOKUP($P479,Member_Tab,5,FALSE())),0,VLOOKUP($P479,Member_Tab,5,FALSE())*IF(AND(AK$5 &gt; VLOOKUP($P479,Member_Tab,6,FALSE()),AK$5 &lt; VLOOKUP($P479,Member_Tab,7,FALSE())),1,0))</f>
        <v>0</v>
      </c>
      <c r="AL581" s="184" t="n">
        <f aca="false">IF(ISERROR(VLOOKUP($P479,Member_Tab,5,FALSE())),0,VLOOKUP($P479,Member_Tab,5,FALSE())*IF(AND(AL$5 &gt; VLOOKUP($P479,Member_Tab,6,FALSE()),AL$5 &lt; VLOOKUP($P479,Member_Tab,7,FALSE())),1,0))</f>
        <v>0</v>
      </c>
      <c r="AM581" s="184" t="n">
        <f aca="false">IF(ISERROR(VLOOKUP($P479,Member_Tab,5,FALSE())),0,VLOOKUP($P479,Member_Tab,5,FALSE())*IF(AND(AM$5 &gt; VLOOKUP($P479,Member_Tab,6,FALSE()),AM$5 &lt; VLOOKUP($P479,Member_Tab,7,FALSE())),1,0))</f>
        <v>0</v>
      </c>
      <c r="AN581" s="184" t="n">
        <f aca="false">IF(ISERROR(VLOOKUP($P479,Member_Tab,5,FALSE())),0,VLOOKUP($P479,Member_Tab,5,FALSE())*IF(AND(AN$5 &gt; VLOOKUP($P479,Member_Tab,6,FALSE()),AN$5 &lt; VLOOKUP($P479,Member_Tab,7,FALSE())),1,0))</f>
        <v>0</v>
      </c>
      <c r="AO581" s="184" t="n">
        <f aca="false">IF(ISERROR(VLOOKUP($P479,Member_Tab,5,FALSE())),0,VLOOKUP($P479,Member_Tab,5,FALSE())*IF(AND(AO$5 &gt; VLOOKUP($P479,Member_Tab,6,FALSE()),AO$5 &lt; VLOOKUP($P479,Member_Tab,7,FALSE())),1,0))</f>
        <v>0</v>
      </c>
      <c r="AP581" s="184" t="n">
        <f aca="false">IF(ISERROR(VLOOKUP($P479,Member_Tab,5,FALSE())),0,VLOOKUP($P479,Member_Tab,5,FALSE())*IF(AND(AP$5 &gt; VLOOKUP($P479,Member_Tab,6,FALSE()),AP$5 &lt; VLOOKUP($P479,Member_Tab,7,FALSE())),1,0))</f>
        <v>0</v>
      </c>
      <c r="AQ581" s="184" t="n">
        <f aca="false">IF(ISERROR(VLOOKUP($P479,Member_Tab,5,FALSE())),0,VLOOKUP($P479,Member_Tab,5,FALSE())*IF(AND(AQ$5 &gt; VLOOKUP($P479,Member_Tab,6,FALSE()),AQ$5 &lt; VLOOKUP($P479,Member_Tab,7,FALSE())),1,0))</f>
        <v>0</v>
      </c>
      <c r="AR581" s="184" t="n">
        <f aca="false">IF(ISERROR(VLOOKUP($P479,Member_Tab,5,FALSE())),0,VLOOKUP($P479,Member_Tab,5,FALSE())*IF(AND(AR$5 &gt; VLOOKUP($P479,Member_Tab,6,FALSE()),AR$5 &lt; VLOOKUP($P479,Member_Tab,7,FALSE())),1,0))</f>
        <v>0</v>
      </c>
      <c r="AS581" s="184" t="n">
        <f aca="false">IF(ISERROR(VLOOKUP($P479,Member_Tab,5,FALSE())),0,VLOOKUP($P479,Member_Tab,5,FALSE())*IF(AND(AS$5 &gt; VLOOKUP($P479,Member_Tab,6,FALSE()),AS$5 &lt; VLOOKUP($P479,Member_Tab,7,FALSE())),1,0))</f>
        <v>0</v>
      </c>
      <c r="AT581" s="184" t="n">
        <f aca="false">IF(ISERROR(VLOOKUP($P479,Member_Tab,5,FALSE())),0,VLOOKUP($P479,Member_Tab,5,FALSE())*IF(AND(AT$5 &gt; VLOOKUP($P479,Member_Tab,6,FALSE()),AT$5 &lt; VLOOKUP($P479,Member_Tab,7,FALSE())),1,0))</f>
        <v>0</v>
      </c>
      <c r="AU581" s="184" t="n">
        <f aca="false">IF(ISERROR(VLOOKUP($P479,Member_Tab,5,FALSE())),0,VLOOKUP($P479,Member_Tab,5,FALSE())*IF(AND(AU$5 &gt; VLOOKUP($P479,Member_Tab,6,FALSE()),AU$5 &lt; VLOOKUP($P479,Member_Tab,7,FALSE())),1,0))</f>
        <v>0</v>
      </c>
      <c r="AV581" s="184" t="n">
        <f aca="false">IF(ISERROR(VLOOKUP($P479,Member_Tab,5,FALSE())),0,VLOOKUP($P479,Member_Tab,5,FALSE())*IF(AND(AV$5 &gt; VLOOKUP($P479,Member_Tab,6,FALSE()),AV$5 &lt; VLOOKUP($P479,Member_Tab,7,FALSE())),1,0))</f>
        <v>0</v>
      </c>
      <c r="AW581" s="184" t="n">
        <f aca="false">IF(ISERROR(VLOOKUP($P479,Member_Tab,5,FALSE())),0,VLOOKUP($P479,Member_Tab,5,FALSE())*IF(AND(AW$5 &gt; VLOOKUP($P479,Member_Tab,6,FALSE()),AW$5 &lt; VLOOKUP($P479,Member_Tab,7,FALSE())),1,0))</f>
        <v>0</v>
      </c>
      <c r="AX581" s="184" t="n">
        <f aca="false">IF(ISERROR(VLOOKUP($P479,Member_Tab,5,FALSE())),0,VLOOKUP($P479,Member_Tab,5,FALSE())*IF(AND(AX$5 &gt; VLOOKUP($P479,Member_Tab,6,FALSE()),AX$5 &lt; VLOOKUP($P479,Member_Tab,7,FALSE())),1,0))</f>
        <v>0</v>
      </c>
      <c r="AY581" s="184" t="n">
        <f aca="false">IF(ISERROR(VLOOKUP($P479,Member_Tab,5,FALSE())),0,VLOOKUP($P479,Member_Tab,5,FALSE())*IF(AND(AY$5 &gt; VLOOKUP($P479,Member_Tab,6,FALSE()),AY$5 &lt; VLOOKUP($P479,Member_Tab,7,FALSE())),1,0))</f>
        <v>0</v>
      </c>
      <c r="AZ581" s="184" t="n">
        <f aca="false">IF(ISERROR(VLOOKUP($P479,Member_Tab,5,FALSE())),0,VLOOKUP($P479,Member_Tab,5,FALSE())*IF(AND(AZ$5 &gt; VLOOKUP($P479,Member_Tab,6,FALSE()),AZ$5 &lt; VLOOKUP($P479,Member_Tab,7,FALSE())),1,0))</f>
        <v>0</v>
      </c>
      <c r="BA581" s="184" t="n">
        <f aca="false">IF(ISERROR(VLOOKUP($P479,Member_Tab,5,FALSE())),0,VLOOKUP($P479,Member_Tab,5,FALSE())*IF(AND(BA$5 &gt; VLOOKUP($P479,Member_Tab,6,FALSE()),BA$5 &lt; VLOOKUP($P479,Member_Tab,7,FALSE())),1,0))</f>
        <v>0</v>
      </c>
      <c r="BB581" s="184" t="n">
        <f aca="false">IF(ISERROR(VLOOKUP($P479,Member_Tab,5,FALSE())),0,VLOOKUP($P479,Member_Tab,5,FALSE())*IF(AND(BB$5 &gt; VLOOKUP($P479,Member_Tab,6,FALSE()),BB$5 &lt; VLOOKUP($P479,Member_Tab,7,FALSE())),1,0))</f>
        <v>0</v>
      </c>
    </row>
    <row r="582" s="173" customFormat="true" ht="15.75" hidden="true" customHeight="false" outlineLevel="1" collapsed="false">
      <c r="E582" s="40"/>
      <c r="K582" s="40"/>
      <c r="L582" s="40"/>
      <c r="M582" s="40"/>
      <c r="N582" s="40"/>
      <c r="P582" s="183" t="n">
        <f aca="false">P480</f>
        <v>0</v>
      </c>
      <c r="Q582" s="40"/>
      <c r="R582" s="182"/>
      <c r="S582" s="184" t="n">
        <f aca="false">IF(ISERROR(VLOOKUP($P480,Member_Tab,5,FALSE())),0,VLOOKUP($P480,Member_Tab,5,FALSE())*IF(AND(S$5 &gt; VLOOKUP($P480,Member_Tab,6,FALSE()),S$5 &lt; VLOOKUP($P480,Member_Tab,7,FALSE())),1,0))</f>
        <v>0</v>
      </c>
      <c r="T582" s="184" t="n">
        <f aca="false">IF(ISERROR(VLOOKUP($P480,Member_Tab,5,FALSE())),0,VLOOKUP($P480,Member_Tab,5,FALSE())*IF(AND(T$5 &gt; VLOOKUP($P480,Member_Tab,6,FALSE()),T$5 &lt; VLOOKUP($P480,Member_Tab,7,FALSE())),1,0))</f>
        <v>0</v>
      </c>
      <c r="U582" s="184" t="n">
        <f aca="false">IF(ISERROR(VLOOKUP($P480,Member_Tab,5,FALSE())),0,VLOOKUP($P480,Member_Tab,5,FALSE())*IF(AND(U$5 &gt; VLOOKUP($P480,Member_Tab,6,FALSE()),U$5 &lt; VLOOKUP($P480,Member_Tab,7,FALSE())),1,0))</f>
        <v>0</v>
      </c>
      <c r="V582" s="184" t="n">
        <f aca="false">IF(ISERROR(VLOOKUP($P480,Member_Tab,5,FALSE())),0,VLOOKUP($P480,Member_Tab,5,FALSE())*IF(AND(V$5 &gt; VLOOKUP($P480,Member_Tab,6,FALSE()),V$5 &lt; VLOOKUP($P480,Member_Tab,7,FALSE())),1,0))</f>
        <v>0</v>
      </c>
      <c r="W582" s="184" t="n">
        <f aca="false">IF(ISERROR(VLOOKUP($P480,Member_Tab,5,FALSE())),0,VLOOKUP($P480,Member_Tab,5,FALSE())*IF(AND(W$5 &gt; VLOOKUP($P480,Member_Tab,6,FALSE()),W$5 &lt; VLOOKUP($P480,Member_Tab,7,FALSE())),1,0))</f>
        <v>0</v>
      </c>
      <c r="X582" s="184" t="n">
        <f aca="false">IF(ISERROR(VLOOKUP($P480,Member_Tab,5,FALSE())),0,VLOOKUP($P480,Member_Tab,5,FALSE())*IF(AND(X$5 &gt; VLOOKUP($P480,Member_Tab,6,FALSE()),X$5 &lt; VLOOKUP($P480,Member_Tab,7,FALSE())),1,0))</f>
        <v>0</v>
      </c>
      <c r="Y582" s="184" t="n">
        <f aca="false">IF(ISERROR(VLOOKUP($P480,Member_Tab,5,FALSE())),0,VLOOKUP($P480,Member_Tab,5,FALSE())*IF(AND(Y$5 &gt; VLOOKUP($P480,Member_Tab,6,FALSE()),Y$5 &lt; VLOOKUP($P480,Member_Tab,7,FALSE())),1,0))</f>
        <v>0</v>
      </c>
      <c r="Z582" s="184" t="n">
        <f aca="false">IF(ISERROR(VLOOKUP($P480,Member_Tab,5,FALSE())),0,VLOOKUP($P480,Member_Tab,5,FALSE())*IF(AND(Z$5 &gt; VLOOKUP($P480,Member_Tab,6,FALSE()),Z$5 &lt; VLOOKUP($P480,Member_Tab,7,FALSE())),1,0))</f>
        <v>0</v>
      </c>
      <c r="AA582" s="184" t="n">
        <f aca="false">IF(ISERROR(VLOOKUP($P480,Member_Tab,5,FALSE())),0,VLOOKUP($P480,Member_Tab,5,FALSE())*IF(AND(AA$5 &gt; VLOOKUP($P480,Member_Tab,6,FALSE()),AA$5 &lt; VLOOKUP($P480,Member_Tab,7,FALSE())),1,0))</f>
        <v>0</v>
      </c>
      <c r="AB582" s="184" t="n">
        <f aca="false">IF(ISERROR(VLOOKUP($P480,Member_Tab,5,FALSE())),0,VLOOKUP($P480,Member_Tab,5,FALSE())*IF(AND(AB$5 &gt; VLOOKUP($P480,Member_Tab,6,FALSE()),AB$5 &lt; VLOOKUP($P480,Member_Tab,7,FALSE())),1,0))</f>
        <v>0</v>
      </c>
      <c r="AC582" s="184" t="n">
        <f aca="false">IF(ISERROR(VLOOKUP($P480,Member_Tab,5,FALSE())),0,VLOOKUP($P480,Member_Tab,5,FALSE())*IF(AND(AC$5 &gt; VLOOKUP($P480,Member_Tab,6,FALSE()),AC$5 &lt; VLOOKUP($P480,Member_Tab,7,FALSE())),1,0))</f>
        <v>0</v>
      </c>
      <c r="AD582" s="184" t="n">
        <f aca="false">IF(ISERROR(VLOOKUP($P480,Member_Tab,5,FALSE())),0,VLOOKUP($P480,Member_Tab,5,FALSE())*IF(AND(AD$5 &gt; VLOOKUP($P480,Member_Tab,6,FALSE()),AD$5 &lt; VLOOKUP($P480,Member_Tab,7,FALSE())),1,0))</f>
        <v>0</v>
      </c>
      <c r="AE582" s="184" t="n">
        <f aca="false">IF(ISERROR(VLOOKUP($P480,Member_Tab,5,FALSE())),0,VLOOKUP($P480,Member_Tab,5,FALSE())*IF(AND(AE$5 &gt; VLOOKUP($P480,Member_Tab,6,FALSE()),AE$5 &lt; VLOOKUP($P480,Member_Tab,7,FALSE())),1,0))</f>
        <v>0</v>
      </c>
      <c r="AF582" s="184" t="n">
        <f aca="false">IF(ISERROR(VLOOKUP($P480,Member_Tab,5,FALSE())),0,VLOOKUP($P480,Member_Tab,5,FALSE())*IF(AND(AF$5 &gt; VLOOKUP($P480,Member_Tab,6,FALSE()),AF$5 &lt; VLOOKUP($P480,Member_Tab,7,FALSE())),1,0))</f>
        <v>0</v>
      </c>
      <c r="AG582" s="184" t="n">
        <f aca="false">IF(ISERROR(VLOOKUP($P480,Member_Tab,5,FALSE())),0,VLOOKUP($P480,Member_Tab,5,FALSE())*IF(AND(AG$5 &gt; VLOOKUP($P480,Member_Tab,6,FALSE()),AG$5 &lt; VLOOKUP($P480,Member_Tab,7,FALSE())),1,0))</f>
        <v>0</v>
      </c>
      <c r="AH582" s="184" t="n">
        <f aca="false">IF(ISERROR(VLOOKUP($P480,Member_Tab,5,FALSE())),0,VLOOKUP($P480,Member_Tab,5,FALSE())*IF(AND(AH$5 &gt; VLOOKUP($P480,Member_Tab,6,FALSE()),AH$5 &lt; VLOOKUP($P480,Member_Tab,7,FALSE())),1,0))</f>
        <v>0</v>
      </c>
      <c r="AI582" s="184" t="n">
        <f aca="false">IF(ISERROR(VLOOKUP($P480,Member_Tab,5,FALSE())),0,VLOOKUP($P480,Member_Tab,5,FALSE())*IF(AND(AI$5 &gt; VLOOKUP($P480,Member_Tab,6,FALSE()),AI$5 &lt; VLOOKUP($P480,Member_Tab,7,FALSE())),1,0))</f>
        <v>0</v>
      </c>
      <c r="AJ582" s="184" t="n">
        <f aca="false">IF(ISERROR(VLOOKUP($P480,Member_Tab,5,FALSE())),0,VLOOKUP($P480,Member_Tab,5,FALSE())*IF(AND(AJ$5 &gt; VLOOKUP($P480,Member_Tab,6,FALSE()),AJ$5 &lt; VLOOKUP($P480,Member_Tab,7,FALSE())),1,0))</f>
        <v>0</v>
      </c>
      <c r="AK582" s="184" t="n">
        <f aca="false">IF(ISERROR(VLOOKUP($P480,Member_Tab,5,FALSE())),0,VLOOKUP($P480,Member_Tab,5,FALSE())*IF(AND(AK$5 &gt; VLOOKUP($P480,Member_Tab,6,FALSE()),AK$5 &lt; VLOOKUP($P480,Member_Tab,7,FALSE())),1,0))</f>
        <v>0</v>
      </c>
      <c r="AL582" s="184" t="n">
        <f aca="false">IF(ISERROR(VLOOKUP($P480,Member_Tab,5,FALSE())),0,VLOOKUP($P480,Member_Tab,5,FALSE())*IF(AND(AL$5 &gt; VLOOKUP($P480,Member_Tab,6,FALSE()),AL$5 &lt; VLOOKUP($P480,Member_Tab,7,FALSE())),1,0))</f>
        <v>0</v>
      </c>
      <c r="AM582" s="184" t="n">
        <f aca="false">IF(ISERROR(VLOOKUP($P480,Member_Tab,5,FALSE())),0,VLOOKUP($P480,Member_Tab,5,FALSE())*IF(AND(AM$5 &gt; VLOOKUP($P480,Member_Tab,6,FALSE()),AM$5 &lt; VLOOKUP($P480,Member_Tab,7,FALSE())),1,0))</f>
        <v>0</v>
      </c>
      <c r="AN582" s="184" t="n">
        <f aca="false">IF(ISERROR(VLOOKUP($P480,Member_Tab,5,FALSE())),0,VLOOKUP($P480,Member_Tab,5,FALSE())*IF(AND(AN$5 &gt; VLOOKUP($P480,Member_Tab,6,FALSE()),AN$5 &lt; VLOOKUP($P480,Member_Tab,7,FALSE())),1,0))</f>
        <v>0</v>
      </c>
      <c r="AO582" s="184" t="n">
        <f aca="false">IF(ISERROR(VLOOKUP($P480,Member_Tab,5,FALSE())),0,VLOOKUP($P480,Member_Tab,5,FALSE())*IF(AND(AO$5 &gt; VLOOKUP($P480,Member_Tab,6,FALSE()),AO$5 &lt; VLOOKUP($P480,Member_Tab,7,FALSE())),1,0))</f>
        <v>0</v>
      </c>
      <c r="AP582" s="184" t="n">
        <f aca="false">IF(ISERROR(VLOOKUP($P480,Member_Tab,5,FALSE())),0,VLOOKUP($P480,Member_Tab,5,FALSE())*IF(AND(AP$5 &gt; VLOOKUP($P480,Member_Tab,6,FALSE()),AP$5 &lt; VLOOKUP($P480,Member_Tab,7,FALSE())),1,0))</f>
        <v>0</v>
      </c>
      <c r="AQ582" s="184" t="n">
        <f aca="false">IF(ISERROR(VLOOKUP($P480,Member_Tab,5,FALSE())),0,VLOOKUP($P480,Member_Tab,5,FALSE())*IF(AND(AQ$5 &gt; VLOOKUP($P480,Member_Tab,6,FALSE()),AQ$5 &lt; VLOOKUP($P480,Member_Tab,7,FALSE())),1,0))</f>
        <v>0</v>
      </c>
      <c r="AR582" s="184" t="n">
        <f aca="false">IF(ISERROR(VLOOKUP($P480,Member_Tab,5,FALSE())),0,VLOOKUP($P480,Member_Tab,5,FALSE())*IF(AND(AR$5 &gt; VLOOKUP($P480,Member_Tab,6,FALSE()),AR$5 &lt; VLOOKUP($P480,Member_Tab,7,FALSE())),1,0))</f>
        <v>0</v>
      </c>
      <c r="AS582" s="184" t="n">
        <f aca="false">IF(ISERROR(VLOOKUP($P480,Member_Tab,5,FALSE())),0,VLOOKUP($P480,Member_Tab,5,FALSE())*IF(AND(AS$5 &gt; VLOOKUP($P480,Member_Tab,6,FALSE()),AS$5 &lt; VLOOKUP($P480,Member_Tab,7,FALSE())),1,0))</f>
        <v>0</v>
      </c>
      <c r="AT582" s="184" t="n">
        <f aca="false">IF(ISERROR(VLOOKUP($P480,Member_Tab,5,FALSE())),0,VLOOKUP($P480,Member_Tab,5,FALSE())*IF(AND(AT$5 &gt; VLOOKUP($P480,Member_Tab,6,FALSE()),AT$5 &lt; VLOOKUP($P480,Member_Tab,7,FALSE())),1,0))</f>
        <v>0</v>
      </c>
      <c r="AU582" s="184" t="n">
        <f aca="false">IF(ISERROR(VLOOKUP($P480,Member_Tab,5,FALSE())),0,VLOOKUP($P480,Member_Tab,5,FALSE())*IF(AND(AU$5 &gt; VLOOKUP($P480,Member_Tab,6,FALSE()),AU$5 &lt; VLOOKUP($P480,Member_Tab,7,FALSE())),1,0))</f>
        <v>0</v>
      </c>
      <c r="AV582" s="184" t="n">
        <f aca="false">IF(ISERROR(VLOOKUP($P480,Member_Tab,5,FALSE())),0,VLOOKUP($P480,Member_Tab,5,FALSE())*IF(AND(AV$5 &gt; VLOOKUP($P480,Member_Tab,6,FALSE()),AV$5 &lt; VLOOKUP($P480,Member_Tab,7,FALSE())),1,0))</f>
        <v>0</v>
      </c>
      <c r="AW582" s="184" t="n">
        <f aca="false">IF(ISERROR(VLOOKUP($P480,Member_Tab,5,FALSE())),0,VLOOKUP($P480,Member_Tab,5,FALSE())*IF(AND(AW$5 &gt; VLOOKUP($P480,Member_Tab,6,FALSE()),AW$5 &lt; VLOOKUP($P480,Member_Tab,7,FALSE())),1,0))</f>
        <v>0</v>
      </c>
      <c r="AX582" s="184" t="n">
        <f aca="false">IF(ISERROR(VLOOKUP($P480,Member_Tab,5,FALSE())),0,VLOOKUP($P480,Member_Tab,5,FALSE())*IF(AND(AX$5 &gt; VLOOKUP($P480,Member_Tab,6,FALSE()),AX$5 &lt; VLOOKUP($P480,Member_Tab,7,FALSE())),1,0))</f>
        <v>0</v>
      </c>
      <c r="AY582" s="184" t="n">
        <f aca="false">IF(ISERROR(VLOOKUP($P480,Member_Tab,5,FALSE())),0,VLOOKUP($P480,Member_Tab,5,FALSE())*IF(AND(AY$5 &gt; VLOOKUP($P480,Member_Tab,6,FALSE()),AY$5 &lt; VLOOKUP($P480,Member_Tab,7,FALSE())),1,0))</f>
        <v>0</v>
      </c>
      <c r="AZ582" s="184" t="n">
        <f aca="false">IF(ISERROR(VLOOKUP($P480,Member_Tab,5,FALSE())),0,VLOOKUP($P480,Member_Tab,5,FALSE())*IF(AND(AZ$5 &gt; VLOOKUP($P480,Member_Tab,6,FALSE()),AZ$5 &lt; VLOOKUP($P480,Member_Tab,7,FALSE())),1,0))</f>
        <v>0</v>
      </c>
      <c r="BA582" s="184" t="n">
        <f aca="false">IF(ISERROR(VLOOKUP($P480,Member_Tab,5,FALSE())),0,VLOOKUP($P480,Member_Tab,5,FALSE())*IF(AND(BA$5 &gt; VLOOKUP($P480,Member_Tab,6,FALSE()),BA$5 &lt; VLOOKUP($P480,Member_Tab,7,FALSE())),1,0))</f>
        <v>0</v>
      </c>
      <c r="BB582" s="184" t="n">
        <f aca="false">IF(ISERROR(VLOOKUP($P480,Member_Tab,5,FALSE())),0,VLOOKUP($P480,Member_Tab,5,FALSE())*IF(AND(BB$5 &gt; VLOOKUP($P480,Member_Tab,6,FALSE()),BB$5 &lt; VLOOKUP($P480,Member_Tab,7,FALSE())),1,0))</f>
        <v>0</v>
      </c>
    </row>
    <row r="583" s="173" customFormat="true" ht="15.75" hidden="true" customHeight="false" outlineLevel="1" collapsed="false">
      <c r="E583" s="40"/>
      <c r="K583" s="40"/>
      <c r="L583" s="40"/>
      <c r="M583" s="40"/>
      <c r="N583" s="40"/>
      <c r="P583" s="183" t="n">
        <f aca="false">P481</f>
        <v>0</v>
      </c>
      <c r="Q583" s="40"/>
      <c r="R583" s="182"/>
      <c r="S583" s="184" t="n">
        <f aca="false">IF(ISERROR(VLOOKUP($P481,Member_Tab,5,FALSE())),0,VLOOKUP($P481,Member_Tab,5,FALSE())*IF(AND(S$5 &gt; VLOOKUP($P481,Member_Tab,6,FALSE()),S$5 &lt; VLOOKUP($P481,Member_Tab,7,FALSE())),1,0))</f>
        <v>0</v>
      </c>
      <c r="T583" s="184" t="n">
        <f aca="false">IF(ISERROR(VLOOKUP($P481,Member_Tab,5,FALSE())),0,VLOOKUP($P481,Member_Tab,5,FALSE())*IF(AND(T$5 &gt; VLOOKUP($P481,Member_Tab,6,FALSE()),T$5 &lt; VLOOKUP($P481,Member_Tab,7,FALSE())),1,0))</f>
        <v>0</v>
      </c>
      <c r="U583" s="184" t="n">
        <f aca="false">IF(ISERROR(VLOOKUP($P481,Member_Tab,5,FALSE())),0,VLOOKUP($P481,Member_Tab,5,FALSE())*IF(AND(U$5 &gt; VLOOKUP($P481,Member_Tab,6,FALSE()),U$5 &lt; VLOOKUP($P481,Member_Tab,7,FALSE())),1,0))</f>
        <v>0</v>
      </c>
      <c r="V583" s="184" t="n">
        <f aca="false">IF(ISERROR(VLOOKUP($P481,Member_Tab,5,FALSE())),0,VLOOKUP($P481,Member_Tab,5,FALSE())*IF(AND(V$5 &gt; VLOOKUP($P481,Member_Tab,6,FALSE()),V$5 &lt; VLOOKUP($P481,Member_Tab,7,FALSE())),1,0))</f>
        <v>0</v>
      </c>
      <c r="W583" s="184" t="n">
        <f aca="false">IF(ISERROR(VLOOKUP($P481,Member_Tab,5,FALSE())),0,VLOOKUP($P481,Member_Tab,5,FALSE())*IF(AND(W$5 &gt; VLOOKUP($P481,Member_Tab,6,FALSE()),W$5 &lt; VLOOKUP($P481,Member_Tab,7,FALSE())),1,0))</f>
        <v>0</v>
      </c>
      <c r="X583" s="184" t="n">
        <f aca="false">IF(ISERROR(VLOOKUP($P481,Member_Tab,5,FALSE())),0,VLOOKUP($P481,Member_Tab,5,FALSE())*IF(AND(X$5 &gt; VLOOKUP($P481,Member_Tab,6,FALSE()),X$5 &lt; VLOOKUP($P481,Member_Tab,7,FALSE())),1,0))</f>
        <v>0</v>
      </c>
      <c r="Y583" s="184" t="n">
        <f aca="false">IF(ISERROR(VLOOKUP($P481,Member_Tab,5,FALSE())),0,VLOOKUP($P481,Member_Tab,5,FALSE())*IF(AND(Y$5 &gt; VLOOKUP($P481,Member_Tab,6,FALSE()),Y$5 &lt; VLOOKUP($P481,Member_Tab,7,FALSE())),1,0))</f>
        <v>0</v>
      </c>
      <c r="Z583" s="184" t="n">
        <f aca="false">IF(ISERROR(VLOOKUP($P481,Member_Tab,5,FALSE())),0,VLOOKUP($P481,Member_Tab,5,FALSE())*IF(AND(Z$5 &gt; VLOOKUP($P481,Member_Tab,6,FALSE()),Z$5 &lt; VLOOKUP($P481,Member_Tab,7,FALSE())),1,0))</f>
        <v>0</v>
      </c>
      <c r="AA583" s="184" t="n">
        <f aca="false">IF(ISERROR(VLOOKUP($P481,Member_Tab,5,FALSE())),0,VLOOKUP($P481,Member_Tab,5,FALSE())*IF(AND(AA$5 &gt; VLOOKUP($P481,Member_Tab,6,FALSE()),AA$5 &lt; VLOOKUP($P481,Member_Tab,7,FALSE())),1,0))</f>
        <v>0</v>
      </c>
      <c r="AB583" s="184" t="n">
        <f aca="false">IF(ISERROR(VLOOKUP($P481,Member_Tab,5,FALSE())),0,VLOOKUP($P481,Member_Tab,5,FALSE())*IF(AND(AB$5 &gt; VLOOKUP($P481,Member_Tab,6,FALSE()),AB$5 &lt; VLOOKUP($P481,Member_Tab,7,FALSE())),1,0))</f>
        <v>0</v>
      </c>
      <c r="AC583" s="184" t="n">
        <f aca="false">IF(ISERROR(VLOOKUP($P481,Member_Tab,5,FALSE())),0,VLOOKUP($P481,Member_Tab,5,FALSE())*IF(AND(AC$5 &gt; VLOOKUP($P481,Member_Tab,6,FALSE()),AC$5 &lt; VLOOKUP($P481,Member_Tab,7,FALSE())),1,0))</f>
        <v>0</v>
      </c>
      <c r="AD583" s="184" t="n">
        <f aca="false">IF(ISERROR(VLOOKUP($P481,Member_Tab,5,FALSE())),0,VLOOKUP($P481,Member_Tab,5,FALSE())*IF(AND(AD$5 &gt; VLOOKUP($P481,Member_Tab,6,FALSE()),AD$5 &lt; VLOOKUP($P481,Member_Tab,7,FALSE())),1,0))</f>
        <v>0</v>
      </c>
      <c r="AE583" s="184" t="n">
        <f aca="false">IF(ISERROR(VLOOKUP($P481,Member_Tab,5,FALSE())),0,VLOOKUP($P481,Member_Tab,5,FALSE())*IF(AND(AE$5 &gt; VLOOKUP($P481,Member_Tab,6,FALSE()),AE$5 &lt; VLOOKUP($P481,Member_Tab,7,FALSE())),1,0))</f>
        <v>0</v>
      </c>
      <c r="AF583" s="184" t="n">
        <f aca="false">IF(ISERROR(VLOOKUP($P481,Member_Tab,5,FALSE())),0,VLOOKUP($P481,Member_Tab,5,FALSE())*IF(AND(AF$5 &gt; VLOOKUP($P481,Member_Tab,6,FALSE()),AF$5 &lt; VLOOKUP($P481,Member_Tab,7,FALSE())),1,0))</f>
        <v>0</v>
      </c>
      <c r="AG583" s="184" t="n">
        <f aca="false">IF(ISERROR(VLOOKUP($P481,Member_Tab,5,FALSE())),0,VLOOKUP($P481,Member_Tab,5,FALSE())*IF(AND(AG$5 &gt; VLOOKUP($P481,Member_Tab,6,FALSE()),AG$5 &lt; VLOOKUP($P481,Member_Tab,7,FALSE())),1,0))</f>
        <v>0</v>
      </c>
      <c r="AH583" s="184" t="n">
        <f aca="false">IF(ISERROR(VLOOKUP($P481,Member_Tab,5,FALSE())),0,VLOOKUP($P481,Member_Tab,5,FALSE())*IF(AND(AH$5 &gt; VLOOKUP($P481,Member_Tab,6,FALSE()),AH$5 &lt; VLOOKUP($P481,Member_Tab,7,FALSE())),1,0))</f>
        <v>0</v>
      </c>
      <c r="AI583" s="184" t="n">
        <f aca="false">IF(ISERROR(VLOOKUP($P481,Member_Tab,5,FALSE())),0,VLOOKUP($P481,Member_Tab,5,FALSE())*IF(AND(AI$5 &gt; VLOOKUP($P481,Member_Tab,6,FALSE()),AI$5 &lt; VLOOKUP($P481,Member_Tab,7,FALSE())),1,0))</f>
        <v>0</v>
      </c>
      <c r="AJ583" s="184" t="n">
        <f aca="false">IF(ISERROR(VLOOKUP($P481,Member_Tab,5,FALSE())),0,VLOOKUP($P481,Member_Tab,5,FALSE())*IF(AND(AJ$5 &gt; VLOOKUP($P481,Member_Tab,6,FALSE()),AJ$5 &lt; VLOOKUP($P481,Member_Tab,7,FALSE())),1,0))</f>
        <v>0</v>
      </c>
      <c r="AK583" s="184" t="n">
        <f aca="false">IF(ISERROR(VLOOKUP($P481,Member_Tab,5,FALSE())),0,VLOOKUP($P481,Member_Tab,5,FALSE())*IF(AND(AK$5 &gt; VLOOKUP($P481,Member_Tab,6,FALSE()),AK$5 &lt; VLOOKUP($P481,Member_Tab,7,FALSE())),1,0))</f>
        <v>0</v>
      </c>
      <c r="AL583" s="184" t="n">
        <f aca="false">IF(ISERROR(VLOOKUP($P481,Member_Tab,5,FALSE())),0,VLOOKUP($P481,Member_Tab,5,FALSE())*IF(AND(AL$5 &gt; VLOOKUP($P481,Member_Tab,6,FALSE()),AL$5 &lt; VLOOKUP($P481,Member_Tab,7,FALSE())),1,0))</f>
        <v>0</v>
      </c>
      <c r="AM583" s="184" t="n">
        <f aca="false">IF(ISERROR(VLOOKUP($P481,Member_Tab,5,FALSE())),0,VLOOKUP($P481,Member_Tab,5,FALSE())*IF(AND(AM$5 &gt; VLOOKUP($P481,Member_Tab,6,FALSE()),AM$5 &lt; VLOOKUP($P481,Member_Tab,7,FALSE())),1,0))</f>
        <v>0</v>
      </c>
      <c r="AN583" s="184" t="n">
        <f aca="false">IF(ISERROR(VLOOKUP($P481,Member_Tab,5,FALSE())),0,VLOOKUP($P481,Member_Tab,5,FALSE())*IF(AND(AN$5 &gt; VLOOKUP($P481,Member_Tab,6,FALSE()),AN$5 &lt; VLOOKUP($P481,Member_Tab,7,FALSE())),1,0))</f>
        <v>0</v>
      </c>
      <c r="AO583" s="184" t="n">
        <f aca="false">IF(ISERROR(VLOOKUP($P481,Member_Tab,5,FALSE())),0,VLOOKUP($P481,Member_Tab,5,FALSE())*IF(AND(AO$5 &gt; VLOOKUP($P481,Member_Tab,6,FALSE()),AO$5 &lt; VLOOKUP($P481,Member_Tab,7,FALSE())),1,0))</f>
        <v>0</v>
      </c>
      <c r="AP583" s="184" t="n">
        <f aca="false">IF(ISERROR(VLOOKUP($P481,Member_Tab,5,FALSE())),0,VLOOKUP($P481,Member_Tab,5,FALSE())*IF(AND(AP$5 &gt; VLOOKUP($P481,Member_Tab,6,FALSE()),AP$5 &lt; VLOOKUP($P481,Member_Tab,7,FALSE())),1,0))</f>
        <v>0</v>
      </c>
      <c r="AQ583" s="184" t="n">
        <f aca="false">IF(ISERROR(VLOOKUP($P481,Member_Tab,5,FALSE())),0,VLOOKUP($P481,Member_Tab,5,FALSE())*IF(AND(AQ$5 &gt; VLOOKUP($P481,Member_Tab,6,FALSE()),AQ$5 &lt; VLOOKUP($P481,Member_Tab,7,FALSE())),1,0))</f>
        <v>0</v>
      </c>
      <c r="AR583" s="184" t="n">
        <f aca="false">IF(ISERROR(VLOOKUP($P481,Member_Tab,5,FALSE())),0,VLOOKUP($P481,Member_Tab,5,FALSE())*IF(AND(AR$5 &gt; VLOOKUP($P481,Member_Tab,6,FALSE()),AR$5 &lt; VLOOKUP($P481,Member_Tab,7,FALSE())),1,0))</f>
        <v>0</v>
      </c>
      <c r="AS583" s="184" t="n">
        <f aca="false">IF(ISERROR(VLOOKUP($P481,Member_Tab,5,FALSE())),0,VLOOKUP($P481,Member_Tab,5,FALSE())*IF(AND(AS$5 &gt; VLOOKUP($P481,Member_Tab,6,FALSE()),AS$5 &lt; VLOOKUP($P481,Member_Tab,7,FALSE())),1,0))</f>
        <v>0</v>
      </c>
      <c r="AT583" s="184" t="n">
        <f aca="false">IF(ISERROR(VLOOKUP($P481,Member_Tab,5,FALSE())),0,VLOOKUP($P481,Member_Tab,5,FALSE())*IF(AND(AT$5 &gt; VLOOKUP($P481,Member_Tab,6,FALSE()),AT$5 &lt; VLOOKUP($P481,Member_Tab,7,FALSE())),1,0))</f>
        <v>0</v>
      </c>
      <c r="AU583" s="184" t="n">
        <f aca="false">IF(ISERROR(VLOOKUP($P481,Member_Tab,5,FALSE())),0,VLOOKUP($P481,Member_Tab,5,FALSE())*IF(AND(AU$5 &gt; VLOOKUP($P481,Member_Tab,6,FALSE()),AU$5 &lt; VLOOKUP($P481,Member_Tab,7,FALSE())),1,0))</f>
        <v>0</v>
      </c>
      <c r="AV583" s="184" t="n">
        <f aca="false">IF(ISERROR(VLOOKUP($P481,Member_Tab,5,FALSE())),0,VLOOKUP($P481,Member_Tab,5,FALSE())*IF(AND(AV$5 &gt; VLOOKUP($P481,Member_Tab,6,FALSE()),AV$5 &lt; VLOOKUP($P481,Member_Tab,7,FALSE())),1,0))</f>
        <v>0</v>
      </c>
      <c r="AW583" s="184" t="n">
        <f aca="false">IF(ISERROR(VLOOKUP($P481,Member_Tab,5,FALSE())),0,VLOOKUP($P481,Member_Tab,5,FALSE())*IF(AND(AW$5 &gt; VLOOKUP($P481,Member_Tab,6,FALSE()),AW$5 &lt; VLOOKUP($P481,Member_Tab,7,FALSE())),1,0))</f>
        <v>0</v>
      </c>
      <c r="AX583" s="184" t="n">
        <f aca="false">IF(ISERROR(VLOOKUP($P481,Member_Tab,5,FALSE())),0,VLOOKUP($P481,Member_Tab,5,FALSE())*IF(AND(AX$5 &gt; VLOOKUP($P481,Member_Tab,6,FALSE()),AX$5 &lt; VLOOKUP($P481,Member_Tab,7,FALSE())),1,0))</f>
        <v>0</v>
      </c>
      <c r="AY583" s="184" t="n">
        <f aca="false">IF(ISERROR(VLOOKUP($P481,Member_Tab,5,FALSE())),0,VLOOKUP($P481,Member_Tab,5,FALSE())*IF(AND(AY$5 &gt; VLOOKUP($P481,Member_Tab,6,FALSE()),AY$5 &lt; VLOOKUP($P481,Member_Tab,7,FALSE())),1,0))</f>
        <v>0</v>
      </c>
      <c r="AZ583" s="184" t="n">
        <f aca="false">IF(ISERROR(VLOOKUP($P481,Member_Tab,5,FALSE())),0,VLOOKUP($P481,Member_Tab,5,FALSE())*IF(AND(AZ$5 &gt; VLOOKUP($P481,Member_Tab,6,FALSE()),AZ$5 &lt; VLOOKUP($P481,Member_Tab,7,FALSE())),1,0))</f>
        <v>0</v>
      </c>
      <c r="BA583" s="184" t="n">
        <f aca="false">IF(ISERROR(VLOOKUP($P481,Member_Tab,5,FALSE())),0,VLOOKUP($P481,Member_Tab,5,FALSE())*IF(AND(BA$5 &gt; VLOOKUP($P481,Member_Tab,6,FALSE()),BA$5 &lt; VLOOKUP($P481,Member_Tab,7,FALSE())),1,0))</f>
        <v>0</v>
      </c>
      <c r="BB583" s="184" t="n">
        <f aca="false">IF(ISERROR(VLOOKUP($P481,Member_Tab,5,FALSE())),0,VLOOKUP($P481,Member_Tab,5,FALSE())*IF(AND(BB$5 &gt; VLOOKUP($P481,Member_Tab,6,FALSE()),BB$5 &lt; VLOOKUP($P481,Member_Tab,7,FALSE())),1,0))</f>
        <v>0</v>
      </c>
    </row>
    <row r="584" s="173" customFormat="true" ht="15.75" hidden="true" customHeight="false" outlineLevel="1" collapsed="false">
      <c r="E584" s="40"/>
      <c r="K584" s="40"/>
      <c r="L584" s="40"/>
      <c r="M584" s="40"/>
      <c r="N584" s="40"/>
      <c r="P584" s="183" t="n">
        <f aca="false">P482</f>
        <v>0</v>
      </c>
      <c r="Q584" s="40"/>
      <c r="R584" s="182"/>
      <c r="S584" s="184" t="n">
        <f aca="false">IF(ISERROR(VLOOKUP($P482,Member_Tab,5,FALSE())),0,VLOOKUP($P482,Member_Tab,5,FALSE())*IF(AND(S$5 &gt; VLOOKUP($P482,Member_Tab,6,FALSE()),S$5 &lt; VLOOKUP($P482,Member_Tab,7,FALSE())),1,0))</f>
        <v>0</v>
      </c>
      <c r="T584" s="184" t="n">
        <f aca="false">IF(ISERROR(VLOOKUP($P482,Member_Tab,5,FALSE())),0,VLOOKUP($P482,Member_Tab,5,FALSE())*IF(AND(T$5 &gt; VLOOKUP($P482,Member_Tab,6,FALSE()),T$5 &lt; VLOOKUP($P482,Member_Tab,7,FALSE())),1,0))</f>
        <v>0</v>
      </c>
      <c r="U584" s="184" t="n">
        <f aca="false">IF(ISERROR(VLOOKUP($P482,Member_Tab,5,FALSE())),0,VLOOKUP($P482,Member_Tab,5,FALSE())*IF(AND(U$5 &gt; VLOOKUP($P482,Member_Tab,6,FALSE()),U$5 &lt; VLOOKUP($P482,Member_Tab,7,FALSE())),1,0))</f>
        <v>0</v>
      </c>
      <c r="V584" s="184" t="n">
        <f aca="false">IF(ISERROR(VLOOKUP($P482,Member_Tab,5,FALSE())),0,VLOOKUP($P482,Member_Tab,5,FALSE())*IF(AND(V$5 &gt; VLOOKUP($P482,Member_Tab,6,FALSE()),V$5 &lt; VLOOKUP($P482,Member_Tab,7,FALSE())),1,0))</f>
        <v>0</v>
      </c>
      <c r="W584" s="184" t="n">
        <f aca="false">IF(ISERROR(VLOOKUP($P482,Member_Tab,5,FALSE())),0,VLOOKUP($P482,Member_Tab,5,FALSE())*IF(AND(W$5 &gt; VLOOKUP($P482,Member_Tab,6,FALSE()),W$5 &lt; VLOOKUP($P482,Member_Tab,7,FALSE())),1,0))</f>
        <v>0</v>
      </c>
      <c r="X584" s="184" t="n">
        <f aca="false">IF(ISERROR(VLOOKUP($P482,Member_Tab,5,FALSE())),0,VLOOKUP($P482,Member_Tab,5,FALSE())*IF(AND(X$5 &gt; VLOOKUP($P482,Member_Tab,6,FALSE()),X$5 &lt; VLOOKUP($P482,Member_Tab,7,FALSE())),1,0))</f>
        <v>0</v>
      </c>
      <c r="Y584" s="184" t="n">
        <f aca="false">IF(ISERROR(VLOOKUP($P482,Member_Tab,5,FALSE())),0,VLOOKUP($P482,Member_Tab,5,FALSE())*IF(AND(Y$5 &gt; VLOOKUP($P482,Member_Tab,6,FALSE()),Y$5 &lt; VLOOKUP($P482,Member_Tab,7,FALSE())),1,0))</f>
        <v>0</v>
      </c>
      <c r="Z584" s="184" t="n">
        <f aca="false">IF(ISERROR(VLOOKUP($P482,Member_Tab,5,FALSE())),0,VLOOKUP($P482,Member_Tab,5,FALSE())*IF(AND(Z$5 &gt; VLOOKUP($P482,Member_Tab,6,FALSE()),Z$5 &lt; VLOOKUP($P482,Member_Tab,7,FALSE())),1,0))</f>
        <v>0</v>
      </c>
      <c r="AA584" s="184" t="n">
        <f aca="false">IF(ISERROR(VLOOKUP($P482,Member_Tab,5,FALSE())),0,VLOOKUP($P482,Member_Tab,5,FALSE())*IF(AND(AA$5 &gt; VLOOKUP($P482,Member_Tab,6,FALSE()),AA$5 &lt; VLOOKUP($P482,Member_Tab,7,FALSE())),1,0))</f>
        <v>0</v>
      </c>
      <c r="AB584" s="184" t="n">
        <f aca="false">IF(ISERROR(VLOOKUP($P482,Member_Tab,5,FALSE())),0,VLOOKUP($P482,Member_Tab,5,FALSE())*IF(AND(AB$5 &gt; VLOOKUP($P482,Member_Tab,6,FALSE()),AB$5 &lt; VLOOKUP($P482,Member_Tab,7,FALSE())),1,0))</f>
        <v>0</v>
      </c>
      <c r="AC584" s="184" t="n">
        <f aca="false">IF(ISERROR(VLOOKUP($P482,Member_Tab,5,FALSE())),0,VLOOKUP($P482,Member_Tab,5,FALSE())*IF(AND(AC$5 &gt; VLOOKUP($P482,Member_Tab,6,FALSE()),AC$5 &lt; VLOOKUP($P482,Member_Tab,7,FALSE())),1,0))</f>
        <v>0</v>
      </c>
      <c r="AD584" s="184" t="n">
        <f aca="false">IF(ISERROR(VLOOKUP($P482,Member_Tab,5,FALSE())),0,VLOOKUP($P482,Member_Tab,5,FALSE())*IF(AND(AD$5 &gt; VLOOKUP($P482,Member_Tab,6,FALSE()),AD$5 &lt; VLOOKUP($P482,Member_Tab,7,FALSE())),1,0))</f>
        <v>0</v>
      </c>
      <c r="AE584" s="184" t="n">
        <f aca="false">IF(ISERROR(VLOOKUP($P482,Member_Tab,5,FALSE())),0,VLOOKUP($P482,Member_Tab,5,FALSE())*IF(AND(AE$5 &gt; VLOOKUP($P482,Member_Tab,6,FALSE()),AE$5 &lt; VLOOKUP($P482,Member_Tab,7,FALSE())),1,0))</f>
        <v>0</v>
      </c>
      <c r="AF584" s="184" t="n">
        <f aca="false">IF(ISERROR(VLOOKUP($P482,Member_Tab,5,FALSE())),0,VLOOKUP($P482,Member_Tab,5,FALSE())*IF(AND(AF$5 &gt; VLOOKUP($P482,Member_Tab,6,FALSE()),AF$5 &lt; VLOOKUP($P482,Member_Tab,7,FALSE())),1,0))</f>
        <v>0</v>
      </c>
      <c r="AG584" s="184" t="n">
        <f aca="false">IF(ISERROR(VLOOKUP($P482,Member_Tab,5,FALSE())),0,VLOOKUP($P482,Member_Tab,5,FALSE())*IF(AND(AG$5 &gt; VLOOKUP($P482,Member_Tab,6,FALSE()),AG$5 &lt; VLOOKUP($P482,Member_Tab,7,FALSE())),1,0))</f>
        <v>0</v>
      </c>
      <c r="AH584" s="184" t="n">
        <f aca="false">IF(ISERROR(VLOOKUP($P482,Member_Tab,5,FALSE())),0,VLOOKUP($P482,Member_Tab,5,FALSE())*IF(AND(AH$5 &gt; VLOOKUP($P482,Member_Tab,6,FALSE()),AH$5 &lt; VLOOKUP($P482,Member_Tab,7,FALSE())),1,0))</f>
        <v>0</v>
      </c>
      <c r="AI584" s="184" t="n">
        <f aca="false">IF(ISERROR(VLOOKUP($P482,Member_Tab,5,FALSE())),0,VLOOKUP($P482,Member_Tab,5,FALSE())*IF(AND(AI$5 &gt; VLOOKUP($P482,Member_Tab,6,FALSE()),AI$5 &lt; VLOOKUP($P482,Member_Tab,7,FALSE())),1,0))</f>
        <v>0</v>
      </c>
      <c r="AJ584" s="184" t="n">
        <f aca="false">IF(ISERROR(VLOOKUP($P482,Member_Tab,5,FALSE())),0,VLOOKUP($P482,Member_Tab,5,FALSE())*IF(AND(AJ$5 &gt; VLOOKUP($P482,Member_Tab,6,FALSE()),AJ$5 &lt; VLOOKUP($P482,Member_Tab,7,FALSE())),1,0))</f>
        <v>0</v>
      </c>
      <c r="AK584" s="184" t="n">
        <f aca="false">IF(ISERROR(VLOOKUP($P482,Member_Tab,5,FALSE())),0,VLOOKUP($P482,Member_Tab,5,FALSE())*IF(AND(AK$5 &gt; VLOOKUP($P482,Member_Tab,6,FALSE()),AK$5 &lt; VLOOKUP($P482,Member_Tab,7,FALSE())),1,0))</f>
        <v>0</v>
      </c>
      <c r="AL584" s="184" t="n">
        <f aca="false">IF(ISERROR(VLOOKUP($P482,Member_Tab,5,FALSE())),0,VLOOKUP($P482,Member_Tab,5,FALSE())*IF(AND(AL$5 &gt; VLOOKUP($P482,Member_Tab,6,FALSE()),AL$5 &lt; VLOOKUP($P482,Member_Tab,7,FALSE())),1,0))</f>
        <v>0</v>
      </c>
      <c r="AM584" s="184" t="n">
        <f aca="false">IF(ISERROR(VLOOKUP($P482,Member_Tab,5,FALSE())),0,VLOOKUP($P482,Member_Tab,5,FALSE())*IF(AND(AM$5 &gt; VLOOKUP($P482,Member_Tab,6,FALSE()),AM$5 &lt; VLOOKUP($P482,Member_Tab,7,FALSE())),1,0))</f>
        <v>0</v>
      </c>
      <c r="AN584" s="184" t="n">
        <f aca="false">IF(ISERROR(VLOOKUP($P482,Member_Tab,5,FALSE())),0,VLOOKUP($P482,Member_Tab,5,FALSE())*IF(AND(AN$5 &gt; VLOOKUP($P482,Member_Tab,6,FALSE()),AN$5 &lt; VLOOKUP($P482,Member_Tab,7,FALSE())),1,0))</f>
        <v>0</v>
      </c>
      <c r="AO584" s="184" t="n">
        <f aca="false">IF(ISERROR(VLOOKUP($P482,Member_Tab,5,FALSE())),0,VLOOKUP($P482,Member_Tab,5,FALSE())*IF(AND(AO$5 &gt; VLOOKUP($P482,Member_Tab,6,FALSE()),AO$5 &lt; VLOOKUP($P482,Member_Tab,7,FALSE())),1,0))</f>
        <v>0</v>
      </c>
      <c r="AP584" s="184" t="n">
        <f aca="false">IF(ISERROR(VLOOKUP($P482,Member_Tab,5,FALSE())),0,VLOOKUP($P482,Member_Tab,5,FALSE())*IF(AND(AP$5 &gt; VLOOKUP($P482,Member_Tab,6,FALSE()),AP$5 &lt; VLOOKUP($P482,Member_Tab,7,FALSE())),1,0))</f>
        <v>0</v>
      </c>
      <c r="AQ584" s="184" t="n">
        <f aca="false">IF(ISERROR(VLOOKUP($P482,Member_Tab,5,FALSE())),0,VLOOKUP($P482,Member_Tab,5,FALSE())*IF(AND(AQ$5 &gt; VLOOKUP($P482,Member_Tab,6,FALSE()),AQ$5 &lt; VLOOKUP($P482,Member_Tab,7,FALSE())),1,0))</f>
        <v>0</v>
      </c>
      <c r="AR584" s="184" t="n">
        <f aca="false">IF(ISERROR(VLOOKUP($P482,Member_Tab,5,FALSE())),0,VLOOKUP($P482,Member_Tab,5,FALSE())*IF(AND(AR$5 &gt; VLOOKUP($P482,Member_Tab,6,FALSE()),AR$5 &lt; VLOOKUP($P482,Member_Tab,7,FALSE())),1,0))</f>
        <v>0</v>
      </c>
      <c r="AS584" s="184" t="n">
        <f aca="false">IF(ISERROR(VLOOKUP($P482,Member_Tab,5,FALSE())),0,VLOOKUP($P482,Member_Tab,5,FALSE())*IF(AND(AS$5 &gt; VLOOKUP($P482,Member_Tab,6,FALSE()),AS$5 &lt; VLOOKUP($P482,Member_Tab,7,FALSE())),1,0))</f>
        <v>0</v>
      </c>
      <c r="AT584" s="184" t="n">
        <f aca="false">IF(ISERROR(VLOOKUP($P482,Member_Tab,5,FALSE())),0,VLOOKUP($P482,Member_Tab,5,FALSE())*IF(AND(AT$5 &gt; VLOOKUP($P482,Member_Tab,6,FALSE()),AT$5 &lt; VLOOKUP($P482,Member_Tab,7,FALSE())),1,0))</f>
        <v>0</v>
      </c>
      <c r="AU584" s="184" t="n">
        <f aca="false">IF(ISERROR(VLOOKUP($P482,Member_Tab,5,FALSE())),0,VLOOKUP($P482,Member_Tab,5,FALSE())*IF(AND(AU$5 &gt; VLOOKUP($P482,Member_Tab,6,FALSE()),AU$5 &lt; VLOOKUP($P482,Member_Tab,7,FALSE())),1,0))</f>
        <v>0</v>
      </c>
      <c r="AV584" s="184" t="n">
        <f aca="false">IF(ISERROR(VLOOKUP($P482,Member_Tab,5,FALSE())),0,VLOOKUP($P482,Member_Tab,5,FALSE())*IF(AND(AV$5 &gt; VLOOKUP($P482,Member_Tab,6,FALSE()),AV$5 &lt; VLOOKUP($P482,Member_Tab,7,FALSE())),1,0))</f>
        <v>0</v>
      </c>
      <c r="AW584" s="184" t="n">
        <f aca="false">IF(ISERROR(VLOOKUP($P482,Member_Tab,5,FALSE())),0,VLOOKUP($P482,Member_Tab,5,FALSE())*IF(AND(AW$5 &gt; VLOOKUP($P482,Member_Tab,6,FALSE()),AW$5 &lt; VLOOKUP($P482,Member_Tab,7,FALSE())),1,0))</f>
        <v>0</v>
      </c>
      <c r="AX584" s="184" t="n">
        <f aca="false">IF(ISERROR(VLOOKUP($P482,Member_Tab,5,FALSE())),0,VLOOKUP($P482,Member_Tab,5,FALSE())*IF(AND(AX$5 &gt; VLOOKUP($P482,Member_Tab,6,FALSE()),AX$5 &lt; VLOOKUP($P482,Member_Tab,7,FALSE())),1,0))</f>
        <v>0</v>
      </c>
      <c r="AY584" s="184" t="n">
        <f aca="false">IF(ISERROR(VLOOKUP($P482,Member_Tab,5,FALSE())),0,VLOOKUP($P482,Member_Tab,5,FALSE())*IF(AND(AY$5 &gt; VLOOKUP($P482,Member_Tab,6,FALSE()),AY$5 &lt; VLOOKUP($P482,Member_Tab,7,FALSE())),1,0))</f>
        <v>0</v>
      </c>
      <c r="AZ584" s="184" t="n">
        <f aca="false">IF(ISERROR(VLOOKUP($P482,Member_Tab,5,FALSE())),0,VLOOKUP($P482,Member_Tab,5,FALSE())*IF(AND(AZ$5 &gt; VLOOKUP($P482,Member_Tab,6,FALSE()),AZ$5 &lt; VLOOKUP($P482,Member_Tab,7,FALSE())),1,0))</f>
        <v>0</v>
      </c>
      <c r="BA584" s="184" t="n">
        <f aca="false">IF(ISERROR(VLOOKUP($P482,Member_Tab,5,FALSE())),0,VLOOKUP($P482,Member_Tab,5,FALSE())*IF(AND(BA$5 &gt; VLOOKUP($P482,Member_Tab,6,FALSE()),BA$5 &lt; VLOOKUP($P482,Member_Tab,7,FALSE())),1,0))</f>
        <v>0</v>
      </c>
      <c r="BB584" s="184" t="n">
        <f aca="false">IF(ISERROR(VLOOKUP($P482,Member_Tab,5,FALSE())),0,VLOOKUP($P482,Member_Tab,5,FALSE())*IF(AND(BB$5 &gt; VLOOKUP($P482,Member_Tab,6,FALSE()),BB$5 &lt; VLOOKUP($P482,Member_Tab,7,FALSE())),1,0))</f>
        <v>0</v>
      </c>
    </row>
    <row r="585" s="173" customFormat="true" ht="15.75" hidden="true" customHeight="false" outlineLevel="1" collapsed="false">
      <c r="E585" s="40"/>
      <c r="K585" s="40"/>
      <c r="L585" s="40"/>
      <c r="M585" s="40"/>
      <c r="N585" s="40"/>
      <c r="P585" s="183" t="n">
        <f aca="false">P483</f>
        <v>0</v>
      </c>
      <c r="Q585" s="40"/>
      <c r="R585" s="182"/>
      <c r="S585" s="184" t="n">
        <f aca="false">IF(ISERROR(VLOOKUP($P483,Member_Tab,5,FALSE())),0,VLOOKUP($P483,Member_Tab,5,FALSE())*IF(AND(S$5 &gt; VLOOKUP($P483,Member_Tab,6,FALSE()),S$5 &lt; VLOOKUP($P483,Member_Tab,7,FALSE())),1,0))</f>
        <v>0</v>
      </c>
      <c r="T585" s="184" t="n">
        <f aca="false">IF(ISERROR(VLOOKUP($P483,Member_Tab,5,FALSE())),0,VLOOKUP($P483,Member_Tab,5,FALSE())*IF(AND(T$5 &gt; VLOOKUP($P483,Member_Tab,6,FALSE()),T$5 &lt; VLOOKUP($P483,Member_Tab,7,FALSE())),1,0))</f>
        <v>0</v>
      </c>
      <c r="U585" s="184" t="n">
        <f aca="false">IF(ISERROR(VLOOKUP($P483,Member_Tab,5,FALSE())),0,VLOOKUP($P483,Member_Tab,5,FALSE())*IF(AND(U$5 &gt; VLOOKUP($P483,Member_Tab,6,FALSE()),U$5 &lt; VLOOKUP($P483,Member_Tab,7,FALSE())),1,0))</f>
        <v>0</v>
      </c>
      <c r="V585" s="184" t="n">
        <f aca="false">IF(ISERROR(VLOOKUP($P483,Member_Tab,5,FALSE())),0,VLOOKUP($P483,Member_Tab,5,FALSE())*IF(AND(V$5 &gt; VLOOKUP($P483,Member_Tab,6,FALSE()),V$5 &lt; VLOOKUP($P483,Member_Tab,7,FALSE())),1,0))</f>
        <v>0</v>
      </c>
      <c r="W585" s="184" t="n">
        <f aca="false">IF(ISERROR(VLOOKUP($P483,Member_Tab,5,FALSE())),0,VLOOKUP($P483,Member_Tab,5,FALSE())*IF(AND(W$5 &gt; VLOOKUP($P483,Member_Tab,6,FALSE()),W$5 &lt; VLOOKUP($P483,Member_Tab,7,FALSE())),1,0))</f>
        <v>0</v>
      </c>
      <c r="X585" s="184" t="n">
        <f aca="false">IF(ISERROR(VLOOKUP($P483,Member_Tab,5,FALSE())),0,VLOOKUP($P483,Member_Tab,5,FALSE())*IF(AND(X$5 &gt; VLOOKUP($P483,Member_Tab,6,FALSE()),X$5 &lt; VLOOKUP($P483,Member_Tab,7,FALSE())),1,0))</f>
        <v>0</v>
      </c>
      <c r="Y585" s="184" t="n">
        <f aca="false">IF(ISERROR(VLOOKUP($P483,Member_Tab,5,FALSE())),0,VLOOKUP($P483,Member_Tab,5,FALSE())*IF(AND(Y$5 &gt; VLOOKUP($P483,Member_Tab,6,FALSE()),Y$5 &lt; VLOOKUP($P483,Member_Tab,7,FALSE())),1,0))</f>
        <v>0</v>
      </c>
      <c r="Z585" s="184" t="n">
        <f aca="false">IF(ISERROR(VLOOKUP($P483,Member_Tab,5,FALSE())),0,VLOOKUP($P483,Member_Tab,5,FALSE())*IF(AND(Z$5 &gt; VLOOKUP($P483,Member_Tab,6,FALSE()),Z$5 &lt; VLOOKUP($P483,Member_Tab,7,FALSE())),1,0))</f>
        <v>0</v>
      </c>
      <c r="AA585" s="184" t="n">
        <f aca="false">IF(ISERROR(VLOOKUP($P483,Member_Tab,5,FALSE())),0,VLOOKUP($P483,Member_Tab,5,FALSE())*IF(AND(AA$5 &gt; VLOOKUP($P483,Member_Tab,6,FALSE()),AA$5 &lt; VLOOKUP($P483,Member_Tab,7,FALSE())),1,0))</f>
        <v>0</v>
      </c>
      <c r="AB585" s="184" t="n">
        <f aca="false">IF(ISERROR(VLOOKUP($P483,Member_Tab,5,FALSE())),0,VLOOKUP($P483,Member_Tab,5,FALSE())*IF(AND(AB$5 &gt; VLOOKUP($P483,Member_Tab,6,FALSE()),AB$5 &lt; VLOOKUP($P483,Member_Tab,7,FALSE())),1,0))</f>
        <v>0</v>
      </c>
      <c r="AC585" s="184" t="n">
        <f aca="false">IF(ISERROR(VLOOKUP($P483,Member_Tab,5,FALSE())),0,VLOOKUP($P483,Member_Tab,5,FALSE())*IF(AND(AC$5 &gt; VLOOKUP($P483,Member_Tab,6,FALSE()),AC$5 &lt; VLOOKUP($P483,Member_Tab,7,FALSE())),1,0))</f>
        <v>0</v>
      </c>
      <c r="AD585" s="184" t="n">
        <f aca="false">IF(ISERROR(VLOOKUP($P483,Member_Tab,5,FALSE())),0,VLOOKUP($P483,Member_Tab,5,FALSE())*IF(AND(AD$5 &gt; VLOOKUP($P483,Member_Tab,6,FALSE()),AD$5 &lt; VLOOKUP($P483,Member_Tab,7,FALSE())),1,0))</f>
        <v>0</v>
      </c>
      <c r="AE585" s="184" t="n">
        <f aca="false">IF(ISERROR(VLOOKUP($P483,Member_Tab,5,FALSE())),0,VLOOKUP($P483,Member_Tab,5,FALSE())*IF(AND(AE$5 &gt; VLOOKUP($P483,Member_Tab,6,FALSE()),AE$5 &lt; VLOOKUP($P483,Member_Tab,7,FALSE())),1,0))</f>
        <v>0</v>
      </c>
      <c r="AF585" s="184" t="n">
        <f aca="false">IF(ISERROR(VLOOKUP($P483,Member_Tab,5,FALSE())),0,VLOOKUP($P483,Member_Tab,5,FALSE())*IF(AND(AF$5 &gt; VLOOKUP($P483,Member_Tab,6,FALSE()),AF$5 &lt; VLOOKUP($P483,Member_Tab,7,FALSE())),1,0))</f>
        <v>0</v>
      </c>
      <c r="AG585" s="184" t="n">
        <f aca="false">IF(ISERROR(VLOOKUP($P483,Member_Tab,5,FALSE())),0,VLOOKUP($P483,Member_Tab,5,FALSE())*IF(AND(AG$5 &gt; VLOOKUP($P483,Member_Tab,6,FALSE()),AG$5 &lt; VLOOKUP($P483,Member_Tab,7,FALSE())),1,0))</f>
        <v>0</v>
      </c>
      <c r="AH585" s="184" t="n">
        <f aca="false">IF(ISERROR(VLOOKUP($P483,Member_Tab,5,FALSE())),0,VLOOKUP($P483,Member_Tab,5,FALSE())*IF(AND(AH$5 &gt; VLOOKUP($P483,Member_Tab,6,FALSE()),AH$5 &lt; VLOOKUP($P483,Member_Tab,7,FALSE())),1,0))</f>
        <v>0</v>
      </c>
      <c r="AI585" s="184" t="n">
        <f aca="false">IF(ISERROR(VLOOKUP($P483,Member_Tab,5,FALSE())),0,VLOOKUP($P483,Member_Tab,5,FALSE())*IF(AND(AI$5 &gt; VLOOKUP($P483,Member_Tab,6,FALSE()),AI$5 &lt; VLOOKUP($P483,Member_Tab,7,FALSE())),1,0))</f>
        <v>0</v>
      </c>
      <c r="AJ585" s="184" t="n">
        <f aca="false">IF(ISERROR(VLOOKUP($P483,Member_Tab,5,FALSE())),0,VLOOKUP($P483,Member_Tab,5,FALSE())*IF(AND(AJ$5 &gt; VLOOKUP($P483,Member_Tab,6,FALSE()),AJ$5 &lt; VLOOKUP($P483,Member_Tab,7,FALSE())),1,0))</f>
        <v>0</v>
      </c>
      <c r="AK585" s="184" t="n">
        <f aca="false">IF(ISERROR(VLOOKUP($P483,Member_Tab,5,FALSE())),0,VLOOKUP($P483,Member_Tab,5,FALSE())*IF(AND(AK$5 &gt; VLOOKUP($P483,Member_Tab,6,FALSE()),AK$5 &lt; VLOOKUP($P483,Member_Tab,7,FALSE())),1,0))</f>
        <v>0</v>
      </c>
      <c r="AL585" s="184" t="n">
        <f aca="false">IF(ISERROR(VLOOKUP($P483,Member_Tab,5,FALSE())),0,VLOOKUP($P483,Member_Tab,5,FALSE())*IF(AND(AL$5 &gt; VLOOKUP($P483,Member_Tab,6,FALSE()),AL$5 &lt; VLOOKUP($P483,Member_Tab,7,FALSE())),1,0))</f>
        <v>0</v>
      </c>
      <c r="AM585" s="184" t="n">
        <f aca="false">IF(ISERROR(VLOOKUP($P483,Member_Tab,5,FALSE())),0,VLOOKUP($P483,Member_Tab,5,FALSE())*IF(AND(AM$5 &gt; VLOOKUP($P483,Member_Tab,6,FALSE()),AM$5 &lt; VLOOKUP($P483,Member_Tab,7,FALSE())),1,0))</f>
        <v>0</v>
      </c>
      <c r="AN585" s="184" t="n">
        <f aca="false">IF(ISERROR(VLOOKUP($P483,Member_Tab,5,FALSE())),0,VLOOKUP($P483,Member_Tab,5,FALSE())*IF(AND(AN$5 &gt; VLOOKUP($P483,Member_Tab,6,FALSE()),AN$5 &lt; VLOOKUP($P483,Member_Tab,7,FALSE())),1,0))</f>
        <v>0</v>
      </c>
      <c r="AO585" s="184" t="n">
        <f aca="false">IF(ISERROR(VLOOKUP($P483,Member_Tab,5,FALSE())),0,VLOOKUP($P483,Member_Tab,5,FALSE())*IF(AND(AO$5 &gt; VLOOKUP($P483,Member_Tab,6,FALSE()),AO$5 &lt; VLOOKUP($P483,Member_Tab,7,FALSE())),1,0))</f>
        <v>0</v>
      </c>
      <c r="AP585" s="184" t="n">
        <f aca="false">IF(ISERROR(VLOOKUP($P483,Member_Tab,5,FALSE())),0,VLOOKUP($P483,Member_Tab,5,FALSE())*IF(AND(AP$5 &gt; VLOOKUP($P483,Member_Tab,6,FALSE()),AP$5 &lt; VLOOKUP($P483,Member_Tab,7,FALSE())),1,0))</f>
        <v>0</v>
      </c>
      <c r="AQ585" s="184" t="n">
        <f aca="false">IF(ISERROR(VLOOKUP($P483,Member_Tab,5,FALSE())),0,VLOOKUP($P483,Member_Tab,5,FALSE())*IF(AND(AQ$5 &gt; VLOOKUP($P483,Member_Tab,6,FALSE()),AQ$5 &lt; VLOOKUP($P483,Member_Tab,7,FALSE())),1,0))</f>
        <v>0</v>
      </c>
      <c r="AR585" s="184" t="n">
        <f aca="false">IF(ISERROR(VLOOKUP($P483,Member_Tab,5,FALSE())),0,VLOOKUP($P483,Member_Tab,5,FALSE())*IF(AND(AR$5 &gt; VLOOKUP($P483,Member_Tab,6,FALSE()),AR$5 &lt; VLOOKUP($P483,Member_Tab,7,FALSE())),1,0))</f>
        <v>0</v>
      </c>
      <c r="AS585" s="184" t="n">
        <f aca="false">IF(ISERROR(VLOOKUP($P483,Member_Tab,5,FALSE())),0,VLOOKUP($P483,Member_Tab,5,FALSE())*IF(AND(AS$5 &gt; VLOOKUP($P483,Member_Tab,6,FALSE()),AS$5 &lt; VLOOKUP($P483,Member_Tab,7,FALSE())),1,0))</f>
        <v>0</v>
      </c>
      <c r="AT585" s="184" t="n">
        <f aca="false">IF(ISERROR(VLOOKUP($P483,Member_Tab,5,FALSE())),0,VLOOKUP($P483,Member_Tab,5,FALSE())*IF(AND(AT$5 &gt; VLOOKUP($P483,Member_Tab,6,FALSE()),AT$5 &lt; VLOOKUP($P483,Member_Tab,7,FALSE())),1,0))</f>
        <v>0</v>
      </c>
      <c r="AU585" s="184" t="n">
        <f aca="false">IF(ISERROR(VLOOKUP($P483,Member_Tab,5,FALSE())),0,VLOOKUP($P483,Member_Tab,5,FALSE())*IF(AND(AU$5 &gt; VLOOKUP($P483,Member_Tab,6,FALSE()),AU$5 &lt; VLOOKUP($P483,Member_Tab,7,FALSE())),1,0))</f>
        <v>0</v>
      </c>
      <c r="AV585" s="184" t="n">
        <f aca="false">IF(ISERROR(VLOOKUP($P483,Member_Tab,5,FALSE())),0,VLOOKUP($P483,Member_Tab,5,FALSE())*IF(AND(AV$5 &gt; VLOOKUP($P483,Member_Tab,6,FALSE()),AV$5 &lt; VLOOKUP($P483,Member_Tab,7,FALSE())),1,0))</f>
        <v>0</v>
      </c>
      <c r="AW585" s="184" t="n">
        <f aca="false">IF(ISERROR(VLOOKUP($P483,Member_Tab,5,FALSE())),0,VLOOKUP($P483,Member_Tab,5,FALSE())*IF(AND(AW$5 &gt; VLOOKUP($P483,Member_Tab,6,FALSE()),AW$5 &lt; VLOOKUP($P483,Member_Tab,7,FALSE())),1,0))</f>
        <v>0</v>
      </c>
      <c r="AX585" s="184" t="n">
        <f aca="false">IF(ISERROR(VLOOKUP($P483,Member_Tab,5,FALSE())),0,VLOOKUP($P483,Member_Tab,5,FALSE())*IF(AND(AX$5 &gt; VLOOKUP($P483,Member_Tab,6,FALSE()),AX$5 &lt; VLOOKUP($P483,Member_Tab,7,FALSE())),1,0))</f>
        <v>0</v>
      </c>
      <c r="AY585" s="184" t="n">
        <f aca="false">IF(ISERROR(VLOOKUP($P483,Member_Tab,5,FALSE())),0,VLOOKUP($P483,Member_Tab,5,FALSE())*IF(AND(AY$5 &gt; VLOOKUP($P483,Member_Tab,6,FALSE()),AY$5 &lt; VLOOKUP($P483,Member_Tab,7,FALSE())),1,0))</f>
        <v>0</v>
      </c>
      <c r="AZ585" s="184" t="n">
        <f aca="false">IF(ISERROR(VLOOKUP($P483,Member_Tab,5,FALSE())),0,VLOOKUP($P483,Member_Tab,5,FALSE())*IF(AND(AZ$5 &gt; VLOOKUP($P483,Member_Tab,6,FALSE()),AZ$5 &lt; VLOOKUP($P483,Member_Tab,7,FALSE())),1,0))</f>
        <v>0</v>
      </c>
      <c r="BA585" s="184" t="n">
        <f aca="false">IF(ISERROR(VLOOKUP($P483,Member_Tab,5,FALSE())),0,VLOOKUP($P483,Member_Tab,5,FALSE())*IF(AND(BA$5 &gt; VLOOKUP($P483,Member_Tab,6,FALSE()),BA$5 &lt; VLOOKUP($P483,Member_Tab,7,FALSE())),1,0))</f>
        <v>0</v>
      </c>
      <c r="BB585" s="184" t="n">
        <f aca="false">IF(ISERROR(VLOOKUP($P483,Member_Tab,5,FALSE())),0,VLOOKUP($P483,Member_Tab,5,FALSE())*IF(AND(BB$5 &gt; VLOOKUP($P483,Member_Tab,6,FALSE()),BB$5 &lt; VLOOKUP($P483,Member_Tab,7,FALSE())),1,0))</f>
        <v>0</v>
      </c>
    </row>
    <row r="586" s="173" customFormat="true" ht="15.75" hidden="true" customHeight="false" outlineLevel="1" collapsed="false">
      <c r="E586" s="40"/>
      <c r="K586" s="40"/>
      <c r="L586" s="40"/>
      <c r="M586" s="40"/>
      <c r="N586" s="40"/>
      <c r="P586" s="183" t="n">
        <f aca="false">P484</f>
        <v>0</v>
      </c>
      <c r="Q586" s="40"/>
      <c r="R586" s="182"/>
      <c r="S586" s="184" t="n">
        <f aca="false">IF(ISERROR(VLOOKUP($P484,Member_Tab,5,FALSE())),0,VLOOKUP($P484,Member_Tab,5,FALSE())*IF(AND(S$5 &gt; VLOOKUP($P484,Member_Tab,6,FALSE()),S$5 &lt; VLOOKUP($P484,Member_Tab,7,FALSE())),1,0))</f>
        <v>0</v>
      </c>
      <c r="T586" s="184" t="n">
        <f aca="false">IF(ISERROR(VLOOKUP($P484,Member_Tab,5,FALSE())),0,VLOOKUP($P484,Member_Tab,5,FALSE())*IF(AND(T$5 &gt; VLOOKUP($P484,Member_Tab,6,FALSE()),T$5 &lt; VLOOKUP($P484,Member_Tab,7,FALSE())),1,0))</f>
        <v>0</v>
      </c>
      <c r="U586" s="184" t="n">
        <f aca="false">IF(ISERROR(VLOOKUP($P484,Member_Tab,5,FALSE())),0,VLOOKUP($P484,Member_Tab,5,FALSE())*IF(AND(U$5 &gt; VLOOKUP($P484,Member_Tab,6,FALSE()),U$5 &lt; VLOOKUP($P484,Member_Tab,7,FALSE())),1,0))</f>
        <v>0</v>
      </c>
      <c r="V586" s="184" t="n">
        <f aca="false">IF(ISERROR(VLOOKUP($P484,Member_Tab,5,FALSE())),0,VLOOKUP($P484,Member_Tab,5,FALSE())*IF(AND(V$5 &gt; VLOOKUP($P484,Member_Tab,6,FALSE()),V$5 &lt; VLOOKUP($P484,Member_Tab,7,FALSE())),1,0))</f>
        <v>0</v>
      </c>
      <c r="W586" s="184" t="n">
        <f aca="false">IF(ISERROR(VLOOKUP($P484,Member_Tab,5,FALSE())),0,VLOOKUP($P484,Member_Tab,5,FALSE())*IF(AND(W$5 &gt; VLOOKUP($P484,Member_Tab,6,FALSE()),W$5 &lt; VLOOKUP($P484,Member_Tab,7,FALSE())),1,0))</f>
        <v>0</v>
      </c>
      <c r="X586" s="184" t="n">
        <f aca="false">IF(ISERROR(VLOOKUP($P484,Member_Tab,5,FALSE())),0,VLOOKUP($P484,Member_Tab,5,FALSE())*IF(AND(X$5 &gt; VLOOKUP($P484,Member_Tab,6,FALSE()),X$5 &lt; VLOOKUP($P484,Member_Tab,7,FALSE())),1,0))</f>
        <v>0</v>
      </c>
      <c r="Y586" s="184" t="n">
        <f aca="false">IF(ISERROR(VLOOKUP($P484,Member_Tab,5,FALSE())),0,VLOOKUP($P484,Member_Tab,5,FALSE())*IF(AND(Y$5 &gt; VLOOKUP($P484,Member_Tab,6,FALSE()),Y$5 &lt; VLOOKUP($P484,Member_Tab,7,FALSE())),1,0))</f>
        <v>0</v>
      </c>
      <c r="Z586" s="184" t="n">
        <f aca="false">IF(ISERROR(VLOOKUP($P484,Member_Tab,5,FALSE())),0,VLOOKUP($P484,Member_Tab,5,FALSE())*IF(AND(Z$5 &gt; VLOOKUP($P484,Member_Tab,6,FALSE()),Z$5 &lt; VLOOKUP($P484,Member_Tab,7,FALSE())),1,0))</f>
        <v>0</v>
      </c>
      <c r="AA586" s="184" t="n">
        <f aca="false">IF(ISERROR(VLOOKUP($P484,Member_Tab,5,FALSE())),0,VLOOKUP($P484,Member_Tab,5,FALSE())*IF(AND(AA$5 &gt; VLOOKUP($P484,Member_Tab,6,FALSE()),AA$5 &lt; VLOOKUP($P484,Member_Tab,7,FALSE())),1,0))</f>
        <v>0</v>
      </c>
      <c r="AB586" s="184" t="n">
        <f aca="false">IF(ISERROR(VLOOKUP($P484,Member_Tab,5,FALSE())),0,VLOOKUP($P484,Member_Tab,5,FALSE())*IF(AND(AB$5 &gt; VLOOKUP($P484,Member_Tab,6,FALSE()),AB$5 &lt; VLOOKUP($P484,Member_Tab,7,FALSE())),1,0))</f>
        <v>0</v>
      </c>
      <c r="AC586" s="184" t="n">
        <f aca="false">IF(ISERROR(VLOOKUP($P484,Member_Tab,5,FALSE())),0,VLOOKUP($P484,Member_Tab,5,FALSE())*IF(AND(AC$5 &gt; VLOOKUP($P484,Member_Tab,6,FALSE()),AC$5 &lt; VLOOKUP($P484,Member_Tab,7,FALSE())),1,0))</f>
        <v>0</v>
      </c>
      <c r="AD586" s="184" t="n">
        <f aca="false">IF(ISERROR(VLOOKUP($P484,Member_Tab,5,FALSE())),0,VLOOKUP($P484,Member_Tab,5,FALSE())*IF(AND(AD$5 &gt; VLOOKUP($P484,Member_Tab,6,FALSE()),AD$5 &lt; VLOOKUP($P484,Member_Tab,7,FALSE())),1,0))</f>
        <v>0</v>
      </c>
      <c r="AE586" s="184" t="n">
        <f aca="false">IF(ISERROR(VLOOKUP($P484,Member_Tab,5,FALSE())),0,VLOOKUP($P484,Member_Tab,5,FALSE())*IF(AND(AE$5 &gt; VLOOKUP($P484,Member_Tab,6,FALSE()),AE$5 &lt; VLOOKUP($P484,Member_Tab,7,FALSE())),1,0))</f>
        <v>0</v>
      </c>
      <c r="AF586" s="184" t="n">
        <f aca="false">IF(ISERROR(VLOOKUP($P484,Member_Tab,5,FALSE())),0,VLOOKUP($P484,Member_Tab,5,FALSE())*IF(AND(AF$5 &gt; VLOOKUP($P484,Member_Tab,6,FALSE()),AF$5 &lt; VLOOKUP($P484,Member_Tab,7,FALSE())),1,0))</f>
        <v>0</v>
      </c>
      <c r="AG586" s="184" t="n">
        <f aca="false">IF(ISERROR(VLOOKUP($P484,Member_Tab,5,FALSE())),0,VLOOKUP($P484,Member_Tab,5,FALSE())*IF(AND(AG$5 &gt; VLOOKUP($P484,Member_Tab,6,FALSE()),AG$5 &lt; VLOOKUP($P484,Member_Tab,7,FALSE())),1,0))</f>
        <v>0</v>
      </c>
      <c r="AH586" s="184" t="n">
        <f aca="false">IF(ISERROR(VLOOKUP($P484,Member_Tab,5,FALSE())),0,VLOOKUP($P484,Member_Tab,5,FALSE())*IF(AND(AH$5 &gt; VLOOKUP($P484,Member_Tab,6,FALSE()),AH$5 &lt; VLOOKUP($P484,Member_Tab,7,FALSE())),1,0))</f>
        <v>0</v>
      </c>
      <c r="AI586" s="184" t="n">
        <f aca="false">IF(ISERROR(VLOOKUP($P484,Member_Tab,5,FALSE())),0,VLOOKUP($P484,Member_Tab,5,FALSE())*IF(AND(AI$5 &gt; VLOOKUP($P484,Member_Tab,6,FALSE()),AI$5 &lt; VLOOKUP($P484,Member_Tab,7,FALSE())),1,0))</f>
        <v>0</v>
      </c>
      <c r="AJ586" s="184" t="n">
        <f aca="false">IF(ISERROR(VLOOKUP($P484,Member_Tab,5,FALSE())),0,VLOOKUP($P484,Member_Tab,5,FALSE())*IF(AND(AJ$5 &gt; VLOOKUP($P484,Member_Tab,6,FALSE()),AJ$5 &lt; VLOOKUP($P484,Member_Tab,7,FALSE())),1,0))</f>
        <v>0</v>
      </c>
      <c r="AK586" s="184" t="n">
        <f aca="false">IF(ISERROR(VLOOKUP($P484,Member_Tab,5,FALSE())),0,VLOOKUP($P484,Member_Tab,5,FALSE())*IF(AND(AK$5 &gt; VLOOKUP($P484,Member_Tab,6,FALSE()),AK$5 &lt; VLOOKUP($P484,Member_Tab,7,FALSE())),1,0))</f>
        <v>0</v>
      </c>
      <c r="AL586" s="184" t="n">
        <f aca="false">IF(ISERROR(VLOOKUP($P484,Member_Tab,5,FALSE())),0,VLOOKUP($P484,Member_Tab,5,FALSE())*IF(AND(AL$5 &gt; VLOOKUP($P484,Member_Tab,6,FALSE()),AL$5 &lt; VLOOKUP($P484,Member_Tab,7,FALSE())),1,0))</f>
        <v>0</v>
      </c>
      <c r="AM586" s="184" t="n">
        <f aca="false">IF(ISERROR(VLOOKUP($P484,Member_Tab,5,FALSE())),0,VLOOKUP($P484,Member_Tab,5,FALSE())*IF(AND(AM$5 &gt; VLOOKUP($P484,Member_Tab,6,FALSE()),AM$5 &lt; VLOOKUP($P484,Member_Tab,7,FALSE())),1,0))</f>
        <v>0</v>
      </c>
      <c r="AN586" s="184" t="n">
        <f aca="false">IF(ISERROR(VLOOKUP($P484,Member_Tab,5,FALSE())),0,VLOOKUP($P484,Member_Tab,5,FALSE())*IF(AND(AN$5 &gt; VLOOKUP($P484,Member_Tab,6,FALSE()),AN$5 &lt; VLOOKUP($P484,Member_Tab,7,FALSE())),1,0))</f>
        <v>0</v>
      </c>
      <c r="AO586" s="184" t="n">
        <f aca="false">IF(ISERROR(VLOOKUP($P484,Member_Tab,5,FALSE())),0,VLOOKUP($P484,Member_Tab,5,FALSE())*IF(AND(AO$5 &gt; VLOOKUP($P484,Member_Tab,6,FALSE()),AO$5 &lt; VLOOKUP($P484,Member_Tab,7,FALSE())),1,0))</f>
        <v>0</v>
      </c>
      <c r="AP586" s="184" t="n">
        <f aca="false">IF(ISERROR(VLOOKUP($P484,Member_Tab,5,FALSE())),0,VLOOKUP($P484,Member_Tab,5,FALSE())*IF(AND(AP$5 &gt; VLOOKUP($P484,Member_Tab,6,FALSE()),AP$5 &lt; VLOOKUP($P484,Member_Tab,7,FALSE())),1,0))</f>
        <v>0</v>
      </c>
      <c r="AQ586" s="184" t="n">
        <f aca="false">IF(ISERROR(VLOOKUP($P484,Member_Tab,5,FALSE())),0,VLOOKUP($P484,Member_Tab,5,FALSE())*IF(AND(AQ$5 &gt; VLOOKUP($P484,Member_Tab,6,FALSE()),AQ$5 &lt; VLOOKUP($P484,Member_Tab,7,FALSE())),1,0))</f>
        <v>0</v>
      </c>
      <c r="AR586" s="184" t="n">
        <f aca="false">IF(ISERROR(VLOOKUP($P484,Member_Tab,5,FALSE())),0,VLOOKUP($P484,Member_Tab,5,FALSE())*IF(AND(AR$5 &gt; VLOOKUP($P484,Member_Tab,6,FALSE()),AR$5 &lt; VLOOKUP($P484,Member_Tab,7,FALSE())),1,0))</f>
        <v>0</v>
      </c>
      <c r="AS586" s="184" t="n">
        <f aca="false">IF(ISERROR(VLOOKUP($P484,Member_Tab,5,FALSE())),0,VLOOKUP($P484,Member_Tab,5,FALSE())*IF(AND(AS$5 &gt; VLOOKUP($P484,Member_Tab,6,FALSE()),AS$5 &lt; VLOOKUP($P484,Member_Tab,7,FALSE())),1,0))</f>
        <v>0</v>
      </c>
      <c r="AT586" s="184" t="n">
        <f aca="false">IF(ISERROR(VLOOKUP($P484,Member_Tab,5,FALSE())),0,VLOOKUP($P484,Member_Tab,5,FALSE())*IF(AND(AT$5 &gt; VLOOKUP($P484,Member_Tab,6,FALSE()),AT$5 &lt; VLOOKUP($P484,Member_Tab,7,FALSE())),1,0))</f>
        <v>0</v>
      </c>
      <c r="AU586" s="184" t="n">
        <f aca="false">IF(ISERROR(VLOOKUP($P484,Member_Tab,5,FALSE())),0,VLOOKUP($P484,Member_Tab,5,FALSE())*IF(AND(AU$5 &gt; VLOOKUP($P484,Member_Tab,6,FALSE()),AU$5 &lt; VLOOKUP($P484,Member_Tab,7,FALSE())),1,0))</f>
        <v>0</v>
      </c>
      <c r="AV586" s="184" t="n">
        <f aca="false">IF(ISERROR(VLOOKUP($P484,Member_Tab,5,FALSE())),0,VLOOKUP($P484,Member_Tab,5,FALSE())*IF(AND(AV$5 &gt; VLOOKUP($P484,Member_Tab,6,FALSE()),AV$5 &lt; VLOOKUP($P484,Member_Tab,7,FALSE())),1,0))</f>
        <v>0</v>
      </c>
      <c r="AW586" s="184" t="n">
        <f aca="false">IF(ISERROR(VLOOKUP($P484,Member_Tab,5,FALSE())),0,VLOOKUP($P484,Member_Tab,5,FALSE())*IF(AND(AW$5 &gt; VLOOKUP($P484,Member_Tab,6,FALSE()),AW$5 &lt; VLOOKUP($P484,Member_Tab,7,FALSE())),1,0))</f>
        <v>0</v>
      </c>
      <c r="AX586" s="184" t="n">
        <f aca="false">IF(ISERROR(VLOOKUP($P484,Member_Tab,5,FALSE())),0,VLOOKUP($P484,Member_Tab,5,FALSE())*IF(AND(AX$5 &gt; VLOOKUP($P484,Member_Tab,6,FALSE()),AX$5 &lt; VLOOKUP($P484,Member_Tab,7,FALSE())),1,0))</f>
        <v>0</v>
      </c>
      <c r="AY586" s="184" t="n">
        <f aca="false">IF(ISERROR(VLOOKUP($P484,Member_Tab,5,FALSE())),0,VLOOKUP($P484,Member_Tab,5,FALSE())*IF(AND(AY$5 &gt; VLOOKUP($P484,Member_Tab,6,FALSE()),AY$5 &lt; VLOOKUP($P484,Member_Tab,7,FALSE())),1,0))</f>
        <v>0</v>
      </c>
      <c r="AZ586" s="184" t="n">
        <f aca="false">IF(ISERROR(VLOOKUP($P484,Member_Tab,5,FALSE())),0,VLOOKUP($P484,Member_Tab,5,FALSE())*IF(AND(AZ$5 &gt; VLOOKUP($P484,Member_Tab,6,FALSE()),AZ$5 &lt; VLOOKUP($P484,Member_Tab,7,FALSE())),1,0))</f>
        <v>0</v>
      </c>
      <c r="BA586" s="184" t="n">
        <f aca="false">IF(ISERROR(VLOOKUP($P484,Member_Tab,5,FALSE())),0,VLOOKUP($P484,Member_Tab,5,FALSE())*IF(AND(BA$5 &gt; VLOOKUP($P484,Member_Tab,6,FALSE()),BA$5 &lt; VLOOKUP($P484,Member_Tab,7,FALSE())),1,0))</f>
        <v>0</v>
      </c>
      <c r="BB586" s="184" t="n">
        <f aca="false">IF(ISERROR(VLOOKUP($P484,Member_Tab,5,FALSE())),0,VLOOKUP($P484,Member_Tab,5,FALSE())*IF(AND(BB$5 &gt; VLOOKUP($P484,Member_Tab,6,FALSE()),BB$5 &lt; VLOOKUP($P484,Member_Tab,7,FALSE())),1,0))</f>
        <v>0</v>
      </c>
    </row>
    <row r="587" s="173" customFormat="true" ht="15.75" hidden="true" customHeight="false" outlineLevel="1" collapsed="false">
      <c r="E587" s="40"/>
      <c r="K587" s="40"/>
      <c r="L587" s="40"/>
      <c r="M587" s="40"/>
      <c r="N587" s="40"/>
      <c r="P587" s="183" t="n">
        <f aca="false">P485</f>
        <v>0</v>
      </c>
      <c r="Q587" s="40"/>
      <c r="R587" s="182"/>
      <c r="S587" s="184" t="n">
        <f aca="false">IF(ISERROR(VLOOKUP($P485,Member_Tab,5,FALSE())),0,VLOOKUP($P485,Member_Tab,5,FALSE())*IF(AND(S$5 &gt; VLOOKUP($P485,Member_Tab,6,FALSE()),S$5 &lt; VLOOKUP($P485,Member_Tab,7,FALSE())),1,0))</f>
        <v>0</v>
      </c>
      <c r="T587" s="184" t="n">
        <f aca="false">IF(ISERROR(VLOOKUP($P485,Member_Tab,5,FALSE())),0,VLOOKUP($P485,Member_Tab,5,FALSE())*IF(AND(T$5 &gt; VLOOKUP($P485,Member_Tab,6,FALSE()),T$5 &lt; VLOOKUP($P485,Member_Tab,7,FALSE())),1,0))</f>
        <v>0</v>
      </c>
      <c r="U587" s="184" t="n">
        <f aca="false">IF(ISERROR(VLOOKUP($P485,Member_Tab,5,FALSE())),0,VLOOKUP($P485,Member_Tab,5,FALSE())*IF(AND(U$5 &gt; VLOOKUP($P485,Member_Tab,6,FALSE()),U$5 &lt; VLOOKUP($P485,Member_Tab,7,FALSE())),1,0))</f>
        <v>0</v>
      </c>
      <c r="V587" s="184" t="n">
        <f aca="false">IF(ISERROR(VLOOKUP($P485,Member_Tab,5,FALSE())),0,VLOOKUP($P485,Member_Tab,5,FALSE())*IF(AND(V$5 &gt; VLOOKUP($P485,Member_Tab,6,FALSE()),V$5 &lt; VLOOKUP($P485,Member_Tab,7,FALSE())),1,0))</f>
        <v>0</v>
      </c>
      <c r="W587" s="184" t="n">
        <f aca="false">IF(ISERROR(VLOOKUP($P485,Member_Tab,5,FALSE())),0,VLOOKUP($P485,Member_Tab,5,FALSE())*IF(AND(W$5 &gt; VLOOKUP($P485,Member_Tab,6,FALSE()),W$5 &lt; VLOOKUP($P485,Member_Tab,7,FALSE())),1,0))</f>
        <v>0</v>
      </c>
      <c r="X587" s="184" t="n">
        <f aca="false">IF(ISERROR(VLOOKUP($P485,Member_Tab,5,FALSE())),0,VLOOKUP($P485,Member_Tab,5,FALSE())*IF(AND(X$5 &gt; VLOOKUP($P485,Member_Tab,6,FALSE()),X$5 &lt; VLOOKUP($P485,Member_Tab,7,FALSE())),1,0))</f>
        <v>0</v>
      </c>
      <c r="Y587" s="184" t="n">
        <f aca="false">IF(ISERROR(VLOOKUP($P485,Member_Tab,5,FALSE())),0,VLOOKUP($P485,Member_Tab,5,FALSE())*IF(AND(Y$5 &gt; VLOOKUP($P485,Member_Tab,6,FALSE()),Y$5 &lt; VLOOKUP($P485,Member_Tab,7,FALSE())),1,0))</f>
        <v>0</v>
      </c>
      <c r="Z587" s="184" t="n">
        <f aca="false">IF(ISERROR(VLOOKUP($P485,Member_Tab,5,FALSE())),0,VLOOKUP($P485,Member_Tab,5,FALSE())*IF(AND(Z$5 &gt; VLOOKUP($P485,Member_Tab,6,FALSE()),Z$5 &lt; VLOOKUP($P485,Member_Tab,7,FALSE())),1,0))</f>
        <v>0</v>
      </c>
      <c r="AA587" s="184" t="n">
        <f aca="false">IF(ISERROR(VLOOKUP($P485,Member_Tab,5,FALSE())),0,VLOOKUP($P485,Member_Tab,5,FALSE())*IF(AND(AA$5 &gt; VLOOKUP($P485,Member_Tab,6,FALSE()),AA$5 &lt; VLOOKUP($P485,Member_Tab,7,FALSE())),1,0))</f>
        <v>0</v>
      </c>
      <c r="AB587" s="184" t="n">
        <f aca="false">IF(ISERROR(VLOOKUP($P485,Member_Tab,5,FALSE())),0,VLOOKUP($P485,Member_Tab,5,FALSE())*IF(AND(AB$5 &gt; VLOOKUP($P485,Member_Tab,6,FALSE()),AB$5 &lt; VLOOKUP($P485,Member_Tab,7,FALSE())),1,0))</f>
        <v>0</v>
      </c>
      <c r="AC587" s="184" t="n">
        <f aca="false">IF(ISERROR(VLOOKUP($P485,Member_Tab,5,FALSE())),0,VLOOKUP($P485,Member_Tab,5,FALSE())*IF(AND(AC$5 &gt; VLOOKUP($P485,Member_Tab,6,FALSE()),AC$5 &lt; VLOOKUP($P485,Member_Tab,7,FALSE())),1,0))</f>
        <v>0</v>
      </c>
      <c r="AD587" s="184" t="n">
        <f aca="false">IF(ISERROR(VLOOKUP($P485,Member_Tab,5,FALSE())),0,VLOOKUP($P485,Member_Tab,5,FALSE())*IF(AND(AD$5 &gt; VLOOKUP($P485,Member_Tab,6,FALSE()),AD$5 &lt; VLOOKUP($P485,Member_Tab,7,FALSE())),1,0))</f>
        <v>0</v>
      </c>
      <c r="AE587" s="184" t="n">
        <f aca="false">IF(ISERROR(VLOOKUP($P485,Member_Tab,5,FALSE())),0,VLOOKUP($P485,Member_Tab,5,FALSE())*IF(AND(AE$5 &gt; VLOOKUP($P485,Member_Tab,6,FALSE()),AE$5 &lt; VLOOKUP($P485,Member_Tab,7,FALSE())),1,0))</f>
        <v>0</v>
      </c>
      <c r="AF587" s="184" t="n">
        <f aca="false">IF(ISERROR(VLOOKUP($P485,Member_Tab,5,FALSE())),0,VLOOKUP($P485,Member_Tab,5,FALSE())*IF(AND(AF$5 &gt; VLOOKUP($P485,Member_Tab,6,FALSE()),AF$5 &lt; VLOOKUP($P485,Member_Tab,7,FALSE())),1,0))</f>
        <v>0</v>
      </c>
      <c r="AG587" s="184" t="n">
        <f aca="false">IF(ISERROR(VLOOKUP($P485,Member_Tab,5,FALSE())),0,VLOOKUP($P485,Member_Tab,5,FALSE())*IF(AND(AG$5 &gt; VLOOKUP($P485,Member_Tab,6,FALSE()),AG$5 &lt; VLOOKUP($P485,Member_Tab,7,FALSE())),1,0))</f>
        <v>0</v>
      </c>
      <c r="AH587" s="184" t="n">
        <f aca="false">IF(ISERROR(VLOOKUP($P485,Member_Tab,5,FALSE())),0,VLOOKUP($P485,Member_Tab,5,FALSE())*IF(AND(AH$5 &gt; VLOOKUP($P485,Member_Tab,6,FALSE()),AH$5 &lt; VLOOKUP($P485,Member_Tab,7,FALSE())),1,0))</f>
        <v>0</v>
      </c>
      <c r="AI587" s="184" t="n">
        <f aca="false">IF(ISERROR(VLOOKUP($P485,Member_Tab,5,FALSE())),0,VLOOKUP($P485,Member_Tab,5,FALSE())*IF(AND(AI$5 &gt; VLOOKUP($P485,Member_Tab,6,FALSE()),AI$5 &lt; VLOOKUP($P485,Member_Tab,7,FALSE())),1,0))</f>
        <v>0</v>
      </c>
      <c r="AJ587" s="184" t="n">
        <f aca="false">IF(ISERROR(VLOOKUP($P485,Member_Tab,5,FALSE())),0,VLOOKUP($P485,Member_Tab,5,FALSE())*IF(AND(AJ$5 &gt; VLOOKUP($P485,Member_Tab,6,FALSE()),AJ$5 &lt; VLOOKUP($P485,Member_Tab,7,FALSE())),1,0))</f>
        <v>0</v>
      </c>
      <c r="AK587" s="184" t="n">
        <f aca="false">IF(ISERROR(VLOOKUP($P485,Member_Tab,5,FALSE())),0,VLOOKUP($P485,Member_Tab,5,FALSE())*IF(AND(AK$5 &gt; VLOOKUP($P485,Member_Tab,6,FALSE()),AK$5 &lt; VLOOKUP($P485,Member_Tab,7,FALSE())),1,0))</f>
        <v>0</v>
      </c>
      <c r="AL587" s="184" t="n">
        <f aca="false">IF(ISERROR(VLOOKUP($P485,Member_Tab,5,FALSE())),0,VLOOKUP($P485,Member_Tab,5,FALSE())*IF(AND(AL$5 &gt; VLOOKUP($P485,Member_Tab,6,FALSE()),AL$5 &lt; VLOOKUP($P485,Member_Tab,7,FALSE())),1,0))</f>
        <v>0</v>
      </c>
      <c r="AM587" s="184" t="n">
        <f aca="false">IF(ISERROR(VLOOKUP($P485,Member_Tab,5,FALSE())),0,VLOOKUP($P485,Member_Tab,5,FALSE())*IF(AND(AM$5 &gt; VLOOKUP($P485,Member_Tab,6,FALSE()),AM$5 &lt; VLOOKUP($P485,Member_Tab,7,FALSE())),1,0))</f>
        <v>0</v>
      </c>
      <c r="AN587" s="184" t="n">
        <f aca="false">IF(ISERROR(VLOOKUP($P485,Member_Tab,5,FALSE())),0,VLOOKUP($P485,Member_Tab,5,FALSE())*IF(AND(AN$5 &gt; VLOOKUP($P485,Member_Tab,6,FALSE()),AN$5 &lt; VLOOKUP($P485,Member_Tab,7,FALSE())),1,0))</f>
        <v>0</v>
      </c>
      <c r="AO587" s="184" t="n">
        <f aca="false">IF(ISERROR(VLOOKUP($P485,Member_Tab,5,FALSE())),0,VLOOKUP($P485,Member_Tab,5,FALSE())*IF(AND(AO$5 &gt; VLOOKUP($P485,Member_Tab,6,FALSE()),AO$5 &lt; VLOOKUP($P485,Member_Tab,7,FALSE())),1,0))</f>
        <v>0</v>
      </c>
      <c r="AP587" s="184" t="n">
        <f aca="false">IF(ISERROR(VLOOKUP($P485,Member_Tab,5,FALSE())),0,VLOOKUP($P485,Member_Tab,5,FALSE())*IF(AND(AP$5 &gt; VLOOKUP($P485,Member_Tab,6,FALSE()),AP$5 &lt; VLOOKUP($P485,Member_Tab,7,FALSE())),1,0))</f>
        <v>0</v>
      </c>
      <c r="AQ587" s="184" t="n">
        <f aca="false">IF(ISERROR(VLOOKUP($P485,Member_Tab,5,FALSE())),0,VLOOKUP($P485,Member_Tab,5,FALSE())*IF(AND(AQ$5 &gt; VLOOKUP($P485,Member_Tab,6,FALSE()),AQ$5 &lt; VLOOKUP($P485,Member_Tab,7,FALSE())),1,0))</f>
        <v>0</v>
      </c>
      <c r="AR587" s="184" t="n">
        <f aca="false">IF(ISERROR(VLOOKUP($P485,Member_Tab,5,FALSE())),0,VLOOKUP($P485,Member_Tab,5,FALSE())*IF(AND(AR$5 &gt; VLOOKUP($P485,Member_Tab,6,FALSE()),AR$5 &lt; VLOOKUP($P485,Member_Tab,7,FALSE())),1,0))</f>
        <v>0</v>
      </c>
      <c r="AS587" s="184" t="n">
        <f aca="false">IF(ISERROR(VLOOKUP($P485,Member_Tab,5,FALSE())),0,VLOOKUP($P485,Member_Tab,5,FALSE())*IF(AND(AS$5 &gt; VLOOKUP($P485,Member_Tab,6,FALSE()),AS$5 &lt; VLOOKUP($P485,Member_Tab,7,FALSE())),1,0))</f>
        <v>0</v>
      </c>
      <c r="AT587" s="184" t="n">
        <f aca="false">IF(ISERROR(VLOOKUP($P485,Member_Tab,5,FALSE())),0,VLOOKUP($P485,Member_Tab,5,FALSE())*IF(AND(AT$5 &gt; VLOOKUP($P485,Member_Tab,6,FALSE()),AT$5 &lt; VLOOKUP($P485,Member_Tab,7,FALSE())),1,0))</f>
        <v>0</v>
      </c>
      <c r="AU587" s="184" t="n">
        <f aca="false">IF(ISERROR(VLOOKUP($P485,Member_Tab,5,FALSE())),0,VLOOKUP($P485,Member_Tab,5,FALSE())*IF(AND(AU$5 &gt; VLOOKUP($P485,Member_Tab,6,FALSE()),AU$5 &lt; VLOOKUP($P485,Member_Tab,7,FALSE())),1,0))</f>
        <v>0</v>
      </c>
      <c r="AV587" s="184" t="n">
        <f aca="false">IF(ISERROR(VLOOKUP($P485,Member_Tab,5,FALSE())),0,VLOOKUP($P485,Member_Tab,5,FALSE())*IF(AND(AV$5 &gt; VLOOKUP($P485,Member_Tab,6,FALSE()),AV$5 &lt; VLOOKUP($P485,Member_Tab,7,FALSE())),1,0))</f>
        <v>0</v>
      </c>
      <c r="AW587" s="184" t="n">
        <f aca="false">IF(ISERROR(VLOOKUP($P485,Member_Tab,5,FALSE())),0,VLOOKUP($P485,Member_Tab,5,FALSE())*IF(AND(AW$5 &gt; VLOOKUP($P485,Member_Tab,6,FALSE()),AW$5 &lt; VLOOKUP($P485,Member_Tab,7,FALSE())),1,0))</f>
        <v>0</v>
      </c>
      <c r="AX587" s="184" t="n">
        <f aca="false">IF(ISERROR(VLOOKUP($P485,Member_Tab,5,FALSE())),0,VLOOKUP($P485,Member_Tab,5,FALSE())*IF(AND(AX$5 &gt; VLOOKUP($P485,Member_Tab,6,FALSE()),AX$5 &lt; VLOOKUP($P485,Member_Tab,7,FALSE())),1,0))</f>
        <v>0</v>
      </c>
      <c r="AY587" s="184" t="n">
        <f aca="false">IF(ISERROR(VLOOKUP($P485,Member_Tab,5,FALSE())),0,VLOOKUP($P485,Member_Tab,5,FALSE())*IF(AND(AY$5 &gt; VLOOKUP($P485,Member_Tab,6,FALSE()),AY$5 &lt; VLOOKUP($P485,Member_Tab,7,FALSE())),1,0))</f>
        <v>0</v>
      </c>
      <c r="AZ587" s="184" t="n">
        <f aca="false">IF(ISERROR(VLOOKUP($P485,Member_Tab,5,FALSE())),0,VLOOKUP($P485,Member_Tab,5,FALSE())*IF(AND(AZ$5 &gt; VLOOKUP($P485,Member_Tab,6,FALSE()),AZ$5 &lt; VLOOKUP($P485,Member_Tab,7,FALSE())),1,0))</f>
        <v>0</v>
      </c>
      <c r="BA587" s="184" t="n">
        <f aca="false">IF(ISERROR(VLOOKUP($P485,Member_Tab,5,FALSE())),0,VLOOKUP($P485,Member_Tab,5,FALSE())*IF(AND(BA$5 &gt; VLOOKUP($P485,Member_Tab,6,FALSE()),BA$5 &lt; VLOOKUP($P485,Member_Tab,7,FALSE())),1,0))</f>
        <v>0</v>
      </c>
      <c r="BB587" s="184" t="n">
        <f aca="false">IF(ISERROR(VLOOKUP($P485,Member_Tab,5,FALSE())),0,VLOOKUP($P485,Member_Tab,5,FALSE())*IF(AND(BB$5 &gt; VLOOKUP($P485,Member_Tab,6,FALSE()),BB$5 &lt; VLOOKUP($P485,Member_Tab,7,FALSE())),1,0))</f>
        <v>0</v>
      </c>
    </row>
    <row r="588" s="173" customFormat="true" ht="15.75" hidden="true" customHeight="false" outlineLevel="1" collapsed="false">
      <c r="E588" s="40"/>
      <c r="K588" s="40"/>
      <c r="L588" s="40"/>
      <c r="M588" s="40"/>
      <c r="N588" s="40"/>
      <c r="P588" s="183" t="n">
        <f aca="false">P486</f>
        <v>0</v>
      </c>
      <c r="Q588" s="40"/>
      <c r="R588" s="182"/>
      <c r="S588" s="184" t="n">
        <f aca="false">IF(ISERROR(VLOOKUP($P486,Member_Tab,5,FALSE())),0,VLOOKUP($P486,Member_Tab,5,FALSE())*IF(AND(S$5 &gt; VLOOKUP($P486,Member_Tab,6,FALSE()),S$5 &lt; VLOOKUP($P486,Member_Tab,7,FALSE())),1,0))</f>
        <v>0</v>
      </c>
      <c r="T588" s="184" t="n">
        <f aca="false">IF(ISERROR(VLOOKUP($P486,Member_Tab,5,FALSE())),0,VLOOKUP($P486,Member_Tab,5,FALSE())*IF(AND(T$5 &gt; VLOOKUP($P486,Member_Tab,6,FALSE()),T$5 &lt; VLOOKUP($P486,Member_Tab,7,FALSE())),1,0))</f>
        <v>0</v>
      </c>
      <c r="U588" s="184" t="n">
        <f aca="false">IF(ISERROR(VLOOKUP($P486,Member_Tab,5,FALSE())),0,VLOOKUP($P486,Member_Tab,5,FALSE())*IF(AND(U$5 &gt; VLOOKUP($P486,Member_Tab,6,FALSE()),U$5 &lt; VLOOKUP($P486,Member_Tab,7,FALSE())),1,0))</f>
        <v>0</v>
      </c>
      <c r="V588" s="184" t="n">
        <f aca="false">IF(ISERROR(VLOOKUP($P486,Member_Tab,5,FALSE())),0,VLOOKUP($P486,Member_Tab,5,FALSE())*IF(AND(V$5 &gt; VLOOKUP($P486,Member_Tab,6,FALSE()),V$5 &lt; VLOOKUP($P486,Member_Tab,7,FALSE())),1,0))</f>
        <v>0</v>
      </c>
      <c r="W588" s="184" t="n">
        <f aca="false">IF(ISERROR(VLOOKUP($P486,Member_Tab,5,FALSE())),0,VLOOKUP($P486,Member_Tab,5,FALSE())*IF(AND(W$5 &gt; VLOOKUP($P486,Member_Tab,6,FALSE()),W$5 &lt; VLOOKUP($P486,Member_Tab,7,FALSE())),1,0))</f>
        <v>0</v>
      </c>
      <c r="X588" s="184" t="n">
        <f aca="false">IF(ISERROR(VLOOKUP($P486,Member_Tab,5,FALSE())),0,VLOOKUP($P486,Member_Tab,5,FALSE())*IF(AND(X$5 &gt; VLOOKUP($P486,Member_Tab,6,FALSE()),X$5 &lt; VLOOKUP($P486,Member_Tab,7,FALSE())),1,0))</f>
        <v>0</v>
      </c>
      <c r="Y588" s="184" t="n">
        <f aca="false">IF(ISERROR(VLOOKUP($P486,Member_Tab,5,FALSE())),0,VLOOKUP($P486,Member_Tab,5,FALSE())*IF(AND(Y$5 &gt; VLOOKUP($P486,Member_Tab,6,FALSE()),Y$5 &lt; VLOOKUP($P486,Member_Tab,7,FALSE())),1,0))</f>
        <v>0</v>
      </c>
      <c r="Z588" s="184" t="n">
        <f aca="false">IF(ISERROR(VLOOKUP($P486,Member_Tab,5,FALSE())),0,VLOOKUP($P486,Member_Tab,5,FALSE())*IF(AND(Z$5 &gt; VLOOKUP($P486,Member_Tab,6,FALSE()),Z$5 &lt; VLOOKUP($P486,Member_Tab,7,FALSE())),1,0))</f>
        <v>0</v>
      </c>
      <c r="AA588" s="184" t="n">
        <f aca="false">IF(ISERROR(VLOOKUP($P486,Member_Tab,5,FALSE())),0,VLOOKUP($P486,Member_Tab,5,FALSE())*IF(AND(AA$5 &gt; VLOOKUP($P486,Member_Tab,6,FALSE()),AA$5 &lt; VLOOKUP($P486,Member_Tab,7,FALSE())),1,0))</f>
        <v>0</v>
      </c>
      <c r="AB588" s="184" t="n">
        <f aca="false">IF(ISERROR(VLOOKUP($P486,Member_Tab,5,FALSE())),0,VLOOKUP($P486,Member_Tab,5,FALSE())*IF(AND(AB$5 &gt; VLOOKUP($P486,Member_Tab,6,FALSE()),AB$5 &lt; VLOOKUP($P486,Member_Tab,7,FALSE())),1,0))</f>
        <v>0</v>
      </c>
      <c r="AC588" s="184" t="n">
        <f aca="false">IF(ISERROR(VLOOKUP($P486,Member_Tab,5,FALSE())),0,VLOOKUP($P486,Member_Tab,5,FALSE())*IF(AND(AC$5 &gt; VLOOKUP($P486,Member_Tab,6,FALSE()),AC$5 &lt; VLOOKUP($P486,Member_Tab,7,FALSE())),1,0))</f>
        <v>0</v>
      </c>
      <c r="AD588" s="184" t="n">
        <f aca="false">IF(ISERROR(VLOOKUP($P486,Member_Tab,5,FALSE())),0,VLOOKUP($P486,Member_Tab,5,FALSE())*IF(AND(AD$5 &gt; VLOOKUP($P486,Member_Tab,6,FALSE()),AD$5 &lt; VLOOKUP($P486,Member_Tab,7,FALSE())),1,0))</f>
        <v>0</v>
      </c>
      <c r="AE588" s="184" t="n">
        <f aca="false">IF(ISERROR(VLOOKUP($P486,Member_Tab,5,FALSE())),0,VLOOKUP($P486,Member_Tab,5,FALSE())*IF(AND(AE$5 &gt; VLOOKUP($P486,Member_Tab,6,FALSE()),AE$5 &lt; VLOOKUP($P486,Member_Tab,7,FALSE())),1,0))</f>
        <v>0</v>
      </c>
      <c r="AF588" s="184" t="n">
        <f aca="false">IF(ISERROR(VLOOKUP($P486,Member_Tab,5,FALSE())),0,VLOOKUP($P486,Member_Tab,5,FALSE())*IF(AND(AF$5 &gt; VLOOKUP($P486,Member_Tab,6,FALSE()),AF$5 &lt; VLOOKUP($P486,Member_Tab,7,FALSE())),1,0))</f>
        <v>0</v>
      </c>
      <c r="AG588" s="184" t="n">
        <f aca="false">IF(ISERROR(VLOOKUP($P486,Member_Tab,5,FALSE())),0,VLOOKUP($P486,Member_Tab,5,FALSE())*IF(AND(AG$5 &gt; VLOOKUP($P486,Member_Tab,6,FALSE()),AG$5 &lt; VLOOKUP($P486,Member_Tab,7,FALSE())),1,0))</f>
        <v>0</v>
      </c>
      <c r="AH588" s="184" t="n">
        <f aca="false">IF(ISERROR(VLOOKUP($P486,Member_Tab,5,FALSE())),0,VLOOKUP($P486,Member_Tab,5,FALSE())*IF(AND(AH$5 &gt; VLOOKUP($P486,Member_Tab,6,FALSE()),AH$5 &lt; VLOOKUP($P486,Member_Tab,7,FALSE())),1,0))</f>
        <v>0</v>
      </c>
      <c r="AI588" s="184" t="n">
        <f aca="false">IF(ISERROR(VLOOKUP($P486,Member_Tab,5,FALSE())),0,VLOOKUP($P486,Member_Tab,5,FALSE())*IF(AND(AI$5 &gt; VLOOKUP($P486,Member_Tab,6,FALSE()),AI$5 &lt; VLOOKUP($P486,Member_Tab,7,FALSE())),1,0))</f>
        <v>0</v>
      </c>
      <c r="AJ588" s="184" t="n">
        <f aca="false">IF(ISERROR(VLOOKUP($P486,Member_Tab,5,FALSE())),0,VLOOKUP($P486,Member_Tab,5,FALSE())*IF(AND(AJ$5 &gt; VLOOKUP($P486,Member_Tab,6,FALSE()),AJ$5 &lt; VLOOKUP($P486,Member_Tab,7,FALSE())),1,0))</f>
        <v>0</v>
      </c>
      <c r="AK588" s="184" t="n">
        <f aca="false">IF(ISERROR(VLOOKUP($P486,Member_Tab,5,FALSE())),0,VLOOKUP($P486,Member_Tab,5,FALSE())*IF(AND(AK$5 &gt; VLOOKUP($P486,Member_Tab,6,FALSE()),AK$5 &lt; VLOOKUP($P486,Member_Tab,7,FALSE())),1,0))</f>
        <v>0</v>
      </c>
      <c r="AL588" s="184" t="n">
        <f aca="false">IF(ISERROR(VLOOKUP($P486,Member_Tab,5,FALSE())),0,VLOOKUP($P486,Member_Tab,5,FALSE())*IF(AND(AL$5 &gt; VLOOKUP($P486,Member_Tab,6,FALSE()),AL$5 &lt; VLOOKUP($P486,Member_Tab,7,FALSE())),1,0))</f>
        <v>0</v>
      </c>
      <c r="AM588" s="184" t="n">
        <f aca="false">IF(ISERROR(VLOOKUP($P486,Member_Tab,5,FALSE())),0,VLOOKUP($P486,Member_Tab,5,FALSE())*IF(AND(AM$5 &gt; VLOOKUP($P486,Member_Tab,6,FALSE()),AM$5 &lt; VLOOKUP($P486,Member_Tab,7,FALSE())),1,0))</f>
        <v>0</v>
      </c>
      <c r="AN588" s="184" t="n">
        <f aca="false">IF(ISERROR(VLOOKUP($P486,Member_Tab,5,FALSE())),0,VLOOKUP($P486,Member_Tab,5,FALSE())*IF(AND(AN$5 &gt; VLOOKUP($P486,Member_Tab,6,FALSE()),AN$5 &lt; VLOOKUP($P486,Member_Tab,7,FALSE())),1,0))</f>
        <v>0</v>
      </c>
      <c r="AO588" s="184" t="n">
        <f aca="false">IF(ISERROR(VLOOKUP($P486,Member_Tab,5,FALSE())),0,VLOOKUP($P486,Member_Tab,5,FALSE())*IF(AND(AO$5 &gt; VLOOKUP($P486,Member_Tab,6,FALSE()),AO$5 &lt; VLOOKUP($P486,Member_Tab,7,FALSE())),1,0))</f>
        <v>0</v>
      </c>
      <c r="AP588" s="184" t="n">
        <f aca="false">IF(ISERROR(VLOOKUP($P486,Member_Tab,5,FALSE())),0,VLOOKUP($P486,Member_Tab,5,FALSE())*IF(AND(AP$5 &gt; VLOOKUP($P486,Member_Tab,6,FALSE()),AP$5 &lt; VLOOKUP($P486,Member_Tab,7,FALSE())),1,0))</f>
        <v>0</v>
      </c>
      <c r="AQ588" s="184" t="n">
        <f aca="false">IF(ISERROR(VLOOKUP($P486,Member_Tab,5,FALSE())),0,VLOOKUP($P486,Member_Tab,5,FALSE())*IF(AND(AQ$5 &gt; VLOOKUP($P486,Member_Tab,6,FALSE()),AQ$5 &lt; VLOOKUP($P486,Member_Tab,7,FALSE())),1,0))</f>
        <v>0</v>
      </c>
      <c r="AR588" s="184" t="n">
        <f aca="false">IF(ISERROR(VLOOKUP($P486,Member_Tab,5,FALSE())),0,VLOOKUP($P486,Member_Tab,5,FALSE())*IF(AND(AR$5 &gt; VLOOKUP($P486,Member_Tab,6,FALSE()),AR$5 &lt; VLOOKUP($P486,Member_Tab,7,FALSE())),1,0))</f>
        <v>0</v>
      </c>
      <c r="AS588" s="184" t="n">
        <f aca="false">IF(ISERROR(VLOOKUP($P486,Member_Tab,5,FALSE())),0,VLOOKUP($P486,Member_Tab,5,FALSE())*IF(AND(AS$5 &gt; VLOOKUP($P486,Member_Tab,6,FALSE()),AS$5 &lt; VLOOKUP($P486,Member_Tab,7,FALSE())),1,0))</f>
        <v>0</v>
      </c>
      <c r="AT588" s="184" t="n">
        <f aca="false">IF(ISERROR(VLOOKUP($P486,Member_Tab,5,FALSE())),0,VLOOKUP($P486,Member_Tab,5,FALSE())*IF(AND(AT$5 &gt; VLOOKUP($P486,Member_Tab,6,FALSE()),AT$5 &lt; VLOOKUP($P486,Member_Tab,7,FALSE())),1,0))</f>
        <v>0</v>
      </c>
      <c r="AU588" s="184" t="n">
        <f aca="false">IF(ISERROR(VLOOKUP($P486,Member_Tab,5,FALSE())),0,VLOOKUP($P486,Member_Tab,5,FALSE())*IF(AND(AU$5 &gt; VLOOKUP($P486,Member_Tab,6,FALSE()),AU$5 &lt; VLOOKUP($P486,Member_Tab,7,FALSE())),1,0))</f>
        <v>0</v>
      </c>
      <c r="AV588" s="184" t="n">
        <f aca="false">IF(ISERROR(VLOOKUP($P486,Member_Tab,5,FALSE())),0,VLOOKUP($P486,Member_Tab,5,FALSE())*IF(AND(AV$5 &gt; VLOOKUP($P486,Member_Tab,6,FALSE()),AV$5 &lt; VLOOKUP($P486,Member_Tab,7,FALSE())),1,0))</f>
        <v>0</v>
      </c>
      <c r="AW588" s="184" t="n">
        <f aca="false">IF(ISERROR(VLOOKUP($P486,Member_Tab,5,FALSE())),0,VLOOKUP($P486,Member_Tab,5,FALSE())*IF(AND(AW$5 &gt; VLOOKUP($P486,Member_Tab,6,FALSE()),AW$5 &lt; VLOOKUP($P486,Member_Tab,7,FALSE())),1,0))</f>
        <v>0</v>
      </c>
      <c r="AX588" s="184" t="n">
        <f aca="false">IF(ISERROR(VLOOKUP($P486,Member_Tab,5,FALSE())),0,VLOOKUP($P486,Member_Tab,5,FALSE())*IF(AND(AX$5 &gt; VLOOKUP($P486,Member_Tab,6,FALSE()),AX$5 &lt; VLOOKUP($P486,Member_Tab,7,FALSE())),1,0))</f>
        <v>0</v>
      </c>
      <c r="AY588" s="184" t="n">
        <f aca="false">IF(ISERROR(VLOOKUP($P486,Member_Tab,5,FALSE())),0,VLOOKUP($P486,Member_Tab,5,FALSE())*IF(AND(AY$5 &gt; VLOOKUP($P486,Member_Tab,6,FALSE()),AY$5 &lt; VLOOKUP($P486,Member_Tab,7,FALSE())),1,0))</f>
        <v>0</v>
      </c>
      <c r="AZ588" s="184" t="n">
        <f aca="false">IF(ISERROR(VLOOKUP($P486,Member_Tab,5,FALSE())),0,VLOOKUP($P486,Member_Tab,5,FALSE())*IF(AND(AZ$5 &gt; VLOOKUP($P486,Member_Tab,6,FALSE()),AZ$5 &lt; VLOOKUP($P486,Member_Tab,7,FALSE())),1,0))</f>
        <v>0</v>
      </c>
      <c r="BA588" s="184" t="n">
        <f aca="false">IF(ISERROR(VLOOKUP($P486,Member_Tab,5,FALSE())),0,VLOOKUP($P486,Member_Tab,5,FALSE())*IF(AND(BA$5 &gt; VLOOKUP($P486,Member_Tab,6,FALSE()),BA$5 &lt; VLOOKUP($P486,Member_Tab,7,FALSE())),1,0))</f>
        <v>0</v>
      </c>
      <c r="BB588" s="184" t="n">
        <f aca="false">IF(ISERROR(VLOOKUP($P486,Member_Tab,5,FALSE())),0,VLOOKUP($P486,Member_Tab,5,FALSE())*IF(AND(BB$5 &gt; VLOOKUP($P486,Member_Tab,6,FALSE()),BB$5 &lt; VLOOKUP($P486,Member_Tab,7,FALSE())),1,0))</f>
        <v>0</v>
      </c>
    </row>
    <row r="589" s="173" customFormat="true" ht="15.75" hidden="true" customHeight="false" outlineLevel="1" collapsed="false">
      <c r="E589" s="40"/>
      <c r="K589" s="40"/>
      <c r="L589" s="40"/>
      <c r="M589" s="40"/>
      <c r="N589" s="40"/>
      <c r="P589" s="183" t="n">
        <f aca="false">P487</f>
        <v>0</v>
      </c>
      <c r="Q589" s="40"/>
      <c r="R589" s="182"/>
      <c r="S589" s="184" t="n">
        <f aca="false">IF(ISERROR(VLOOKUP($P487,Member_Tab,5,FALSE())),0,VLOOKUP($P487,Member_Tab,5,FALSE())*IF(AND(S$5 &gt; VLOOKUP($P487,Member_Tab,6,FALSE()),S$5 &lt; VLOOKUP($P487,Member_Tab,7,FALSE())),1,0))</f>
        <v>0</v>
      </c>
      <c r="T589" s="184" t="n">
        <f aca="false">IF(ISERROR(VLOOKUP($P487,Member_Tab,5,FALSE())),0,VLOOKUP($P487,Member_Tab,5,FALSE())*IF(AND(T$5 &gt; VLOOKUP($P487,Member_Tab,6,FALSE()),T$5 &lt; VLOOKUP($P487,Member_Tab,7,FALSE())),1,0))</f>
        <v>0</v>
      </c>
      <c r="U589" s="184" t="n">
        <f aca="false">IF(ISERROR(VLOOKUP($P487,Member_Tab,5,FALSE())),0,VLOOKUP($P487,Member_Tab,5,FALSE())*IF(AND(U$5 &gt; VLOOKUP($P487,Member_Tab,6,FALSE()),U$5 &lt; VLOOKUP($P487,Member_Tab,7,FALSE())),1,0))</f>
        <v>0</v>
      </c>
      <c r="V589" s="184" t="n">
        <f aca="false">IF(ISERROR(VLOOKUP($P487,Member_Tab,5,FALSE())),0,VLOOKUP($P487,Member_Tab,5,FALSE())*IF(AND(V$5 &gt; VLOOKUP($P487,Member_Tab,6,FALSE()),V$5 &lt; VLOOKUP($P487,Member_Tab,7,FALSE())),1,0))</f>
        <v>0</v>
      </c>
      <c r="W589" s="184" t="n">
        <f aca="false">IF(ISERROR(VLOOKUP($P487,Member_Tab,5,FALSE())),0,VLOOKUP($P487,Member_Tab,5,FALSE())*IF(AND(W$5 &gt; VLOOKUP($P487,Member_Tab,6,FALSE()),W$5 &lt; VLOOKUP($P487,Member_Tab,7,FALSE())),1,0))</f>
        <v>0</v>
      </c>
      <c r="X589" s="184" t="n">
        <f aca="false">IF(ISERROR(VLOOKUP($P487,Member_Tab,5,FALSE())),0,VLOOKUP($P487,Member_Tab,5,FALSE())*IF(AND(X$5 &gt; VLOOKUP($P487,Member_Tab,6,FALSE()),X$5 &lt; VLOOKUP($P487,Member_Tab,7,FALSE())),1,0))</f>
        <v>0</v>
      </c>
      <c r="Y589" s="184" t="n">
        <f aca="false">IF(ISERROR(VLOOKUP($P487,Member_Tab,5,FALSE())),0,VLOOKUP($P487,Member_Tab,5,FALSE())*IF(AND(Y$5 &gt; VLOOKUP($P487,Member_Tab,6,FALSE()),Y$5 &lt; VLOOKUP($P487,Member_Tab,7,FALSE())),1,0))</f>
        <v>0</v>
      </c>
      <c r="Z589" s="184" t="n">
        <f aca="false">IF(ISERROR(VLOOKUP($P487,Member_Tab,5,FALSE())),0,VLOOKUP($P487,Member_Tab,5,FALSE())*IF(AND(Z$5 &gt; VLOOKUP($P487,Member_Tab,6,FALSE()),Z$5 &lt; VLOOKUP($P487,Member_Tab,7,FALSE())),1,0))</f>
        <v>0</v>
      </c>
      <c r="AA589" s="184" t="n">
        <f aca="false">IF(ISERROR(VLOOKUP($P487,Member_Tab,5,FALSE())),0,VLOOKUP($P487,Member_Tab,5,FALSE())*IF(AND(AA$5 &gt; VLOOKUP($P487,Member_Tab,6,FALSE()),AA$5 &lt; VLOOKUP($P487,Member_Tab,7,FALSE())),1,0))</f>
        <v>0</v>
      </c>
      <c r="AB589" s="184" t="n">
        <f aca="false">IF(ISERROR(VLOOKUP($P487,Member_Tab,5,FALSE())),0,VLOOKUP($P487,Member_Tab,5,FALSE())*IF(AND(AB$5 &gt; VLOOKUP($P487,Member_Tab,6,FALSE()),AB$5 &lt; VLOOKUP($P487,Member_Tab,7,FALSE())),1,0))</f>
        <v>0</v>
      </c>
      <c r="AC589" s="184" t="n">
        <f aca="false">IF(ISERROR(VLOOKUP($P487,Member_Tab,5,FALSE())),0,VLOOKUP($P487,Member_Tab,5,FALSE())*IF(AND(AC$5 &gt; VLOOKUP($P487,Member_Tab,6,FALSE()),AC$5 &lt; VLOOKUP($P487,Member_Tab,7,FALSE())),1,0))</f>
        <v>0</v>
      </c>
      <c r="AD589" s="184" t="n">
        <f aca="false">IF(ISERROR(VLOOKUP($P487,Member_Tab,5,FALSE())),0,VLOOKUP($P487,Member_Tab,5,FALSE())*IF(AND(AD$5 &gt; VLOOKUP($P487,Member_Tab,6,FALSE()),AD$5 &lt; VLOOKUP($P487,Member_Tab,7,FALSE())),1,0))</f>
        <v>0</v>
      </c>
      <c r="AE589" s="184" t="n">
        <f aca="false">IF(ISERROR(VLOOKUP($P487,Member_Tab,5,FALSE())),0,VLOOKUP($P487,Member_Tab,5,FALSE())*IF(AND(AE$5 &gt; VLOOKUP($P487,Member_Tab,6,FALSE()),AE$5 &lt; VLOOKUP($P487,Member_Tab,7,FALSE())),1,0))</f>
        <v>0</v>
      </c>
      <c r="AF589" s="184" t="n">
        <f aca="false">IF(ISERROR(VLOOKUP($P487,Member_Tab,5,FALSE())),0,VLOOKUP($P487,Member_Tab,5,FALSE())*IF(AND(AF$5 &gt; VLOOKUP($P487,Member_Tab,6,FALSE()),AF$5 &lt; VLOOKUP($P487,Member_Tab,7,FALSE())),1,0))</f>
        <v>0</v>
      </c>
      <c r="AG589" s="184" t="n">
        <f aca="false">IF(ISERROR(VLOOKUP($P487,Member_Tab,5,FALSE())),0,VLOOKUP($P487,Member_Tab,5,FALSE())*IF(AND(AG$5 &gt; VLOOKUP($P487,Member_Tab,6,FALSE()),AG$5 &lt; VLOOKUP($P487,Member_Tab,7,FALSE())),1,0))</f>
        <v>0</v>
      </c>
      <c r="AH589" s="184" t="n">
        <f aca="false">IF(ISERROR(VLOOKUP($P487,Member_Tab,5,FALSE())),0,VLOOKUP($P487,Member_Tab,5,FALSE())*IF(AND(AH$5 &gt; VLOOKUP($P487,Member_Tab,6,FALSE()),AH$5 &lt; VLOOKUP($P487,Member_Tab,7,FALSE())),1,0))</f>
        <v>0</v>
      </c>
      <c r="AI589" s="184" t="n">
        <f aca="false">IF(ISERROR(VLOOKUP($P487,Member_Tab,5,FALSE())),0,VLOOKUP($P487,Member_Tab,5,FALSE())*IF(AND(AI$5 &gt; VLOOKUP($P487,Member_Tab,6,FALSE()),AI$5 &lt; VLOOKUP($P487,Member_Tab,7,FALSE())),1,0))</f>
        <v>0</v>
      </c>
      <c r="AJ589" s="184" t="n">
        <f aca="false">IF(ISERROR(VLOOKUP($P487,Member_Tab,5,FALSE())),0,VLOOKUP($P487,Member_Tab,5,FALSE())*IF(AND(AJ$5 &gt; VLOOKUP($P487,Member_Tab,6,FALSE()),AJ$5 &lt; VLOOKUP($P487,Member_Tab,7,FALSE())),1,0))</f>
        <v>0</v>
      </c>
      <c r="AK589" s="184" t="n">
        <f aca="false">IF(ISERROR(VLOOKUP($P487,Member_Tab,5,FALSE())),0,VLOOKUP($P487,Member_Tab,5,FALSE())*IF(AND(AK$5 &gt; VLOOKUP($P487,Member_Tab,6,FALSE()),AK$5 &lt; VLOOKUP($P487,Member_Tab,7,FALSE())),1,0))</f>
        <v>0</v>
      </c>
      <c r="AL589" s="184" t="n">
        <f aca="false">IF(ISERROR(VLOOKUP($P487,Member_Tab,5,FALSE())),0,VLOOKUP($P487,Member_Tab,5,FALSE())*IF(AND(AL$5 &gt; VLOOKUP($P487,Member_Tab,6,FALSE()),AL$5 &lt; VLOOKUP($P487,Member_Tab,7,FALSE())),1,0))</f>
        <v>0</v>
      </c>
      <c r="AM589" s="184" t="n">
        <f aca="false">IF(ISERROR(VLOOKUP($P487,Member_Tab,5,FALSE())),0,VLOOKUP($P487,Member_Tab,5,FALSE())*IF(AND(AM$5 &gt; VLOOKUP($P487,Member_Tab,6,FALSE()),AM$5 &lt; VLOOKUP($P487,Member_Tab,7,FALSE())),1,0))</f>
        <v>0</v>
      </c>
      <c r="AN589" s="184" t="n">
        <f aca="false">IF(ISERROR(VLOOKUP($P487,Member_Tab,5,FALSE())),0,VLOOKUP($P487,Member_Tab,5,FALSE())*IF(AND(AN$5 &gt; VLOOKUP($P487,Member_Tab,6,FALSE()),AN$5 &lt; VLOOKUP($P487,Member_Tab,7,FALSE())),1,0))</f>
        <v>0</v>
      </c>
      <c r="AO589" s="184" t="n">
        <f aca="false">IF(ISERROR(VLOOKUP($P487,Member_Tab,5,FALSE())),0,VLOOKUP($P487,Member_Tab,5,FALSE())*IF(AND(AO$5 &gt; VLOOKUP($P487,Member_Tab,6,FALSE()),AO$5 &lt; VLOOKUP($P487,Member_Tab,7,FALSE())),1,0))</f>
        <v>0</v>
      </c>
      <c r="AP589" s="184" t="n">
        <f aca="false">IF(ISERROR(VLOOKUP($P487,Member_Tab,5,FALSE())),0,VLOOKUP($P487,Member_Tab,5,FALSE())*IF(AND(AP$5 &gt; VLOOKUP($P487,Member_Tab,6,FALSE()),AP$5 &lt; VLOOKUP($P487,Member_Tab,7,FALSE())),1,0))</f>
        <v>0</v>
      </c>
      <c r="AQ589" s="184" t="n">
        <f aca="false">IF(ISERROR(VLOOKUP($P487,Member_Tab,5,FALSE())),0,VLOOKUP($P487,Member_Tab,5,FALSE())*IF(AND(AQ$5 &gt; VLOOKUP($P487,Member_Tab,6,FALSE()),AQ$5 &lt; VLOOKUP($P487,Member_Tab,7,FALSE())),1,0))</f>
        <v>0</v>
      </c>
      <c r="AR589" s="184" t="n">
        <f aca="false">IF(ISERROR(VLOOKUP($P487,Member_Tab,5,FALSE())),0,VLOOKUP($P487,Member_Tab,5,FALSE())*IF(AND(AR$5 &gt; VLOOKUP($P487,Member_Tab,6,FALSE()),AR$5 &lt; VLOOKUP($P487,Member_Tab,7,FALSE())),1,0))</f>
        <v>0</v>
      </c>
      <c r="AS589" s="184" t="n">
        <f aca="false">IF(ISERROR(VLOOKUP($P487,Member_Tab,5,FALSE())),0,VLOOKUP($P487,Member_Tab,5,FALSE())*IF(AND(AS$5 &gt; VLOOKUP($P487,Member_Tab,6,FALSE()),AS$5 &lt; VLOOKUP($P487,Member_Tab,7,FALSE())),1,0))</f>
        <v>0</v>
      </c>
      <c r="AT589" s="184" t="n">
        <f aca="false">IF(ISERROR(VLOOKUP($P487,Member_Tab,5,FALSE())),0,VLOOKUP($P487,Member_Tab,5,FALSE())*IF(AND(AT$5 &gt; VLOOKUP($P487,Member_Tab,6,FALSE()),AT$5 &lt; VLOOKUP($P487,Member_Tab,7,FALSE())),1,0))</f>
        <v>0</v>
      </c>
      <c r="AU589" s="184" t="n">
        <f aca="false">IF(ISERROR(VLOOKUP($P487,Member_Tab,5,FALSE())),0,VLOOKUP($P487,Member_Tab,5,FALSE())*IF(AND(AU$5 &gt; VLOOKUP($P487,Member_Tab,6,FALSE()),AU$5 &lt; VLOOKUP($P487,Member_Tab,7,FALSE())),1,0))</f>
        <v>0</v>
      </c>
      <c r="AV589" s="184" t="n">
        <f aca="false">IF(ISERROR(VLOOKUP($P487,Member_Tab,5,FALSE())),0,VLOOKUP($P487,Member_Tab,5,FALSE())*IF(AND(AV$5 &gt; VLOOKUP($P487,Member_Tab,6,FALSE()),AV$5 &lt; VLOOKUP($P487,Member_Tab,7,FALSE())),1,0))</f>
        <v>0</v>
      </c>
      <c r="AW589" s="184" t="n">
        <f aca="false">IF(ISERROR(VLOOKUP($P487,Member_Tab,5,FALSE())),0,VLOOKUP($P487,Member_Tab,5,FALSE())*IF(AND(AW$5 &gt; VLOOKUP($P487,Member_Tab,6,FALSE()),AW$5 &lt; VLOOKUP($P487,Member_Tab,7,FALSE())),1,0))</f>
        <v>0</v>
      </c>
      <c r="AX589" s="184" t="n">
        <f aca="false">IF(ISERROR(VLOOKUP($P487,Member_Tab,5,FALSE())),0,VLOOKUP($P487,Member_Tab,5,FALSE())*IF(AND(AX$5 &gt; VLOOKUP($P487,Member_Tab,6,FALSE()),AX$5 &lt; VLOOKUP($P487,Member_Tab,7,FALSE())),1,0))</f>
        <v>0</v>
      </c>
      <c r="AY589" s="184" t="n">
        <f aca="false">IF(ISERROR(VLOOKUP($P487,Member_Tab,5,FALSE())),0,VLOOKUP($P487,Member_Tab,5,FALSE())*IF(AND(AY$5 &gt; VLOOKUP($P487,Member_Tab,6,FALSE()),AY$5 &lt; VLOOKUP($P487,Member_Tab,7,FALSE())),1,0))</f>
        <v>0</v>
      </c>
      <c r="AZ589" s="184" t="n">
        <f aca="false">IF(ISERROR(VLOOKUP($P487,Member_Tab,5,FALSE())),0,VLOOKUP($P487,Member_Tab,5,FALSE())*IF(AND(AZ$5 &gt; VLOOKUP($P487,Member_Tab,6,FALSE()),AZ$5 &lt; VLOOKUP($P487,Member_Tab,7,FALSE())),1,0))</f>
        <v>0</v>
      </c>
      <c r="BA589" s="184" t="n">
        <f aca="false">IF(ISERROR(VLOOKUP($P487,Member_Tab,5,FALSE())),0,VLOOKUP($P487,Member_Tab,5,FALSE())*IF(AND(BA$5 &gt; VLOOKUP($P487,Member_Tab,6,FALSE()),BA$5 &lt; VLOOKUP($P487,Member_Tab,7,FALSE())),1,0))</f>
        <v>0</v>
      </c>
      <c r="BB589" s="184" t="n">
        <f aca="false">IF(ISERROR(VLOOKUP($P487,Member_Tab,5,FALSE())),0,VLOOKUP($P487,Member_Tab,5,FALSE())*IF(AND(BB$5 &gt; VLOOKUP($P487,Member_Tab,6,FALSE()),BB$5 &lt; VLOOKUP($P487,Member_Tab,7,FALSE())),1,0))</f>
        <v>0</v>
      </c>
    </row>
    <row r="590" s="173" customFormat="true" ht="15.75" hidden="true" customHeight="false" outlineLevel="1" collapsed="false">
      <c r="E590" s="40"/>
      <c r="K590" s="40"/>
      <c r="L590" s="40"/>
      <c r="M590" s="40"/>
      <c r="N590" s="40"/>
      <c r="P590" s="183" t="n">
        <f aca="false">P488</f>
        <v>0</v>
      </c>
      <c r="Q590" s="40"/>
      <c r="R590" s="182"/>
      <c r="S590" s="184" t="n">
        <f aca="false">IF(ISERROR(VLOOKUP($P488,Member_Tab,5,FALSE())),0,VLOOKUP($P488,Member_Tab,5,FALSE())*IF(AND(S$5 &gt; VLOOKUP($P488,Member_Tab,6,FALSE()),S$5 &lt; VLOOKUP($P488,Member_Tab,7,FALSE())),1,0))</f>
        <v>0</v>
      </c>
      <c r="T590" s="184" t="n">
        <f aca="false">IF(ISERROR(VLOOKUP($P488,Member_Tab,5,FALSE())),0,VLOOKUP($P488,Member_Tab,5,FALSE())*IF(AND(T$5 &gt; VLOOKUP($P488,Member_Tab,6,FALSE()),T$5 &lt; VLOOKUP($P488,Member_Tab,7,FALSE())),1,0))</f>
        <v>0</v>
      </c>
      <c r="U590" s="184" t="n">
        <f aca="false">IF(ISERROR(VLOOKUP($P488,Member_Tab,5,FALSE())),0,VLOOKUP($P488,Member_Tab,5,FALSE())*IF(AND(U$5 &gt; VLOOKUP($P488,Member_Tab,6,FALSE()),U$5 &lt; VLOOKUP($P488,Member_Tab,7,FALSE())),1,0))</f>
        <v>0</v>
      </c>
      <c r="V590" s="184" t="n">
        <f aca="false">IF(ISERROR(VLOOKUP($P488,Member_Tab,5,FALSE())),0,VLOOKUP($P488,Member_Tab,5,FALSE())*IF(AND(V$5 &gt; VLOOKUP($P488,Member_Tab,6,FALSE()),V$5 &lt; VLOOKUP($P488,Member_Tab,7,FALSE())),1,0))</f>
        <v>0</v>
      </c>
      <c r="W590" s="184" t="n">
        <f aca="false">IF(ISERROR(VLOOKUP($P488,Member_Tab,5,FALSE())),0,VLOOKUP($P488,Member_Tab,5,FALSE())*IF(AND(W$5 &gt; VLOOKUP($P488,Member_Tab,6,FALSE()),W$5 &lt; VLOOKUP($P488,Member_Tab,7,FALSE())),1,0))</f>
        <v>0</v>
      </c>
      <c r="X590" s="184" t="n">
        <f aca="false">IF(ISERROR(VLOOKUP($P488,Member_Tab,5,FALSE())),0,VLOOKUP($P488,Member_Tab,5,FALSE())*IF(AND(X$5 &gt; VLOOKUP($P488,Member_Tab,6,FALSE()),X$5 &lt; VLOOKUP($P488,Member_Tab,7,FALSE())),1,0))</f>
        <v>0</v>
      </c>
      <c r="Y590" s="184" t="n">
        <f aca="false">IF(ISERROR(VLOOKUP($P488,Member_Tab,5,FALSE())),0,VLOOKUP($P488,Member_Tab,5,FALSE())*IF(AND(Y$5 &gt; VLOOKUP($P488,Member_Tab,6,FALSE()),Y$5 &lt; VLOOKUP($P488,Member_Tab,7,FALSE())),1,0))</f>
        <v>0</v>
      </c>
      <c r="Z590" s="184" t="n">
        <f aca="false">IF(ISERROR(VLOOKUP($P488,Member_Tab,5,FALSE())),0,VLOOKUP($P488,Member_Tab,5,FALSE())*IF(AND(Z$5 &gt; VLOOKUP($P488,Member_Tab,6,FALSE()),Z$5 &lt; VLOOKUP($P488,Member_Tab,7,FALSE())),1,0))</f>
        <v>0</v>
      </c>
      <c r="AA590" s="184" t="n">
        <f aca="false">IF(ISERROR(VLOOKUP($P488,Member_Tab,5,FALSE())),0,VLOOKUP($P488,Member_Tab,5,FALSE())*IF(AND(AA$5 &gt; VLOOKUP($P488,Member_Tab,6,FALSE()),AA$5 &lt; VLOOKUP($P488,Member_Tab,7,FALSE())),1,0))</f>
        <v>0</v>
      </c>
      <c r="AB590" s="184" t="n">
        <f aca="false">IF(ISERROR(VLOOKUP($P488,Member_Tab,5,FALSE())),0,VLOOKUP($P488,Member_Tab,5,FALSE())*IF(AND(AB$5 &gt; VLOOKUP($P488,Member_Tab,6,FALSE()),AB$5 &lt; VLOOKUP($P488,Member_Tab,7,FALSE())),1,0))</f>
        <v>0</v>
      </c>
      <c r="AC590" s="184" t="n">
        <f aca="false">IF(ISERROR(VLOOKUP($P488,Member_Tab,5,FALSE())),0,VLOOKUP($P488,Member_Tab,5,FALSE())*IF(AND(AC$5 &gt; VLOOKUP($P488,Member_Tab,6,FALSE()),AC$5 &lt; VLOOKUP($P488,Member_Tab,7,FALSE())),1,0))</f>
        <v>0</v>
      </c>
      <c r="AD590" s="184" t="n">
        <f aca="false">IF(ISERROR(VLOOKUP($P488,Member_Tab,5,FALSE())),0,VLOOKUP($P488,Member_Tab,5,FALSE())*IF(AND(AD$5 &gt; VLOOKUP($P488,Member_Tab,6,FALSE()),AD$5 &lt; VLOOKUP($P488,Member_Tab,7,FALSE())),1,0))</f>
        <v>0</v>
      </c>
      <c r="AE590" s="184" t="n">
        <f aca="false">IF(ISERROR(VLOOKUP($P488,Member_Tab,5,FALSE())),0,VLOOKUP($P488,Member_Tab,5,FALSE())*IF(AND(AE$5 &gt; VLOOKUP($P488,Member_Tab,6,FALSE()),AE$5 &lt; VLOOKUP($P488,Member_Tab,7,FALSE())),1,0))</f>
        <v>0</v>
      </c>
      <c r="AF590" s="184" t="n">
        <f aca="false">IF(ISERROR(VLOOKUP($P488,Member_Tab,5,FALSE())),0,VLOOKUP($P488,Member_Tab,5,FALSE())*IF(AND(AF$5 &gt; VLOOKUP($P488,Member_Tab,6,FALSE()),AF$5 &lt; VLOOKUP($P488,Member_Tab,7,FALSE())),1,0))</f>
        <v>0</v>
      </c>
      <c r="AG590" s="184" t="n">
        <f aca="false">IF(ISERROR(VLOOKUP($P488,Member_Tab,5,FALSE())),0,VLOOKUP($P488,Member_Tab,5,FALSE())*IF(AND(AG$5 &gt; VLOOKUP($P488,Member_Tab,6,FALSE()),AG$5 &lt; VLOOKUP($P488,Member_Tab,7,FALSE())),1,0))</f>
        <v>0</v>
      </c>
      <c r="AH590" s="184" t="n">
        <f aca="false">IF(ISERROR(VLOOKUP($P488,Member_Tab,5,FALSE())),0,VLOOKUP($P488,Member_Tab,5,FALSE())*IF(AND(AH$5 &gt; VLOOKUP($P488,Member_Tab,6,FALSE()),AH$5 &lt; VLOOKUP($P488,Member_Tab,7,FALSE())),1,0))</f>
        <v>0</v>
      </c>
      <c r="AI590" s="184" t="n">
        <f aca="false">IF(ISERROR(VLOOKUP($P488,Member_Tab,5,FALSE())),0,VLOOKUP($P488,Member_Tab,5,FALSE())*IF(AND(AI$5 &gt; VLOOKUP($P488,Member_Tab,6,FALSE()),AI$5 &lt; VLOOKUP($P488,Member_Tab,7,FALSE())),1,0))</f>
        <v>0</v>
      </c>
      <c r="AJ590" s="184" t="n">
        <f aca="false">IF(ISERROR(VLOOKUP($P488,Member_Tab,5,FALSE())),0,VLOOKUP($P488,Member_Tab,5,FALSE())*IF(AND(AJ$5 &gt; VLOOKUP($P488,Member_Tab,6,FALSE()),AJ$5 &lt; VLOOKUP($P488,Member_Tab,7,FALSE())),1,0))</f>
        <v>0</v>
      </c>
      <c r="AK590" s="184" t="n">
        <f aca="false">IF(ISERROR(VLOOKUP($P488,Member_Tab,5,FALSE())),0,VLOOKUP($P488,Member_Tab,5,FALSE())*IF(AND(AK$5 &gt; VLOOKUP($P488,Member_Tab,6,FALSE()),AK$5 &lt; VLOOKUP($P488,Member_Tab,7,FALSE())),1,0))</f>
        <v>0</v>
      </c>
      <c r="AL590" s="184" t="n">
        <f aca="false">IF(ISERROR(VLOOKUP($P488,Member_Tab,5,FALSE())),0,VLOOKUP($P488,Member_Tab,5,FALSE())*IF(AND(AL$5 &gt; VLOOKUP($P488,Member_Tab,6,FALSE()),AL$5 &lt; VLOOKUP($P488,Member_Tab,7,FALSE())),1,0))</f>
        <v>0</v>
      </c>
      <c r="AM590" s="184" t="n">
        <f aca="false">IF(ISERROR(VLOOKUP($P488,Member_Tab,5,FALSE())),0,VLOOKUP($P488,Member_Tab,5,FALSE())*IF(AND(AM$5 &gt; VLOOKUP($P488,Member_Tab,6,FALSE()),AM$5 &lt; VLOOKUP($P488,Member_Tab,7,FALSE())),1,0))</f>
        <v>0</v>
      </c>
      <c r="AN590" s="184" t="n">
        <f aca="false">IF(ISERROR(VLOOKUP($P488,Member_Tab,5,FALSE())),0,VLOOKUP($P488,Member_Tab,5,FALSE())*IF(AND(AN$5 &gt; VLOOKUP($P488,Member_Tab,6,FALSE()),AN$5 &lt; VLOOKUP($P488,Member_Tab,7,FALSE())),1,0))</f>
        <v>0</v>
      </c>
      <c r="AO590" s="184" t="n">
        <f aca="false">IF(ISERROR(VLOOKUP($P488,Member_Tab,5,FALSE())),0,VLOOKUP($P488,Member_Tab,5,FALSE())*IF(AND(AO$5 &gt; VLOOKUP($P488,Member_Tab,6,FALSE()),AO$5 &lt; VLOOKUP($P488,Member_Tab,7,FALSE())),1,0))</f>
        <v>0</v>
      </c>
      <c r="AP590" s="184" t="n">
        <f aca="false">IF(ISERROR(VLOOKUP($P488,Member_Tab,5,FALSE())),0,VLOOKUP($P488,Member_Tab,5,FALSE())*IF(AND(AP$5 &gt; VLOOKUP($P488,Member_Tab,6,FALSE()),AP$5 &lt; VLOOKUP($P488,Member_Tab,7,FALSE())),1,0))</f>
        <v>0</v>
      </c>
      <c r="AQ590" s="184" t="n">
        <f aca="false">IF(ISERROR(VLOOKUP($P488,Member_Tab,5,FALSE())),0,VLOOKUP($P488,Member_Tab,5,FALSE())*IF(AND(AQ$5 &gt; VLOOKUP($P488,Member_Tab,6,FALSE()),AQ$5 &lt; VLOOKUP($P488,Member_Tab,7,FALSE())),1,0))</f>
        <v>0</v>
      </c>
      <c r="AR590" s="184" t="n">
        <f aca="false">IF(ISERROR(VLOOKUP($P488,Member_Tab,5,FALSE())),0,VLOOKUP($P488,Member_Tab,5,FALSE())*IF(AND(AR$5 &gt; VLOOKUP($P488,Member_Tab,6,FALSE()),AR$5 &lt; VLOOKUP($P488,Member_Tab,7,FALSE())),1,0))</f>
        <v>0</v>
      </c>
      <c r="AS590" s="184" t="n">
        <f aca="false">IF(ISERROR(VLOOKUP($P488,Member_Tab,5,FALSE())),0,VLOOKUP($P488,Member_Tab,5,FALSE())*IF(AND(AS$5 &gt; VLOOKUP($P488,Member_Tab,6,FALSE()),AS$5 &lt; VLOOKUP($P488,Member_Tab,7,FALSE())),1,0))</f>
        <v>0</v>
      </c>
      <c r="AT590" s="184" t="n">
        <f aca="false">IF(ISERROR(VLOOKUP($P488,Member_Tab,5,FALSE())),0,VLOOKUP($P488,Member_Tab,5,FALSE())*IF(AND(AT$5 &gt; VLOOKUP($P488,Member_Tab,6,FALSE()),AT$5 &lt; VLOOKUP($P488,Member_Tab,7,FALSE())),1,0))</f>
        <v>0</v>
      </c>
      <c r="AU590" s="184" t="n">
        <f aca="false">IF(ISERROR(VLOOKUP($P488,Member_Tab,5,FALSE())),0,VLOOKUP($P488,Member_Tab,5,FALSE())*IF(AND(AU$5 &gt; VLOOKUP($P488,Member_Tab,6,FALSE()),AU$5 &lt; VLOOKUP($P488,Member_Tab,7,FALSE())),1,0))</f>
        <v>0</v>
      </c>
      <c r="AV590" s="184" t="n">
        <f aca="false">IF(ISERROR(VLOOKUP($P488,Member_Tab,5,FALSE())),0,VLOOKUP($P488,Member_Tab,5,FALSE())*IF(AND(AV$5 &gt; VLOOKUP($P488,Member_Tab,6,FALSE()),AV$5 &lt; VLOOKUP($P488,Member_Tab,7,FALSE())),1,0))</f>
        <v>0</v>
      </c>
      <c r="AW590" s="184" t="n">
        <f aca="false">IF(ISERROR(VLOOKUP($P488,Member_Tab,5,FALSE())),0,VLOOKUP($P488,Member_Tab,5,FALSE())*IF(AND(AW$5 &gt; VLOOKUP($P488,Member_Tab,6,FALSE()),AW$5 &lt; VLOOKUP($P488,Member_Tab,7,FALSE())),1,0))</f>
        <v>0</v>
      </c>
      <c r="AX590" s="184" t="n">
        <f aca="false">IF(ISERROR(VLOOKUP($P488,Member_Tab,5,FALSE())),0,VLOOKUP($P488,Member_Tab,5,FALSE())*IF(AND(AX$5 &gt; VLOOKUP($P488,Member_Tab,6,FALSE()),AX$5 &lt; VLOOKUP($P488,Member_Tab,7,FALSE())),1,0))</f>
        <v>0</v>
      </c>
      <c r="AY590" s="184" t="n">
        <f aca="false">IF(ISERROR(VLOOKUP($P488,Member_Tab,5,FALSE())),0,VLOOKUP($P488,Member_Tab,5,FALSE())*IF(AND(AY$5 &gt; VLOOKUP($P488,Member_Tab,6,FALSE()),AY$5 &lt; VLOOKUP($P488,Member_Tab,7,FALSE())),1,0))</f>
        <v>0</v>
      </c>
      <c r="AZ590" s="184" t="n">
        <f aca="false">IF(ISERROR(VLOOKUP($P488,Member_Tab,5,FALSE())),0,VLOOKUP($P488,Member_Tab,5,FALSE())*IF(AND(AZ$5 &gt; VLOOKUP($P488,Member_Tab,6,FALSE()),AZ$5 &lt; VLOOKUP($P488,Member_Tab,7,FALSE())),1,0))</f>
        <v>0</v>
      </c>
      <c r="BA590" s="184" t="n">
        <f aca="false">IF(ISERROR(VLOOKUP($P488,Member_Tab,5,FALSE())),0,VLOOKUP($P488,Member_Tab,5,FALSE())*IF(AND(BA$5 &gt; VLOOKUP($P488,Member_Tab,6,FALSE()),BA$5 &lt; VLOOKUP($P488,Member_Tab,7,FALSE())),1,0))</f>
        <v>0</v>
      </c>
      <c r="BB590" s="184" t="n">
        <f aca="false">IF(ISERROR(VLOOKUP($P488,Member_Tab,5,FALSE())),0,VLOOKUP($P488,Member_Tab,5,FALSE())*IF(AND(BB$5 &gt; VLOOKUP($P488,Member_Tab,6,FALSE()),BB$5 &lt; VLOOKUP($P488,Member_Tab,7,FALSE())),1,0))</f>
        <v>0</v>
      </c>
    </row>
    <row r="591" s="173" customFormat="true" ht="15.75" hidden="true" customHeight="false" outlineLevel="1" collapsed="false">
      <c r="E591" s="40"/>
      <c r="K591" s="40"/>
      <c r="L591" s="40"/>
      <c r="M591" s="40"/>
      <c r="N591" s="40"/>
      <c r="P591" s="183" t="n">
        <f aca="false">P489</f>
        <v>0</v>
      </c>
      <c r="Q591" s="40"/>
      <c r="R591" s="182"/>
      <c r="S591" s="184" t="n">
        <f aca="false">IF(ISERROR(VLOOKUP($P489,Member_Tab,5,FALSE())),0,VLOOKUP($P489,Member_Tab,5,FALSE())*IF(AND(S$5 &gt; VLOOKUP($P489,Member_Tab,6,FALSE()),S$5 &lt; VLOOKUP($P489,Member_Tab,7,FALSE())),1,0))</f>
        <v>0</v>
      </c>
      <c r="T591" s="184" t="n">
        <f aca="false">IF(ISERROR(VLOOKUP($P489,Member_Tab,5,FALSE())),0,VLOOKUP($P489,Member_Tab,5,FALSE())*IF(AND(T$5 &gt; VLOOKUP($P489,Member_Tab,6,FALSE()),T$5 &lt; VLOOKUP($P489,Member_Tab,7,FALSE())),1,0))</f>
        <v>0</v>
      </c>
      <c r="U591" s="184" t="n">
        <f aca="false">IF(ISERROR(VLOOKUP($P489,Member_Tab,5,FALSE())),0,VLOOKUP($P489,Member_Tab,5,FALSE())*IF(AND(U$5 &gt; VLOOKUP($P489,Member_Tab,6,FALSE()),U$5 &lt; VLOOKUP($P489,Member_Tab,7,FALSE())),1,0))</f>
        <v>0</v>
      </c>
      <c r="V591" s="184" t="n">
        <f aca="false">IF(ISERROR(VLOOKUP($P489,Member_Tab,5,FALSE())),0,VLOOKUP($P489,Member_Tab,5,FALSE())*IF(AND(V$5 &gt; VLOOKUP($P489,Member_Tab,6,FALSE()),V$5 &lt; VLOOKUP($P489,Member_Tab,7,FALSE())),1,0))</f>
        <v>0</v>
      </c>
      <c r="W591" s="184" t="n">
        <f aca="false">IF(ISERROR(VLOOKUP($P489,Member_Tab,5,FALSE())),0,VLOOKUP($P489,Member_Tab,5,FALSE())*IF(AND(W$5 &gt; VLOOKUP($P489,Member_Tab,6,FALSE()),W$5 &lt; VLOOKUP($P489,Member_Tab,7,FALSE())),1,0))</f>
        <v>0</v>
      </c>
      <c r="X591" s="184" t="n">
        <f aca="false">IF(ISERROR(VLOOKUP($P489,Member_Tab,5,FALSE())),0,VLOOKUP($P489,Member_Tab,5,FALSE())*IF(AND(X$5 &gt; VLOOKUP($P489,Member_Tab,6,FALSE()),X$5 &lt; VLOOKUP($P489,Member_Tab,7,FALSE())),1,0))</f>
        <v>0</v>
      </c>
      <c r="Y591" s="184" t="n">
        <f aca="false">IF(ISERROR(VLOOKUP($P489,Member_Tab,5,FALSE())),0,VLOOKUP($P489,Member_Tab,5,FALSE())*IF(AND(Y$5 &gt; VLOOKUP($P489,Member_Tab,6,FALSE()),Y$5 &lt; VLOOKUP($P489,Member_Tab,7,FALSE())),1,0))</f>
        <v>0</v>
      </c>
      <c r="Z591" s="184" t="n">
        <f aca="false">IF(ISERROR(VLOOKUP($P489,Member_Tab,5,FALSE())),0,VLOOKUP($P489,Member_Tab,5,FALSE())*IF(AND(Z$5 &gt; VLOOKUP($P489,Member_Tab,6,FALSE()),Z$5 &lt; VLOOKUP($P489,Member_Tab,7,FALSE())),1,0))</f>
        <v>0</v>
      </c>
      <c r="AA591" s="184" t="n">
        <f aca="false">IF(ISERROR(VLOOKUP($P489,Member_Tab,5,FALSE())),0,VLOOKUP($P489,Member_Tab,5,FALSE())*IF(AND(AA$5 &gt; VLOOKUP($P489,Member_Tab,6,FALSE()),AA$5 &lt; VLOOKUP($P489,Member_Tab,7,FALSE())),1,0))</f>
        <v>0</v>
      </c>
      <c r="AB591" s="184" t="n">
        <f aca="false">IF(ISERROR(VLOOKUP($P489,Member_Tab,5,FALSE())),0,VLOOKUP($P489,Member_Tab,5,FALSE())*IF(AND(AB$5 &gt; VLOOKUP($P489,Member_Tab,6,FALSE()),AB$5 &lt; VLOOKUP($P489,Member_Tab,7,FALSE())),1,0))</f>
        <v>0</v>
      </c>
      <c r="AC591" s="184" t="n">
        <f aca="false">IF(ISERROR(VLOOKUP($P489,Member_Tab,5,FALSE())),0,VLOOKUP($P489,Member_Tab,5,FALSE())*IF(AND(AC$5 &gt; VLOOKUP($P489,Member_Tab,6,FALSE()),AC$5 &lt; VLOOKUP($P489,Member_Tab,7,FALSE())),1,0))</f>
        <v>0</v>
      </c>
      <c r="AD591" s="184" t="n">
        <f aca="false">IF(ISERROR(VLOOKUP($P489,Member_Tab,5,FALSE())),0,VLOOKUP($P489,Member_Tab,5,FALSE())*IF(AND(AD$5 &gt; VLOOKUP($P489,Member_Tab,6,FALSE()),AD$5 &lt; VLOOKUP($P489,Member_Tab,7,FALSE())),1,0))</f>
        <v>0</v>
      </c>
      <c r="AE591" s="184" t="n">
        <f aca="false">IF(ISERROR(VLOOKUP($P489,Member_Tab,5,FALSE())),0,VLOOKUP($P489,Member_Tab,5,FALSE())*IF(AND(AE$5 &gt; VLOOKUP($P489,Member_Tab,6,FALSE()),AE$5 &lt; VLOOKUP($P489,Member_Tab,7,FALSE())),1,0))</f>
        <v>0</v>
      </c>
      <c r="AF591" s="184" t="n">
        <f aca="false">IF(ISERROR(VLOOKUP($P489,Member_Tab,5,FALSE())),0,VLOOKUP($P489,Member_Tab,5,FALSE())*IF(AND(AF$5 &gt; VLOOKUP($P489,Member_Tab,6,FALSE()),AF$5 &lt; VLOOKUP($P489,Member_Tab,7,FALSE())),1,0))</f>
        <v>0</v>
      </c>
      <c r="AG591" s="184" t="n">
        <f aca="false">IF(ISERROR(VLOOKUP($P489,Member_Tab,5,FALSE())),0,VLOOKUP($P489,Member_Tab,5,FALSE())*IF(AND(AG$5 &gt; VLOOKUP($P489,Member_Tab,6,FALSE()),AG$5 &lt; VLOOKUP($P489,Member_Tab,7,FALSE())),1,0))</f>
        <v>0</v>
      </c>
      <c r="AH591" s="184" t="n">
        <f aca="false">IF(ISERROR(VLOOKUP($P489,Member_Tab,5,FALSE())),0,VLOOKUP($P489,Member_Tab,5,FALSE())*IF(AND(AH$5 &gt; VLOOKUP($P489,Member_Tab,6,FALSE()),AH$5 &lt; VLOOKUP($P489,Member_Tab,7,FALSE())),1,0))</f>
        <v>0</v>
      </c>
      <c r="AI591" s="184" t="n">
        <f aca="false">IF(ISERROR(VLOOKUP($P489,Member_Tab,5,FALSE())),0,VLOOKUP($P489,Member_Tab,5,FALSE())*IF(AND(AI$5 &gt; VLOOKUP($P489,Member_Tab,6,FALSE()),AI$5 &lt; VLOOKUP($P489,Member_Tab,7,FALSE())),1,0))</f>
        <v>0</v>
      </c>
      <c r="AJ591" s="184" t="n">
        <f aca="false">IF(ISERROR(VLOOKUP($P489,Member_Tab,5,FALSE())),0,VLOOKUP($P489,Member_Tab,5,FALSE())*IF(AND(AJ$5 &gt; VLOOKUP($P489,Member_Tab,6,FALSE()),AJ$5 &lt; VLOOKUP($P489,Member_Tab,7,FALSE())),1,0))</f>
        <v>0</v>
      </c>
      <c r="AK591" s="184" t="n">
        <f aca="false">IF(ISERROR(VLOOKUP($P489,Member_Tab,5,FALSE())),0,VLOOKUP($P489,Member_Tab,5,FALSE())*IF(AND(AK$5 &gt; VLOOKUP($P489,Member_Tab,6,FALSE()),AK$5 &lt; VLOOKUP($P489,Member_Tab,7,FALSE())),1,0))</f>
        <v>0</v>
      </c>
      <c r="AL591" s="184" t="n">
        <f aca="false">IF(ISERROR(VLOOKUP($P489,Member_Tab,5,FALSE())),0,VLOOKUP($P489,Member_Tab,5,FALSE())*IF(AND(AL$5 &gt; VLOOKUP($P489,Member_Tab,6,FALSE()),AL$5 &lt; VLOOKUP($P489,Member_Tab,7,FALSE())),1,0))</f>
        <v>0</v>
      </c>
      <c r="AM591" s="184" t="n">
        <f aca="false">IF(ISERROR(VLOOKUP($P489,Member_Tab,5,FALSE())),0,VLOOKUP($P489,Member_Tab,5,FALSE())*IF(AND(AM$5 &gt; VLOOKUP($P489,Member_Tab,6,FALSE()),AM$5 &lt; VLOOKUP($P489,Member_Tab,7,FALSE())),1,0))</f>
        <v>0</v>
      </c>
      <c r="AN591" s="184" t="n">
        <f aca="false">IF(ISERROR(VLOOKUP($P489,Member_Tab,5,FALSE())),0,VLOOKUP($P489,Member_Tab,5,FALSE())*IF(AND(AN$5 &gt; VLOOKUP($P489,Member_Tab,6,FALSE()),AN$5 &lt; VLOOKUP($P489,Member_Tab,7,FALSE())),1,0))</f>
        <v>0</v>
      </c>
      <c r="AO591" s="184" t="n">
        <f aca="false">IF(ISERROR(VLOOKUP($P489,Member_Tab,5,FALSE())),0,VLOOKUP($P489,Member_Tab,5,FALSE())*IF(AND(AO$5 &gt; VLOOKUP($P489,Member_Tab,6,FALSE()),AO$5 &lt; VLOOKUP($P489,Member_Tab,7,FALSE())),1,0))</f>
        <v>0</v>
      </c>
      <c r="AP591" s="184" t="n">
        <f aca="false">IF(ISERROR(VLOOKUP($P489,Member_Tab,5,FALSE())),0,VLOOKUP($P489,Member_Tab,5,FALSE())*IF(AND(AP$5 &gt; VLOOKUP($P489,Member_Tab,6,FALSE()),AP$5 &lt; VLOOKUP($P489,Member_Tab,7,FALSE())),1,0))</f>
        <v>0</v>
      </c>
      <c r="AQ591" s="184" t="n">
        <f aca="false">IF(ISERROR(VLOOKUP($P489,Member_Tab,5,FALSE())),0,VLOOKUP($P489,Member_Tab,5,FALSE())*IF(AND(AQ$5 &gt; VLOOKUP($P489,Member_Tab,6,FALSE()),AQ$5 &lt; VLOOKUP($P489,Member_Tab,7,FALSE())),1,0))</f>
        <v>0</v>
      </c>
      <c r="AR591" s="184" t="n">
        <f aca="false">IF(ISERROR(VLOOKUP($P489,Member_Tab,5,FALSE())),0,VLOOKUP($P489,Member_Tab,5,FALSE())*IF(AND(AR$5 &gt; VLOOKUP($P489,Member_Tab,6,FALSE()),AR$5 &lt; VLOOKUP($P489,Member_Tab,7,FALSE())),1,0))</f>
        <v>0</v>
      </c>
      <c r="AS591" s="184" t="n">
        <f aca="false">IF(ISERROR(VLOOKUP($P489,Member_Tab,5,FALSE())),0,VLOOKUP($P489,Member_Tab,5,FALSE())*IF(AND(AS$5 &gt; VLOOKUP($P489,Member_Tab,6,FALSE()),AS$5 &lt; VLOOKUP($P489,Member_Tab,7,FALSE())),1,0))</f>
        <v>0</v>
      </c>
      <c r="AT591" s="184" t="n">
        <f aca="false">IF(ISERROR(VLOOKUP($P489,Member_Tab,5,FALSE())),0,VLOOKUP($P489,Member_Tab,5,FALSE())*IF(AND(AT$5 &gt; VLOOKUP($P489,Member_Tab,6,FALSE()),AT$5 &lt; VLOOKUP($P489,Member_Tab,7,FALSE())),1,0))</f>
        <v>0</v>
      </c>
      <c r="AU591" s="184" t="n">
        <f aca="false">IF(ISERROR(VLOOKUP($P489,Member_Tab,5,FALSE())),0,VLOOKUP($P489,Member_Tab,5,FALSE())*IF(AND(AU$5 &gt; VLOOKUP($P489,Member_Tab,6,FALSE()),AU$5 &lt; VLOOKUP($P489,Member_Tab,7,FALSE())),1,0))</f>
        <v>0</v>
      </c>
      <c r="AV591" s="184" t="n">
        <f aca="false">IF(ISERROR(VLOOKUP($P489,Member_Tab,5,FALSE())),0,VLOOKUP($P489,Member_Tab,5,FALSE())*IF(AND(AV$5 &gt; VLOOKUP($P489,Member_Tab,6,FALSE()),AV$5 &lt; VLOOKUP($P489,Member_Tab,7,FALSE())),1,0))</f>
        <v>0</v>
      </c>
      <c r="AW591" s="184" t="n">
        <f aca="false">IF(ISERROR(VLOOKUP($P489,Member_Tab,5,FALSE())),0,VLOOKUP($P489,Member_Tab,5,FALSE())*IF(AND(AW$5 &gt; VLOOKUP($P489,Member_Tab,6,FALSE()),AW$5 &lt; VLOOKUP($P489,Member_Tab,7,FALSE())),1,0))</f>
        <v>0</v>
      </c>
      <c r="AX591" s="184" t="n">
        <f aca="false">IF(ISERROR(VLOOKUP($P489,Member_Tab,5,FALSE())),0,VLOOKUP($P489,Member_Tab,5,FALSE())*IF(AND(AX$5 &gt; VLOOKUP($P489,Member_Tab,6,FALSE()),AX$5 &lt; VLOOKUP($P489,Member_Tab,7,FALSE())),1,0))</f>
        <v>0</v>
      </c>
      <c r="AY591" s="184" t="n">
        <f aca="false">IF(ISERROR(VLOOKUP($P489,Member_Tab,5,FALSE())),0,VLOOKUP($P489,Member_Tab,5,FALSE())*IF(AND(AY$5 &gt; VLOOKUP($P489,Member_Tab,6,FALSE()),AY$5 &lt; VLOOKUP($P489,Member_Tab,7,FALSE())),1,0))</f>
        <v>0</v>
      </c>
      <c r="AZ591" s="184" t="n">
        <f aca="false">IF(ISERROR(VLOOKUP($P489,Member_Tab,5,FALSE())),0,VLOOKUP($P489,Member_Tab,5,FALSE())*IF(AND(AZ$5 &gt; VLOOKUP($P489,Member_Tab,6,FALSE()),AZ$5 &lt; VLOOKUP($P489,Member_Tab,7,FALSE())),1,0))</f>
        <v>0</v>
      </c>
      <c r="BA591" s="184" t="n">
        <f aca="false">IF(ISERROR(VLOOKUP($P489,Member_Tab,5,FALSE())),0,VLOOKUP($P489,Member_Tab,5,FALSE())*IF(AND(BA$5 &gt; VLOOKUP($P489,Member_Tab,6,FALSE()),BA$5 &lt; VLOOKUP($P489,Member_Tab,7,FALSE())),1,0))</f>
        <v>0</v>
      </c>
      <c r="BB591" s="184" t="n">
        <f aca="false">IF(ISERROR(VLOOKUP($P489,Member_Tab,5,FALSE())),0,VLOOKUP($P489,Member_Tab,5,FALSE())*IF(AND(BB$5 &gt; VLOOKUP($P489,Member_Tab,6,FALSE()),BB$5 &lt; VLOOKUP($P489,Member_Tab,7,FALSE())),1,0))</f>
        <v>0</v>
      </c>
    </row>
    <row r="592" s="173" customFormat="true" ht="15.75" hidden="true" customHeight="false" outlineLevel="1" collapsed="false">
      <c r="E592" s="40"/>
      <c r="K592" s="40"/>
      <c r="L592" s="40"/>
      <c r="M592" s="40"/>
      <c r="N592" s="40"/>
      <c r="P592" s="183" t="n">
        <f aca="false">P490</f>
        <v>0</v>
      </c>
      <c r="Q592" s="40"/>
      <c r="R592" s="182"/>
      <c r="S592" s="184" t="n">
        <f aca="false">IF(ISERROR(VLOOKUP($P490,Member_Tab,5,FALSE())),0,VLOOKUP($P490,Member_Tab,5,FALSE())*IF(AND(S$5 &gt; VLOOKUP($P490,Member_Tab,6,FALSE()),S$5 &lt; VLOOKUP($P490,Member_Tab,7,FALSE())),1,0))</f>
        <v>0</v>
      </c>
      <c r="T592" s="184" t="n">
        <f aca="false">IF(ISERROR(VLOOKUP($P490,Member_Tab,5,FALSE())),0,VLOOKUP($P490,Member_Tab,5,FALSE())*IF(AND(T$5 &gt; VLOOKUP($P490,Member_Tab,6,FALSE()),T$5 &lt; VLOOKUP($P490,Member_Tab,7,FALSE())),1,0))</f>
        <v>0</v>
      </c>
      <c r="U592" s="184" t="n">
        <f aca="false">IF(ISERROR(VLOOKUP($P490,Member_Tab,5,FALSE())),0,VLOOKUP($P490,Member_Tab,5,FALSE())*IF(AND(U$5 &gt; VLOOKUP($P490,Member_Tab,6,FALSE()),U$5 &lt; VLOOKUP($P490,Member_Tab,7,FALSE())),1,0))</f>
        <v>0</v>
      </c>
      <c r="V592" s="184" t="n">
        <f aca="false">IF(ISERROR(VLOOKUP($P490,Member_Tab,5,FALSE())),0,VLOOKUP($P490,Member_Tab,5,FALSE())*IF(AND(V$5 &gt; VLOOKUP($P490,Member_Tab,6,FALSE()),V$5 &lt; VLOOKUP($P490,Member_Tab,7,FALSE())),1,0))</f>
        <v>0</v>
      </c>
      <c r="W592" s="184" t="n">
        <f aca="false">IF(ISERROR(VLOOKUP($P490,Member_Tab,5,FALSE())),0,VLOOKUP($P490,Member_Tab,5,FALSE())*IF(AND(W$5 &gt; VLOOKUP($P490,Member_Tab,6,FALSE()),W$5 &lt; VLOOKUP($P490,Member_Tab,7,FALSE())),1,0))</f>
        <v>0</v>
      </c>
      <c r="X592" s="184" t="n">
        <f aca="false">IF(ISERROR(VLOOKUP($P490,Member_Tab,5,FALSE())),0,VLOOKUP($P490,Member_Tab,5,FALSE())*IF(AND(X$5 &gt; VLOOKUP($P490,Member_Tab,6,FALSE()),X$5 &lt; VLOOKUP($P490,Member_Tab,7,FALSE())),1,0))</f>
        <v>0</v>
      </c>
      <c r="Y592" s="184" t="n">
        <f aca="false">IF(ISERROR(VLOOKUP($P490,Member_Tab,5,FALSE())),0,VLOOKUP($P490,Member_Tab,5,FALSE())*IF(AND(Y$5 &gt; VLOOKUP($P490,Member_Tab,6,FALSE()),Y$5 &lt; VLOOKUP($P490,Member_Tab,7,FALSE())),1,0))</f>
        <v>0</v>
      </c>
      <c r="Z592" s="184" t="n">
        <f aca="false">IF(ISERROR(VLOOKUP($P490,Member_Tab,5,FALSE())),0,VLOOKUP($P490,Member_Tab,5,FALSE())*IF(AND(Z$5 &gt; VLOOKUP($P490,Member_Tab,6,FALSE()),Z$5 &lt; VLOOKUP($P490,Member_Tab,7,FALSE())),1,0))</f>
        <v>0</v>
      </c>
      <c r="AA592" s="184" t="n">
        <f aca="false">IF(ISERROR(VLOOKUP($P490,Member_Tab,5,FALSE())),0,VLOOKUP($P490,Member_Tab,5,FALSE())*IF(AND(AA$5 &gt; VLOOKUP($P490,Member_Tab,6,FALSE()),AA$5 &lt; VLOOKUP($P490,Member_Tab,7,FALSE())),1,0))</f>
        <v>0</v>
      </c>
      <c r="AB592" s="184" t="n">
        <f aca="false">IF(ISERROR(VLOOKUP($P490,Member_Tab,5,FALSE())),0,VLOOKUP($P490,Member_Tab,5,FALSE())*IF(AND(AB$5 &gt; VLOOKUP($P490,Member_Tab,6,FALSE()),AB$5 &lt; VLOOKUP($P490,Member_Tab,7,FALSE())),1,0))</f>
        <v>0</v>
      </c>
      <c r="AC592" s="184" t="n">
        <f aca="false">IF(ISERROR(VLOOKUP($P490,Member_Tab,5,FALSE())),0,VLOOKUP($P490,Member_Tab,5,FALSE())*IF(AND(AC$5 &gt; VLOOKUP($P490,Member_Tab,6,FALSE()),AC$5 &lt; VLOOKUP($P490,Member_Tab,7,FALSE())),1,0))</f>
        <v>0</v>
      </c>
      <c r="AD592" s="184" t="n">
        <f aca="false">IF(ISERROR(VLOOKUP($P490,Member_Tab,5,FALSE())),0,VLOOKUP($P490,Member_Tab,5,FALSE())*IF(AND(AD$5 &gt; VLOOKUP($P490,Member_Tab,6,FALSE()),AD$5 &lt; VLOOKUP($P490,Member_Tab,7,FALSE())),1,0))</f>
        <v>0</v>
      </c>
      <c r="AE592" s="184" t="n">
        <f aca="false">IF(ISERROR(VLOOKUP($P490,Member_Tab,5,FALSE())),0,VLOOKUP($P490,Member_Tab,5,FALSE())*IF(AND(AE$5 &gt; VLOOKUP($P490,Member_Tab,6,FALSE()),AE$5 &lt; VLOOKUP($P490,Member_Tab,7,FALSE())),1,0))</f>
        <v>0</v>
      </c>
      <c r="AF592" s="184" t="n">
        <f aca="false">IF(ISERROR(VLOOKUP($P490,Member_Tab,5,FALSE())),0,VLOOKUP($P490,Member_Tab,5,FALSE())*IF(AND(AF$5 &gt; VLOOKUP($P490,Member_Tab,6,FALSE()),AF$5 &lt; VLOOKUP($P490,Member_Tab,7,FALSE())),1,0))</f>
        <v>0</v>
      </c>
      <c r="AG592" s="184" t="n">
        <f aca="false">IF(ISERROR(VLOOKUP($P490,Member_Tab,5,FALSE())),0,VLOOKUP($P490,Member_Tab,5,FALSE())*IF(AND(AG$5 &gt; VLOOKUP($P490,Member_Tab,6,FALSE()),AG$5 &lt; VLOOKUP($P490,Member_Tab,7,FALSE())),1,0))</f>
        <v>0</v>
      </c>
      <c r="AH592" s="184" t="n">
        <f aca="false">IF(ISERROR(VLOOKUP($P490,Member_Tab,5,FALSE())),0,VLOOKUP($P490,Member_Tab,5,FALSE())*IF(AND(AH$5 &gt; VLOOKUP($P490,Member_Tab,6,FALSE()),AH$5 &lt; VLOOKUP($P490,Member_Tab,7,FALSE())),1,0))</f>
        <v>0</v>
      </c>
      <c r="AI592" s="184" t="n">
        <f aca="false">IF(ISERROR(VLOOKUP($P490,Member_Tab,5,FALSE())),0,VLOOKUP($P490,Member_Tab,5,FALSE())*IF(AND(AI$5 &gt; VLOOKUP($P490,Member_Tab,6,FALSE()),AI$5 &lt; VLOOKUP($P490,Member_Tab,7,FALSE())),1,0))</f>
        <v>0</v>
      </c>
      <c r="AJ592" s="184" t="n">
        <f aca="false">IF(ISERROR(VLOOKUP($P490,Member_Tab,5,FALSE())),0,VLOOKUP($P490,Member_Tab,5,FALSE())*IF(AND(AJ$5 &gt; VLOOKUP($P490,Member_Tab,6,FALSE()),AJ$5 &lt; VLOOKUP($P490,Member_Tab,7,FALSE())),1,0))</f>
        <v>0</v>
      </c>
      <c r="AK592" s="184" t="n">
        <f aca="false">IF(ISERROR(VLOOKUP($P490,Member_Tab,5,FALSE())),0,VLOOKUP($P490,Member_Tab,5,FALSE())*IF(AND(AK$5 &gt; VLOOKUP($P490,Member_Tab,6,FALSE()),AK$5 &lt; VLOOKUP($P490,Member_Tab,7,FALSE())),1,0))</f>
        <v>0</v>
      </c>
      <c r="AL592" s="184" t="n">
        <f aca="false">IF(ISERROR(VLOOKUP($P490,Member_Tab,5,FALSE())),0,VLOOKUP($P490,Member_Tab,5,FALSE())*IF(AND(AL$5 &gt; VLOOKUP($P490,Member_Tab,6,FALSE()),AL$5 &lt; VLOOKUP($P490,Member_Tab,7,FALSE())),1,0))</f>
        <v>0</v>
      </c>
      <c r="AM592" s="184" t="n">
        <f aca="false">IF(ISERROR(VLOOKUP($P490,Member_Tab,5,FALSE())),0,VLOOKUP($P490,Member_Tab,5,FALSE())*IF(AND(AM$5 &gt; VLOOKUP($P490,Member_Tab,6,FALSE()),AM$5 &lt; VLOOKUP($P490,Member_Tab,7,FALSE())),1,0))</f>
        <v>0</v>
      </c>
      <c r="AN592" s="184" t="n">
        <f aca="false">IF(ISERROR(VLOOKUP($P490,Member_Tab,5,FALSE())),0,VLOOKUP($P490,Member_Tab,5,FALSE())*IF(AND(AN$5 &gt; VLOOKUP($P490,Member_Tab,6,FALSE()),AN$5 &lt; VLOOKUP($P490,Member_Tab,7,FALSE())),1,0))</f>
        <v>0</v>
      </c>
      <c r="AO592" s="184" t="n">
        <f aca="false">IF(ISERROR(VLOOKUP($P490,Member_Tab,5,FALSE())),0,VLOOKUP($P490,Member_Tab,5,FALSE())*IF(AND(AO$5 &gt; VLOOKUP($P490,Member_Tab,6,FALSE()),AO$5 &lt; VLOOKUP($P490,Member_Tab,7,FALSE())),1,0))</f>
        <v>0</v>
      </c>
      <c r="AP592" s="184" t="n">
        <f aca="false">IF(ISERROR(VLOOKUP($P490,Member_Tab,5,FALSE())),0,VLOOKUP($P490,Member_Tab,5,FALSE())*IF(AND(AP$5 &gt; VLOOKUP($P490,Member_Tab,6,FALSE()),AP$5 &lt; VLOOKUP($P490,Member_Tab,7,FALSE())),1,0))</f>
        <v>0</v>
      </c>
      <c r="AQ592" s="184" t="n">
        <f aca="false">IF(ISERROR(VLOOKUP($P490,Member_Tab,5,FALSE())),0,VLOOKUP($P490,Member_Tab,5,FALSE())*IF(AND(AQ$5 &gt; VLOOKUP($P490,Member_Tab,6,FALSE()),AQ$5 &lt; VLOOKUP($P490,Member_Tab,7,FALSE())),1,0))</f>
        <v>0</v>
      </c>
      <c r="AR592" s="184" t="n">
        <f aca="false">IF(ISERROR(VLOOKUP($P490,Member_Tab,5,FALSE())),0,VLOOKUP($P490,Member_Tab,5,FALSE())*IF(AND(AR$5 &gt; VLOOKUP($P490,Member_Tab,6,FALSE()),AR$5 &lt; VLOOKUP($P490,Member_Tab,7,FALSE())),1,0))</f>
        <v>0</v>
      </c>
      <c r="AS592" s="184" t="n">
        <f aca="false">IF(ISERROR(VLOOKUP($P490,Member_Tab,5,FALSE())),0,VLOOKUP($P490,Member_Tab,5,FALSE())*IF(AND(AS$5 &gt; VLOOKUP($P490,Member_Tab,6,FALSE()),AS$5 &lt; VLOOKUP($P490,Member_Tab,7,FALSE())),1,0))</f>
        <v>0</v>
      </c>
      <c r="AT592" s="184" t="n">
        <f aca="false">IF(ISERROR(VLOOKUP($P490,Member_Tab,5,FALSE())),0,VLOOKUP($P490,Member_Tab,5,FALSE())*IF(AND(AT$5 &gt; VLOOKUP($P490,Member_Tab,6,FALSE()),AT$5 &lt; VLOOKUP($P490,Member_Tab,7,FALSE())),1,0))</f>
        <v>0</v>
      </c>
      <c r="AU592" s="184" t="n">
        <f aca="false">IF(ISERROR(VLOOKUP($P490,Member_Tab,5,FALSE())),0,VLOOKUP($P490,Member_Tab,5,FALSE())*IF(AND(AU$5 &gt; VLOOKUP($P490,Member_Tab,6,FALSE()),AU$5 &lt; VLOOKUP($P490,Member_Tab,7,FALSE())),1,0))</f>
        <v>0</v>
      </c>
      <c r="AV592" s="184" t="n">
        <f aca="false">IF(ISERROR(VLOOKUP($P490,Member_Tab,5,FALSE())),0,VLOOKUP($P490,Member_Tab,5,FALSE())*IF(AND(AV$5 &gt; VLOOKUP($P490,Member_Tab,6,FALSE()),AV$5 &lt; VLOOKUP($P490,Member_Tab,7,FALSE())),1,0))</f>
        <v>0</v>
      </c>
      <c r="AW592" s="184" t="n">
        <f aca="false">IF(ISERROR(VLOOKUP($P490,Member_Tab,5,FALSE())),0,VLOOKUP($P490,Member_Tab,5,FALSE())*IF(AND(AW$5 &gt; VLOOKUP($P490,Member_Tab,6,FALSE()),AW$5 &lt; VLOOKUP($P490,Member_Tab,7,FALSE())),1,0))</f>
        <v>0</v>
      </c>
      <c r="AX592" s="184" t="n">
        <f aca="false">IF(ISERROR(VLOOKUP($P490,Member_Tab,5,FALSE())),0,VLOOKUP($P490,Member_Tab,5,FALSE())*IF(AND(AX$5 &gt; VLOOKUP($P490,Member_Tab,6,FALSE()),AX$5 &lt; VLOOKUP($P490,Member_Tab,7,FALSE())),1,0))</f>
        <v>0</v>
      </c>
      <c r="AY592" s="184" t="n">
        <f aca="false">IF(ISERROR(VLOOKUP($P490,Member_Tab,5,FALSE())),0,VLOOKUP($P490,Member_Tab,5,FALSE())*IF(AND(AY$5 &gt; VLOOKUP($P490,Member_Tab,6,FALSE()),AY$5 &lt; VLOOKUP($P490,Member_Tab,7,FALSE())),1,0))</f>
        <v>0</v>
      </c>
      <c r="AZ592" s="184" t="n">
        <f aca="false">IF(ISERROR(VLOOKUP($P490,Member_Tab,5,FALSE())),0,VLOOKUP($P490,Member_Tab,5,FALSE())*IF(AND(AZ$5 &gt; VLOOKUP($P490,Member_Tab,6,FALSE()),AZ$5 &lt; VLOOKUP($P490,Member_Tab,7,FALSE())),1,0))</f>
        <v>0</v>
      </c>
      <c r="BA592" s="184" t="n">
        <f aca="false">IF(ISERROR(VLOOKUP($P490,Member_Tab,5,FALSE())),0,VLOOKUP($P490,Member_Tab,5,FALSE())*IF(AND(BA$5 &gt; VLOOKUP($P490,Member_Tab,6,FALSE()),BA$5 &lt; VLOOKUP($P490,Member_Tab,7,FALSE())),1,0))</f>
        <v>0</v>
      </c>
      <c r="BB592" s="184" t="n">
        <f aca="false">IF(ISERROR(VLOOKUP($P490,Member_Tab,5,FALSE())),0,VLOOKUP($P490,Member_Tab,5,FALSE())*IF(AND(BB$5 &gt; VLOOKUP($P490,Member_Tab,6,FALSE()),BB$5 &lt; VLOOKUP($P490,Member_Tab,7,FALSE())),1,0))</f>
        <v>0</v>
      </c>
    </row>
    <row r="593" s="173" customFormat="true" ht="15.75" hidden="false" customHeight="false" outlineLevel="0" collapsed="false">
      <c r="E593" s="40"/>
      <c r="K593" s="40"/>
      <c r="L593" s="40"/>
      <c r="M593" s="40"/>
      <c r="N593" s="40"/>
      <c r="P593" s="185" t="s">
        <v>233</v>
      </c>
      <c r="Q593" s="40"/>
      <c r="R593" s="182"/>
      <c r="S593" s="186" t="n">
        <f aca="false">SUM(S493:S592)</f>
        <v>1</v>
      </c>
      <c r="T593" s="186" t="n">
        <f aca="false">SUM(T493:T592)</f>
        <v>1</v>
      </c>
      <c r="U593" s="186" t="n">
        <f aca="false">SUM(U493:U592)</f>
        <v>1</v>
      </c>
      <c r="V593" s="186" t="n">
        <f aca="false">SUM(V493:V592)</f>
        <v>1</v>
      </c>
      <c r="W593" s="186" t="n">
        <f aca="false">SUM(W493:W592)</f>
        <v>1</v>
      </c>
      <c r="X593" s="186" t="n">
        <f aca="false">SUM(X493:X592)</f>
        <v>1</v>
      </c>
      <c r="Y593" s="186" t="n">
        <f aca="false">SUM(Y493:Y592)</f>
        <v>1</v>
      </c>
      <c r="Z593" s="186" t="n">
        <f aca="false">SUM(Z493:Z592)</f>
        <v>1</v>
      </c>
      <c r="AA593" s="186" t="n">
        <f aca="false">SUM(AA493:AA592)</f>
        <v>1</v>
      </c>
      <c r="AB593" s="186" t="n">
        <f aca="false">SUM(AB493:AB592)</f>
        <v>1</v>
      </c>
      <c r="AC593" s="186" t="n">
        <f aca="false">SUM(AC493:AC592)</f>
        <v>1</v>
      </c>
      <c r="AD593" s="186" t="n">
        <f aca="false">SUM(AD493:AD592)</f>
        <v>1</v>
      </c>
      <c r="AE593" s="186" t="n">
        <f aca="false">SUM(AE493:AE592)</f>
        <v>1</v>
      </c>
      <c r="AF593" s="186" t="n">
        <f aca="false">SUM(AF493:AF592)</f>
        <v>1</v>
      </c>
      <c r="AG593" s="186" t="n">
        <f aca="false">SUM(AG493:AG592)</f>
        <v>1</v>
      </c>
      <c r="AH593" s="186" t="n">
        <f aca="false">SUM(AH493:AH592)</f>
        <v>1</v>
      </c>
      <c r="AI593" s="186" t="n">
        <f aca="false">SUM(AI493:AI592)</f>
        <v>1</v>
      </c>
      <c r="AJ593" s="186" t="n">
        <f aca="false">SUM(AJ493:AJ592)</f>
        <v>1</v>
      </c>
      <c r="AK593" s="186" t="n">
        <f aca="false">SUM(AK493:AK592)</f>
        <v>1</v>
      </c>
      <c r="AL593" s="186" t="n">
        <f aca="false">SUM(AL493:AL592)</f>
        <v>1</v>
      </c>
      <c r="AM593" s="186" t="n">
        <f aca="false">SUM(AM493:AM592)</f>
        <v>1</v>
      </c>
      <c r="AN593" s="186" t="n">
        <f aca="false">SUM(AN493:AN592)</f>
        <v>1</v>
      </c>
      <c r="AO593" s="186" t="n">
        <f aca="false">SUM(AO493:AO592)</f>
        <v>1</v>
      </c>
      <c r="AP593" s="186" t="n">
        <f aca="false">SUM(AP493:AP592)</f>
        <v>1</v>
      </c>
      <c r="AQ593" s="186" t="n">
        <f aca="false">SUM(AQ493:AQ592)</f>
        <v>1</v>
      </c>
      <c r="AR593" s="186" t="n">
        <f aca="false">SUM(AR493:AR592)</f>
        <v>1</v>
      </c>
      <c r="AS593" s="186" t="n">
        <f aca="false">SUM(AS493:AS592)</f>
        <v>1</v>
      </c>
      <c r="AT593" s="186" t="n">
        <f aca="false">SUM(AT493:AT592)</f>
        <v>1</v>
      </c>
      <c r="AU593" s="186" t="n">
        <f aca="false">SUM(AU493:AU592)</f>
        <v>1</v>
      </c>
      <c r="AV593" s="186" t="n">
        <f aca="false">SUM(AV493:AV592)</f>
        <v>1</v>
      </c>
      <c r="AW593" s="186" t="n">
        <f aca="false">SUM(AW493:AW592)</f>
        <v>1</v>
      </c>
      <c r="AX593" s="186" t="n">
        <f aca="false">SUM(AX493:AX592)</f>
        <v>1</v>
      </c>
      <c r="AY593" s="186" t="n">
        <f aca="false">SUM(AY493:AY592)</f>
        <v>1</v>
      </c>
      <c r="AZ593" s="186" t="n">
        <f aca="false">SUM(AZ493:AZ592)</f>
        <v>1</v>
      </c>
      <c r="BA593" s="186" t="n">
        <f aca="false">SUM(BA493:BA592)</f>
        <v>1</v>
      </c>
      <c r="BB593" s="186" t="n">
        <f aca="false">SUM(BB493:BB592)</f>
        <v>1</v>
      </c>
    </row>
    <row r="594" s="173" customFormat="true" ht="15" hidden="false" customHeight="false" outlineLevel="0" collapsed="false">
      <c r="B594" s="187"/>
      <c r="E594" s="40"/>
      <c r="K594" s="40"/>
      <c r="L594" s="40"/>
      <c r="M594" s="40"/>
      <c r="N594" s="40"/>
      <c r="Q594" s="40"/>
    </row>
    <row r="595" s="173" customFormat="true" ht="15.75" hidden="false" customHeight="false" outlineLevel="0" collapsed="false">
      <c r="E595" s="40"/>
      <c r="K595" s="40"/>
      <c r="L595" s="40"/>
      <c r="M595" s="40"/>
      <c r="N595" s="40"/>
      <c r="P595" s="174" t="s">
        <v>171</v>
      </c>
      <c r="Q595" s="40"/>
      <c r="R595" s="175"/>
      <c r="S595" s="176" t="str">
        <f aca="false">S48</f>
        <v>1 / 23</v>
      </c>
      <c r="T595" s="176" t="str">
        <f aca="false">T48</f>
        <v>2 / 23</v>
      </c>
      <c r="U595" s="176" t="str">
        <f aca="false">U48</f>
        <v>3 / 23</v>
      </c>
      <c r="V595" s="176" t="str">
        <f aca="false">V48</f>
        <v>4 / 23</v>
      </c>
      <c r="W595" s="176" t="str">
        <f aca="false">W48</f>
        <v>5 / 23</v>
      </c>
      <c r="X595" s="176" t="str">
        <f aca="false">X48</f>
        <v>6 / 23</v>
      </c>
      <c r="Y595" s="176" t="str">
        <f aca="false">Y48</f>
        <v>7 / 23</v>
      </c>
      <c r="Z595" s="176" t="str">
        <f aca="false">Z48</f>
        <v>8 / 23</v>
      </c>
      <c r="AA595" s="176" t="str">
        <f aca="false">AA48</f>
        <v>9 / 23</v>
      </c>
      <c r="AB595" s="176" t="str">
        <f aca="false">AB48</f>
        <v>10 / 23</v>
      </c>
      <c r="AC595" s="176" t="str">
        <f aca="false">AC48</f>
        <v>11 / 23</v>
      </c>
      <c r="AD595" s="176" t="str">
        <f aca="false">AD48</f>
        <v>12 / 23</v>
      </c>
      <c r="AE595" s="176" t="str">
        <f aca="false">AE48</f>
        <v>1 / 24</v>
      </c>
      <c r="AF595" s="176" t="str">
        <f aca="false">AF48</f>
        <v>2 / 24</v>
      </c>
      <c r="AG595" s="176" t="str">
        <f aca="false">AG48</f>
        <v>3 / 24</v>
      </c>
      <c r="AH595" s="176" t="str">
        <f aca="false">AH48</f>
        <v>4 / 24</v>
      </c>
      <c r="AI595" s="176" t="str">
        <f aca="false">AI48</f>
        <v>5 / 24</v>
      </c>
      <c r="AJ595" s="176" t="str">
        <f aca="false">AJ48</f>
        <v>6 / 24</v>
      </c>
      <c r="AK595" s="176" t="str">
        <f aca="false">AK48</f>
        <v>7 / 24</v>
      </c>
      <c r="AL595" s="176" t="str">
        <f aca="false">AL48</f>
        <v>8 / 24</v>
      </c>
      <c r="AM595" s="176" t="str">
        <f aca="false">AM48</f>
        <v>9 / 24</v>
      </c>
      <c r="AN595" s="176" t="str">
        <f aca="false">AN48</f>
        <v>10 / 24</v>
      </c>
      <c r="AO595" s="176" t="str">
        <f aca="false">AO48</f>
        <v>11 / 24</v>
      </c>
      <c r="AP595" s="176" t="str">
        <f aca="false">AP48</f>
        <v>12 / 24</v>
      </c>
      <c r="AQ595" s="176" t="str">
        <f aca="false">AQ48</f>
        <v>1 / 25</v>
      </c>
      <c r="AR595" s="176" t="str">
        <f aca="false">AR48</f>
        <v>2 / 25</v>
      </c>
      <c r="AS595" s="176" t="str">
        <f aca="false">AS48</f>
        <v>3 / 25</v>
      </c>
      <c r="AT595" s="176" t="str">
        <f aca="false">AT48</f>
        <v>4 / 25</v>
      </c>
      <c r="AU595" s="176" t="str">
        <f aca="false">AU48</f>
        <v>5 / 25</v>
      </c>
      <c r="AV595" s="176" t="str">
        <f aca="false">AV48</f>
        <v>6 / 25</v>
      </c>
      <c r="AW595" s="176" t="str">
        <f aca="false">AW48</f>
        <v>7 / 25</v>
      </c>
      <c r="AX595" s="176" t="str">
        <f aca="false">AX48</f>
        <v>8 / 25</v>
      </c>
      <c r="AY595" s="176" t="str">
        <f aca="false">AY48</f>
        <v>9 / 25</v>
      </c>
      <c r="AZ595" s="176" t="str">
        <f aca="false">AZ48</f>
        <v>10 / 25</v>
      </c>
      <c r="BA595" s="176" t="str">
        <f aca="false">BA48</f>
        <v>11 / 25</v>
      </c>
      <c r="BB595" s="176" t="str">
        <f aca="false">BB48</f>
        <v>12 / 25</v>
      </c>
    </row>
    <row r="596" s="173" customFormat="true" ht="15" hidden="true" customHeight="false" outlineLevel="1" collapsed="false">
      <c r="E596" s="40"/>
      <c r="K596" s="40"/>
      <c r="L596" s="40"/>
      <c r="M596" s="40"/>
      <c r="N596" s="40"/>
      <c r="P596" s="177" t="str">
        <f aca="false">P254</f>
        <v>Lastname1, Firstname1 (ext.)</v>
      </c>
      <c r="Q596" s="40"/>
      <c r="R596" s="178"/>
      <c r="S596" s="166" t="n">
        <f aca="false">IF(S391=0,0,(SUMIF(Resource_Planning!$P$49:$P$356,$P596,Resource_Planning!S$49:S$356))/S391-1)</f>
        <v>0</v>
      </c>
      <c r="T596" s="166" t="n">
        <f aca="false">IF(T391=0,0,(SUMIF(Resource_Planning!$P$49:$P$356,$P596,Resource_Planning!T$49:T$356))/T391-1)</f>
        <v>0</v>
      </c>
      <c r="U596" s="166" t="n">
        <f aca="false">IF(U391=0,0,(SUMIF(Resource_Planning!$P$49:$P$356,$P596,Resource_Planning!U$49:U$356))/U391-1)</f>
        <v>0</v>
      </c>
      <c r="V596" s="166" t="n">
        <f aca="false">IF(V391=0,0,(SUMIF(Resource_Planning!$P$49:$P$356,$P596,Resource_Planning!V$49:V$356))/V391-1)</f>
        <v>0</v>
      </c>
      <c r="W596" s="166" t="n">
        <f aca="false">IF(W391=0,0,(SUMIF(Resource_Planning!$P$49:$P$356,$P596,Resource_Planning!W$49:W$356))/W391-1)</f>
        <v>0</v>
      </c>
      <c r="X596" s="166" t="n">
        <f aca="false">IF(X391=0,0,(SUMIF(Resource_Planning!$P$49:$P$356,$P596,Resource_Planning!X$49:X$356))/X391-1)</f>
        <v>0</v>
      </c>
      <c r="Y596" s="166" t="n">
        <f aca="false">IF(Y391=0,0,(SUMIF(Resource_Planning!$P$49:$P$356,$P596,Resource_Planning!Y$49:Y$356))/Y391-1)</f>
        <v>0</v>
      </c>
      <c r="Z596" s="166" t="n">
        <f aca="false">IF(Z391=0,0,(SUMIF(Resource_Planning!$P$49:$P$356,$P596,Resource_Planning!Z$49:Z$356))/Z391-1)</f>
        <v>0</v>
      </c>
      <c r="AA596" s="166" t="n">
        <f aca="false">IF(AA391=0,0,(SUMIF(Resource_Planning!$P$49:$P$356,$P596,Resource_Planning!AA$49:AA$356))/AA391-1)</f>
        <v>0</v>
      </c>
      <c r="AB596" s="166" t="n">
        <f aca="false">IF(AB391=0,0,(SUMIF(Resource_Planning!$P$49:$P$356,$P596,Resource_Planning!AB$49:AB$356))/AB391-1)</f>
        <v>0</v>
      </c>
      <c r="AC596" s="166" t="n">
        <f aca="false">IF(AC391=0,0,(SUMIF(Resource_Planning!$P$49:$P$356,$P596,Resource_Planning!AC$49:AC$356))/AC391-1)</f>
        <v>0</v>
      </c>
      <c r="AD596" s="166" t="n">
        <f aca="false">IF(AD391=0,0,(SUMIF(Resource_Planning!$P$49:$P$356,$P596,Resource_Planning!AD$49:AD$356))/AD391-1)</f>
        <v>0</v>
      </c>
      <c r="AE596" s="166" t="n">
        <f aca="false">IF(AE391=0,0,(SUMIF(Resource_Planning!$P$49:$P$356,$P596,Resource_Planning!AE$49:AE$356))/AE391-1)</f>
        <v>0</v>
      </c>
      <c r="AF596" s="166" t="n">
        <f aca="false">IF(AF391=0,0,(SUMIF(Resource_Planning!$P$49:$P$356,$P596,Resource_Planning!AF$49:AF$356))/AF391-1)</f>
        <v>0</v>
      </c>
      <c r="AG596" s="166" t="n">
        <f aca="false">IF(AG391=0,0,(SUMIF(Resource_Planning!$P$49:$P$356,$P596,Resource_Planning!AG$49:AG$356))/AG391-1)</f>
        <v>0</v>
      </c>
      <c r="AH596" s="166" t="n">
        <f aca="false">IF(AH391=0,0,(SUMIF(Resource_Planning!$P$49:$P$356,$P596,Resource_Planning!AH$49:AH$356))/AH391-1)</f>
        <v>0</v>
      </c>
      <c r="AI596" s="166" t="n">
        <f aca="false">IF(AI391=0,0,(SUMIF(Resource_Planning!$P$49:$P$356,$P596,Resource_Planning!AI$49:AI$356))/AI391-1)</f>
        <v>0</v>
      </c>
      <c r="AJ596" s="166" t="n">
        <f aca="false">IF(AJ391=0,0,(SUMIF(Resource_Planning!$P$49:$P$356,$P596,Resource_Planning!AJ$49:AJ$356))/AJ391-1)</f>
        <v>0</v>
      </c>
      <c r="AK596" s="166" t="n">
        <f aca="false">IF(AK391=0,0,(SUMIF(Resource_Planning!$P$49:$P$356,$P596,Resource_Planning!AK$49:AK$356))/AK391-1)</f>
        <v>0</v>
      </c>
      <c r="AL596" s="166" t="n">
        <f aca="false">IF(AL391=0,0,(SUMIF(Resource_Planning!$P$49:$P$356,$P596,Resource_Planning!AL$49:AL$356))/AL391-1)</f>
        <v>0</v>
      </c>
      <c r="AM596" s="166" t="n">
        <f aca="false">IF(AM391=0,0,(SUMIF(Resource_Planning!$P$49:$P$356,$P596,Resource_Planning!AM$49:AM$356))/AM391-1)</f>
        <v>0</v>
      </c>
      <c r="AN596" s="166" t="n">
        <f aca="false">IF(AN391=0,0,(SUMIF(Resource_Planning!$P$49:$P$356,$P596,Resource_Planning!AN$49:AN$356))/AN391-1)</f>
        <v>0</v>
      </c>
      <c r="AO596" s="166" t="n">
        <f aca="false">IF(AO391=0,0,(SUMIF(Resource_Planning!$P$49:$P$356,$P596,Resource_Planning!AO$49:AO$356))/AO391-1)</f>
        <v>0</v>
      </c>
      <c r="AP596" s="166" t="n">
        <f aca="false">IF(AP391=0,0,(SUMIF(Resource_Planning!$P$49:$P$356,$P596,Resource_Planning!AP$49:AP$356))/AP391-1)</f>
        <v>0</v>
      </c>
      <c r="AQ596" s="166" t="n">
        <f aca="false">IF(AQ391=0,0,(SUMIF(Resource_Planning!$P$49:$P$356,$P596,Resource_Planning!AQ$49:AQ$356))/AQ391-1)</f>
        <v>0</v>
      </c>
      <c r="AR596" s="166" t="n">
        <f aca="false">IF(AR391=0,0,(SUMIF(Resource_Planning!$P$49:$P$356,$P596,Resource_Planning!AR$49:AR$356))/AR391-1)</f>
        <v>0</v>
      </c>
      <c r="AS596" s="166" t="n">
        <f aca="false">IF(AS391=0,0,(SUMIF(Resource_Planning!$P$49:$P$356,$P596,Resource_Planning!AS$49:AS$356))/AS391-1)</f>
        <v>0</v>
      </c>
      <c r="AT596" s="166" t="n">
        <f aca="false">IF(AT391=0,0,(SUMIF(Resource_Planning!$P$49:$P$356,$P596,Resource_Planning!AT$49:AT$356))/AT391-1)</f>
        <v>0</v>
      </c>
      <c r="AU596" s="166" t="n">
        <f aca="false">IF(AU391=0,0,(SUMIF(Resource_Planning!$P$49:$P$356,$P596,Resource_Planning!AU$49:AU$356))/AU391-1)</f>
        <v>0</v>
      </c>
      <c r="AV596" s="166" t="n">
        <f aca="false">IF(AV391=0,0,(SUMIF(Resource_Planning!$P$49:$P$356,$P596,Resource_Planning!AV$49:AV$356))/AV391-1)</f>
        <v>0</v>
      </c>
      <c r="AW596" s="166" t="n">
        <f aca="false">IF(AW391=0,0,(SUMIF(Resource_Planning!$P$49:$P$356,$P596,Resource_Planning!AW$49:AW$356))/AW391-1)</f>
        <v>0</v>
      </c>
      <c r="AX596" s="166" t="n">
        <f aca="false">IF(AX391=0,0,(SUMIF(Resource_Planning!$P$49:$P$356,$P596,Resource_Planning!AX$49:AX$356))/AX391-1)</f>
        <v>0</v>
      </c>
      <c r="AY596" s="166" t="n">
        <f aca="false">IF(AY391=0,0,(SUMIF(Resource_Planning!$P$49:$P$356,$P596,Resource_Planning!AY$49:AY$356))/AY391-1)</f>
        <v>0</v>
      </c>
      <c r="AZ596" s="166" t="n">
        <f aca="false">IF(AZ391=0,0,(SUMIF(Resource_Planning!$P$49:$P$356,$P596,Resource_Planning!AZ$49:AZ$356))/AZ391-1)</f>
        <v>0</v>
      </c>
      <c r="BA596" s="166" t="n">
        <f aca="false">IF(BA391=0,0,(SUMIF(Resource_Planning!$P$49:$P$356,$P596,Resource_Planning!BA$49:BA$356))/BA391-1)</f>
        <v>0</v>
      </c>
      <c r="BB596" s="166" t="n">
        <f aca="false">IF(BB391=0,0,(SUMIF(Resource_Planning!$P$49:$P$356,$P596,Resource_Planning!BB$49:BB$356))/BB391-1)</f>
        <v>0</v>
      </c>
    </row>
    <row r="597" s="173" customFormat="true" ht="15" hidden="true" customHeight="false" outlineLevel="1" collapsed="false">
      <c r="E597" s="40"/>
      <c r="K597" s="40"/>
      <c r="L597" s="40"/>
      <c r="M597" s="40"/>
      <c r="N597" s="40"/>
      <c r="P597" s="177" t="str">
        <f aca="false">P255</f>
        <v>Lastname2, Firstname2</v>
      </c>
      <c r="Q597" s="40"/>
      <c r="R597" s="178"/>
      <c r="S597" s="166" t="n">
        <f aca="false">IF(S392=0,0,(SUMIF(Resource_Planning!$P$49:$P$356,$P597,Resource_Planning!S$49:S$356))/S392-1)</f>
        <v>0</v>
      </c>
      <c r="T597" s="166" t="n">
        <f aca="false">IF(T392=0,0,(SUMIF(Resource_Planning!$P$49:$P$356,$P597,Resource_Planning!T$49:T$356))/T392-1)</f>
        <v>0</v>
      </c>
      <c r="U597" s="166" t="n">
        <f aca="false">IF(U392=0,0,(SUMIF(Resource_Planning!$P$49:$P$356,$P597,Resource_Planning!U$49:U$356))/U392-1)</f>
        <v>0</v>
      </c>
      <c r="V597" s="166" t="n">
        <f aca="false">IF(V392=0,0,(SUMIF(Resource_Planning!$P$49:$P$356,$P597,Resource_Planning!V$49:V$356))/V392-1)</f>
        <v>0</v>
      </c>
      <c r="W597" s="166" t="n">
        <f aca="false">IF(W392=0,0,(SUMIF(Resource_Planning!$P$49:$P$356,$P597,Resource_Planning!W$49:W$356))/W392-1)</f>
        <v>0</v>
      </c>
      <c r="X597" s="166" t="n">
        <f aca="false">IF(X392=0,0,(SUMIF(Resource_Planning!$P$49:$P$356,$P597,Resource_Planning!X$49:X$356))/X392-1)</f>
        <v>0</v>
      </c>
      <c r="Y597" s="166" t="n">
        <f aca="false">IF(Y392=0,0,(SUMIF(Resource_Planning!$P$49:$P$356,$P597,Resource_Planning!Y$49:Y$356))/Y392-1)</f>
        <v>0</v>
      </c>
      <c r="Z597" s="166" t="n">
        <f aca="false">IF(Z392=0,0,(SUMIF(Resource_Planning!$P$49:$P$356,$P597,Resource_Planning!Z$49:Z$356))/Z392-1)</f>
        <v>0</v>
      </c>
      <c r="AA597" s="166" t="n">
        <f aca="false">IF(AA392=0,0,(SUMIF(Resource_Planning!$P$49:$P$356,$P597,Resource_Planning!AA$49:AA$356))/AA392-1)</f>
        <v>0</v>
      </c>
      <c r="AB597" s="166" t="n">
        <f aca="false">IF(AB392=0,0,(SUMIF(Resource_Planning!$P$49:$P$356,$P597,Resource_Planning!AB$49:AB$356))/AB392-1)</f>
        <v>0</v>
      </c>
      <c r="AC597" s="166" t="n">
        <f aca="false">IF(AC392=0,0,(SUMIF(Resource_Planning!$P$49:$P$356,$P597,Resource_Planning!AC$49:AC$356))/AC392-1)</f>
        <v>0</v>
      </c>
      <c r="AD597" s="166" t="n">
        <f aca="false">IF(AD392=0,0,(SUMIF(Resource_Planning!$P$49:$P$356,$P597,Resource_Planning!AD$49:AD$356))/AD392-1)</f>
        <v>0</v>
      </c>
      <c r="AE597" s="166" t="n">
        <f aca="false">IF(AE392=0,0,(SUMIF(Resource_Planning!$P$49:$P$356,$P597,Resource_Planning!AE$49:AE$356))/AE392-1)</f>
        <v>0</v>
      </c>
      <c r="AF597" s="166" t="n">
        <f aca="false">IF(AF392=0,0,(SUMIF(Resource_Planning!$P$49:$P$356,$P597,Resource_Planning!AF$49:AF$356))/AF392-1)</f>
        <v>0</v>
      </c>
      <c r="AG597" s="166" t="n">
        <f aca="false">IF(AG392=0,0,(SUMIF(Resource_Planning!$P$49:$P$356,$P597,Resource_Planning!AG$49:AG$356))/AG392-1)</f>
        <v>0</v>
      </c>
      <c r="AH597" s="166" t="n">
        <f aca="false">IF(AH392=0,0,(SUMIF(Resource_Planning!$P$49:$P$356,$P597,Resource_Planning!AH$49:AH$356))/AH392-1)</f>
        <v>0</v>
      </c>
      <c r="AI597" s="166" t="n">
        <f aca="false">IF(AI392=0,0,(SUMIF(Resource_Planning!$P$49:$P$356,$P597,Resource_Planning!AI$49:AI$356))/AI392-1)</f>
        <v>0</v>
      </c>
      <c r="AJ597" s="166" t="n">
        <f aca="false">IF(AJ392=0,0,(SUMIF(Resource_Planning!$P$49:$P$356,$P597,Resource_Planning!AJ$49:AJ$356))/AJ392-1)</f>
        <v>0</v>
      </c>
      <c r="AK597" s="166" t="n">
        <f aca="false">IF(AK392=0,0,(SUMIF(Resource_Planning!$P$49:$P$356,$P597,Resource_Planning!AK$49:AK$356))/AK392-1)</f>
        <v>0</v>
      </c>
      <c r="AL597" s="166" t="n">
        <f aca="false">IF(AL392=0,0,(SUMIF(Resource_Planning!$P$49:$P$356,$P597,Resource_Planning!AL$49:AL$356))/AL392-1)</f>
        <v>0</v>
      </c>
      <c r="AM597" s="166" t="n">
        <f aca="false">IF(AM392=0,0,(SUMIF(Resource_Planning!$P$49:$P$356,$P597,Resource_Planning!AM$49:AM$356))/AM392-1)</f>
        <v>0</v>
      </c>
      <c r="AN597" s="166" t="n">
        <f aca="false">IF(AN392=0,0,(SUMIF(Resource_Planning!$P$49:$P$356,$P597,Resource_Planning!AN$49:AN$356))/AN392-1)</f>
        <v>0</v>
      </c>
      <c r="AO597" s="166" t="n">
        <f aca="false">IF(AO392=0,0,(SUMIF(Resource_Planning!$P$49:$P$356,$P597,Resource_Planning!AO$49:AO$356))/AO392-1)</f>
        <v>0</v>
      </c>
      <c r="AP597" s="166" t="n">
        <f aca="false">IF(AP392=0,0,(SUMIF(Resource_Planning!$P$49:$P$356,$P597,Resource_Planning!AP$49:AP$356))/AP392-1)</f>
        <v>0</v>
      </c>
      <c r="AQ597" s="166" t="n">
        <f aca="false">IF(AQ392=0,0,(SUMIF(Resource_Planning!$P$49:$P$356,$P597,Resource_Planning!AQ$49:AQ$356))/AQ392-1)</f>
        <v>0</v>
      </c>
      <c r="AR597" s="166" t="n">
        <f aca="false">IF(AR392=0,0,(SUMIF(Resource_Planning!$P$49:$P$356,$P597,Resource_Planning!AR$49:AR$356))/AR392-1)</f>
        <v>0</v>
      </c>
      <c r="AS597" s="166" t="n">
        <f aca="false">IF(AS392=0,0,(SUMIF(Resource_Planning!$P$49:$P$356,$P597,Resource_Planning!AS$49:AS$356))/AS392-1)</f>
        <v>0</v>
      </c>
      <c r="AT597" s="166" t="n">
        <f aca="false">IF(AT392=0,0,(SUMIF(Resource_Planning!$P$49:$P$356,$P597,Resource_Planning!AT$49:AT$356))/AT392-1)</f>
        <v>0</v>
      </c>
      <c r="AU597" s="166" t="n">
        <f aca="false">IF(AU392=0,0,(SUMIF(Resource_Planning!$P$49:$P$356,$P597,Resource_Planning!AU$49:AU$356))/AU392-1)</f>
        <v>0</v>
      </c>
      <c r="AV597" s="166" t="n">
        <f aca="false">IF(AV392=0,0,(SUMIF(Resource_Planning!$P$49:$P$356,$P597,Resource_Planning!AV$49:AV$356))/AV392-1)</f>
        <v>0</v>
      </c>
      <c r="AW597" s="166" t="n">
        <f aca="false">IF(AW392=0,0,(SUMIF(Resource_Planning!$P$49:$P$356,$P597,Resource_Planning!AW$49:AW$356))/AW392-1)</f>
        <v>0</v>
      </c>
      <c r="AX597" s="166" t="n">
        <f aca="false">IF(AX392=0,0,(SUMIF(Resource_Planning!$P$49:$P$356,$P597,Resource_Planning!AX$49:AX$356))/AX392-1)</f>
        <v>0</v>
      </c>
      <c r="AY597" s="166" t="n">
        <f aca="false">IF(AY392=0,0,(SUMIF(Resource_Planning!$P$49:$P$356,$P597,Resource_Planning!AY$49:AY$356))/AY392-1)</f>
        <v>0</v>
      </c>
      <c r="AZ597" s="166" t="n">
        <f aca="false">IF(AZ392=0,0,(SUMIF(Resource_Planning!$P$49:$P$356,$P597,Resource_Planning!AZ$49:AZ$356))/AZ392-1)</f>
        <v>0</v>
      </c>
      <c r="BA597" s="166" t="n">
        <f aca="false">IF(BA392=0,0,(SUMIF(Resource_Planning!$P$49:$P$356,$P597,Resource_Planning!BA$49:BA$356))/BA392-1)</f>
        <v>0</v>
      </c>
      <c r="BB597" s="166" t="n">
        <f aca="false">IF(BB392=0,0,(SUMIF(Resource_Planning!$P$49:$P$356,$P597,Resource_Planning!BB$49:BB$356))/BB392-1)</f>
        <v>0</v>
      </c>
    </row>
    <row r="598" s="173" customFormat="true" ht="15" hidden="true" customHeight="false" outlineLevel="1" collapsed="false">
      <c r="E598" s="40"/>
      <c r="K598" s="40"/>
      <c r="L598" s="40"/>
      <c r="M598" s="40"/>
      <c r="N598" s="40"/>
      <c r="P598" s="177" t="str">
        <f aca="false">P256</f>
        <v> Lastname3, Firstname3</v>
      </c>
      <c r="Q598" s="40"/>
      <c r="R598" s="178"/>
      <c r="S598" s="166" t="n">
        <f aca="false">IF(S393=0,0,(SUMIF(Resource_Planning!$P$49:$P$356,$P598,Resource_Planning!S$49:S$356))/S393-1)</f>
        <v>0</v>
      </c>
      <c r="T598" s="166" t="n">
        <f aca="false">IF(T393=0,0,(SUMIF(Resource_Planning!$P$49:$P$356,$P598,Resource_Planning!T$49:T$356))/T393-1)</f>
        <v>0</v>
      </c>
      <c r="U598" s="166" t="n">
        <f aca="false">IF(U393=0,0,(SUMIF(Resource_Planning!$P$49:$P$356,$P598,Resource_Planning!U$49:U$356))/U393-1)</f>
        <v>0</v>
      </c>
      <c r="V598" s="166" t="n">
        <f aca="false">IF(V393=0,0,(SUMIF(Resource_Planning!$P$49:$P$356,$P598,Resource_Planning!V$49:V$356))/V393-1)</f>
        <v>0</v>
      </c>
      <c r="W598" s="166" t="n">
        <f aca="false">IF(W393=0,0,(SUMIF(Resource_Planning!$P$49:$P$356,$P598,Resource_Planning!W$49:W$356))/W393-1)</f>
        <v>0</v>
      </c>
      <c r="X598" s="166" t="n">
        <f aca="false">IF(X393=0,0,(SUMIF(Resource_Planning!$P$49:$P$356,$P598,Resource_Planning!X$49:X$356))/X393-1)</f>
        <v>0</v>
      </c>
      <c r="Y598" s="166" t="n">
        <f aca="false">IF(Y393=0,0,(SUMIF(Resource_Planning!$P$49:$P$356,$P598,Resource_Planning!Y$49:Y$356))/Y393-1)</f>
        <v>0</v>
      </c>
      <c r="Z598" s="166" t="n">
        <f aca="false">IF(Z393=0,0,(SUMIF(Resource_Planning!$P$49:$P$356,$P598,Resource_Planning!Z$49:Z$356))/Z393-1)</f>
        <v>0</v>
      </c>
      <c r="AA598" s="166" t="n">
        <f aca="false">IF(AA393=0,0,(SUMIF(Resource_Planning!$P$49:$P$356,$P598,Resource_Planning!AA$49:AA$356))/AA393-1)</f>
        <v>0</v>
      </c>
      <c r="AB598" s="166" t="n">
        <f aca="false">IF(AB393=0,0,(SUMIF(Resource_Planning!$P$49:$P$356,$P598,Resource_Planning!AB$49:AB$356))/AB393-1)</f>
        <v>0</v>
      </c>
      <c r="AC598" s="166" t="n">
        <f aca="false">IF(AC393=0,0,(SUMIF(Resource_Planning!$P$49:$P$356,$P598,Resource_Planning!AC$49:AC$356))/AC393-1)</f>
        <v>0</v>
      </c>
      <c r="AD598" s="166" t="n">
        <f aca="false">IF(AD393=0,0,(SUMIF(Resource_Planning!$P$49:$P$356,$P598,Resource_Planning!AD$49:AD$356))/AD393-1)</f>
        <v>0</v>
      </c>
      <c r="AE598" s="166" t="n">
        <f aca="false">IF(AE393=0,0,(SUMIF(Resource_Planning!$P$49:$P$356,$P598,Resource_Planning!AE$49:AE$356))/AE393-1)</f>
        <v>0</v>
      </c>
      <c r="AF598" s="166" t="n">
        <f aca="false">IF(AF393=0,0,(SUMIF(Resource_Planning!$P$49:$P$356,$P598,Resource_Planning!AF$49:AF$356))/AF393-1)</f>
        <v>0</v>
      </c>
      <c r="AG598" s="166" t="n">
        <f aca="false">IF(AG393=0,0,(SUMIF(Resource_Planning!$P$49:$P$356,$P598,Resource_Planning!AG$49:AG$356))/AG393-1)</f>
        <v>0</v>
      </c>
      <c r="AH598" s="166" t="n">
        <f aca="false">IF(AH393=0,0,(SUMIF(Resource_Planning!$P$49:$P$356,$P598,Resource_Planning!AH$49:AH$356))/AH393-1)</f>
        <v>0</v>
      </c>
      <c r="AI598" s="166" t="n">
        <f aca="false">IF(AI393=0,0,(SUMIF(Resource_Planning!$P$49:$P$356,$P598,Resource_Planning!AI$49:AI$356))/AI393-1)</f>
        <v>0</v>
      </c>
      <c r="AJ598" s="166" t="n">
        <f aca="false">IF(AJ393=0,0,(SUMIF(Resource_Planning!$P$49:$P$356,$P598,Resource_Planning!AJ$49:AJ$356))/AJ393-1)</f>
        <v>0</v>
      </c>
      <c r="AK598" s="166" t="n">
        <f aca="false">IF(AK393=0,0,(SUMIF(Resource_Planning!$P$49:$P$356,$P598,Resource_Planning!AK$49:AK$356))/AK393-1)</f>
        <v>0</v>
      </c>
      <c r="AL598" s="166" t="n">
        <f aca="false">IF(AL393=0,0,(SUMIF(Resource_Planning!$P$49:$P$356,$P598,Resource_Planning!AL$49:AL$356))/AL393-1)</f>
        <v>0</v>
      </c>
      <c r="AM598" s="166" t="n">
        <f aca="false">IF(AM393=0,0,(SUMIF(Resource_Planning!$P$49:$P$356,$P598,Resource_Planning!AM$49:AM$356))/AM393-1)</f>
        <v>0</v>
      </c>
      <c r="AN598" s="166" t="n">
        <f aca="false">IF(AN393=0,0,(SUMIF(Resource_Planning!$P$49:$P$356,$P598,Resource_Planning!AN$49:AN$356))/AN393-1)</f>
        <v>0</v>
      </c>
      <c r="AO598" s="166" t="n">
        <f aca="false">IF(AO393=0,0,(SUMIF(Resource_Planning!$P$49:$P$356,$P598,Resource_Planning!AO$49:AO$356))/AO393-1)</f>
        <v>0</v>
      </c>
      <c r="AP598" s="166" t="n">
        <f aca="false">IF(AP393=0,0,(SUMIF(Resource_Planning!$P$49:$P$356,$P598,Resource_Planning!AP$49:AP$356))/AP393-1)</f>
        <v>0</v>
      </c>
      <c r="AQ598" s="166" t="n">
        <f aca="false">IF(AQ393=0,0,(SUMIF(Resource_Planning!$P$49:$P$356,$P598,Resource_Planning!AQ$49:AQ$356))/AQ393-1)</f>
        <v>0</v>
      </c>
      <c r="AR598" s="166" t="n">
        <f aca="false">IF(AR393=0,0,(SUMIF(Resource_Planning!$P$49:$P$356,$P598,Resource_Planning!AR$49:AR$356))/AR393-1)</f>
        <v>0</v>
      </c>
      <c r="AS598" s="166" t="n">
        <f aca="false">IF(AS393=0,0,(SUMIF(Resource_Planning!$P$49:$P$356,$P598,Resource_Planning!AS$49:AS$356))/AS393-1)</f>
        <v>0</v>
      </c>
      <c r="AT598" s="166" t="n">
        <f aca="false">IF(AT393=0,0,(SUMIF(Resource_Planning!$P$49:$P$356,$P598,Resource_Planning!AT$49:AT$356))/AT393-1)</f>
        <v>0</v>
      </c>
      <c r="AU598" s="166" t="n">
        <f aca="false">IF(AU393=0,0,(SUMIF(Resource_Planning!$P$49:$P$356,$P598,Resource_Planning!AU$49:AU$356))/AU393-1)</f>
        <v>0</v>
      </c>
      <c r="AV598" s="166" t="n">
        <f aca="false">IF(AV393=0,0,(SUMIF(Resource_Planning!$P$49:$P$356,$P598,Resource_Planning!AV$49:AV$356))/AV393-1)</f>
        <v>0</v>
      </c>
      <c r="AW598" s="166" t="n">
        <f aca="false">IF(AW393=0,0,(SUMIF(Resource_Planning!$P$49:$P$356,$P598,Resource_Planning!AW$49:AW$356))/AW393-1)</f>
        <v>0</v>
      </c>
      <c r="AX598" s="166" t="n">
        <f aca="false">IF(AX393=0,0,(SUMIF(Resource_Planning!$P$49:$P$356,$P598,Resource_Planning!AX$49:AX$356))/AX393-1)</f>
        <v>0</v>
      </c>
      <c r="AY598" s="166" t="n">
        <f aca="false">IF(AY393=0,0,(SUMIF(Resource_Planning!$P$49:$P$356,$P598,Resource_Planning!AY$49:AY$356))/AY393-1)</f>
        <v>0</v>
      </c>
      <c r="AZ598" s="166" t="n">
        <f aca="false">IF(AZ393=0,0,(SUMIF(Resource_Planning!$P$49:$P$356,$P598,Resource_Planning!AZ$49:AZ$356))/AZ393-1)</f>
        <v>0</v>
      </c>
      <c r="BA598" s="166" t="n">
        <f aca="false">IF(BA393=0,0,(SUMIF(Resource_Planning!$P$49:$P$356,$P598,Resource_Planning!BA$49:BA$356))/BA393-1)</f>
        <v>0</v>
      </c>
      <c r="BB598" s="166" t="n">
        <f aca="false">IF(BB393=0,0,(SUMIF(Resource_Planning!$P$49:$P$356,$P598,Resource_Planning!BB$49:BB$356))/BB393-1)</f>
        <v>0</v>
      </c>
    </row>
    <row r="599" s="173" customFormat="true" ht="15" hidden="true" customHeight="false" outlineLevel="1" collapsed="false">
      <c r="E599" s="40"/>
      <c r="K599" s="40"/>
      <c r="L599" s="40"/>
      <c r="M599" s="40"/>
      <c r="N599" s="40"/>
      <c r="P599" s="177" t="str">
        <f aca="false">P257</f>
        <v>Lastname4, Firstname4</v>
      </c>
      <c r="Q599" s="40"/>
      <c r="R599" s="178"/>
      <c r="S599" s="166" t="n">
        <f aca="false">IF(S394=0,0,(SUMIF(Resource_Planning!$P$49:$P$356,$P599,Resource_Planning!S$49:S$356))/S394-1)</f>
        <v>0</v>
      </c>
      <c r="T599" s="166" t="n">
        <f aca="false">IF(T394=0,0,(SUMIF(Resource_Planning!$P$49:$P$356,$P599,Resource_Planning!T$49:T$356))/T394-1)</f>
        <v>0</v>
      </c>
      <c r="U599" s="166" t="n">
        <f aca="false">IF(U394=0,0,(SUMIF(Resource_Planning!$P$49:$P$356,$P599,Resource_Planning!U$49:U$356))/U394-1)</f>
        <v>0</v>
      </c>
      <c r="V599" s="166" t="n">
        <f aca="false">IF(V394=0,0,(SUMIF(Resource_Planning!$P$49:$P$356,$P599,Resource_Planning!V$49:V$356))/V394-1)</f>
        <v>0</v>
      </c>
      <c r="W599" s="166" t="n">
        <f aca="false">IF(W394=0,0,(SUMIF(Resource_Planning!$P$49:$P$356,$P599,Resource_Planning!W$49:W$356))/W394-1)</f>
        <v>0</v>
      </c>
      <c r="X599" s="166" t="n">
        <f aca="false">IF(X394=0,0,(SUMIF(Resource_Planning!$P$49:$P$356,$P599,Resource_Planning!X$49:X$356))/X394-1)</f>
        <v>0</v>
      </c>
      <c r="Y599" s="166" t="n">
        <f aca="false">IF(Y394=0,0,(SUMIF(Resource_Planning!$P$49:$P$356,$P599,Resource_Planning!Y$49:Y$356))/Y394-1)</f>
        <v>0</v>
      </c>
      <c r="Z599" s="166" t="n">
        <f aca="false">IF(Z394=0,0,(SUMIF(Resource_Planning!$P$49:$P$356,$P599,Resource_Planning!Z$49:Z$356))/Z394-1)</f>
        <v>0</v>
      </c>
      <c r="AA599" s="166" t="n">
        <f aca="false">IF(AA394=0,0,(SUMIF(Resource_Planning!$P$49:$P$356,$P599,Resource_Planning!AA$49:AA$356))/AA394-1)</f>
        <v>0</v>
      </c>
      <c r="AB599" s="166" t="n">
        <f aca="false">IF(AB394=0,0,(SUMIF(Resource_Planning!$P$49:$P$356,$P599,Resource_Planning!AB$49:AB$356))/AB394-1)</f>
        <v>0</v>
      </c>
      <c r="AC599" s="166" t="n">
        <f aca="false">IF(AC394=0,0,(SUMIF(Resource_Planning!$P$49:$P$356,$P599,Resource_Planning!AC$49:AC$356))/AC394-1)</f>
        <v>0</v>
      </c>
      <c r="AD599" s="166" t="n">
        <f aca="false">IF(AD394=0,0,(SUMIF(Resource_Planning!$P$49:$P$356,$P599,Resource_Planning!AD$49:AD$356))/AD394-1)</f>
        <v>0</v>
      </c>
      <c r="AE599" s="166" t="n">
        <f aca="false">IF(AE394=0,0,(SUMIF(Resource_Planning!$P$49:$P$356,$P599,Resource_Planning!AE$49:AE$356))/AE394-1)</f>
        <v>0</v>
      </c>
      <c r="AF599" s="166" t="n">
        <f aca="false">IF(AF394=0,0,(SUMIF(Resource_Planning!$P$49:$P$356,$P599,Resource_Planning!AF$49:AF$356))/AF394-1)</f>
        <v>0</v>
      </c>
      <c r="AG599" s="166" t="n">
        <f aca="false">IF(AG394=0,0,(SUMIF(Resource_Planning!$P$49:$P$356,$P599,Resource_Planning!AG$49:AG$356))/AG394-1)</f>
        <v>0</v>
      </c>
      <c r="AH599" s="166" t="n">
        <f aca="false">IF(AH394=0,0,(SUMIF(Resource_Planning!$P$49:$P$356,$P599,Resource_Planning!AH$49:AH$356))/AH394-1)</f>
        <v>0</v>
      </c>
      <c r="AI599" s="166" t="n">
        <f aca="false">IF(AI394=0,0,(SUMIF(Resource_Planning!$P$49:$P$356,$P599,Resource_Planning!AI$49:AI$356))/AI394-1)</f>
        <v>0</v>
      </c>
      <c r="AJ599" s="166" t="n">
        <f aca="false">IF(AJ394=0,0,(SUMIF(Resource_Planning!$P$49:$P$356,$P599,Resource_Planning!AJ$49:AJ$356))/AJ394-1)</f>
        <v>0</v>
      </c>
      <c r="AK599" s="166" t="n">
        <f aca="false">IF(AK394=0,0,(SUMIF(Resource_Planning!$P$49:$P$356,$P599,Resource_Planning!AK$49:AK$356))/AK394-1)</f>
        <v>0</v>
      </c>
      <c r="AL599" s="166" t="n">
        <f aca="false">IF(AL394=0,0,(SUMIF(Resource_Planning!$P$49:$P$356,$P599,Resource_Planning!AL$49:AL$356))/AL394-1)</f>
        <v>0</v>
      </c>
      <c r="AM599" s="166" t="n">
        <f aca="false">IF(AM394=0,0,(SUMIF(Resource_Planning!$P$49:$P$356,$P599,Resource_Planning!AM$49:AM$356))/AM394-1)</f>
        <v>0</v>
      </c>
      <c r="AN599" s="166" t="n">
        <f aca="false">IF(AN394=0,0,(SUMIF(Resource_Planning!$P$49:$P$356,$P599,Resource_Planning!AN$49:AN$356))/AN394-1)</f>
        <v>0</v>
      </c>
      <c r="AO599" s="166" t="n">
        <f aca="false">IF(AO394=0,0,(SUMIF(Resource_Planning!$P$49:$P$356,$P599,Resource_Planning!AO$49:AO$356))/AO394-1)</f>
        <v>0</v>
      </c>
      <c r="AP599" s="166" t="n">
        <f aca="false">IF(AP394=0,0,(SUMIF(Resource_Planning!$P$49:$P$356,$P599,Resource_Planning!AP$49:AP$356))/AP394-1)</f>
        <v>0</v>
      </c>
      <c r="AQ599" s="166" t="n">
        <f aca="false">IF(AQ394=0,0,(SUMIF(Resource_Planning!$P$49:$P$356,$P599,Resource_Planning!AQ$49:AQ$356))/AQ394-1)</f>
        <v>0</v>
      </c>
      <c r="AR599" s="166" t="n">
        <f aca="false">IF(AR394=0,0,(SUMIF(Resource_Planning!$P$49:$P$356,$P599,Resource_Planning!AR$49:AR$356))/AR394-1)</f>
        <v>0</v>
      </c>
      <c r="AS599" s="166" t="n">
        <f aca="false">IF(AS394=0,0,(SUMIF(Resource_Planning!$P$49:$P$356,$P599,Resource_Planning!AS$49:AS$356))/AS394-1)</f>
        <v>0</v>
      </c>
      <c r="AT599" s="166" t="n">
        <f aca="false">IF(AT394=0,0,(SUMIF(Resource_Planning!$P$49:$P$356,$P599,Resource_Planning!AT$49:AT$356))/AT394-1)</f>
        <v>0</v>
      </c>
      <c r="AU599" s="166" t="n">
        <f aca="false">IF(AU394=0,0,(SUMIF(Resource_Planning!$P$49:$P$356,$P599,Resource_Planning!AU$49:AU$356))/AU394-1)</f>
        <v>0</v>
      </c>
      <c r="AV599" s="166" t="n">
        <f aca="false">IF(AV394=0,0,(SUMIF(Resource_Planning!$P$49:$P$356,$P599,Resource_Planning!AV$49:AV$356))/AV394-1)</f>
        <v>0</v>
      </c>
      <c r="AW599" s="166" t="n">
        <f aca="false">IF(AW394=0,0,(SUMIF(Resource_Planning!$P$49:$P$356,$P599,Resource_Planning!AW$49:AW$356))/AW394-1)</f>
        <v>0</v>
      </c>
      <c r="AX599" s="166" t="n">
        <f aca="false">IF(AX394=0,0,(SUMIF(Resource_Planning!$P$49:$P$356,$P599,Resource_Planning!AX$49:AX$356))/AX394-1)</f>
        <v>0</v>
      </c>
      <c r="AY599" s="166" t="n">
        <f aca="false">IF(AY394=0,0,(SUMIF(Resource_Planning!$P$49:$P$356,$P599,Resource_Planning!AY$49:AY$356))/AY394-1)</f>
        <v>0</v>
      </c>
      <c r="AZ599" s="166" t="n">
        <f aca="false">IF(AZ394=0,0,(SUMIF(Resource_Planning!$P$49:$P$356,$P599,Resource_Planning!AZ$49:AZ$356))/AZ394-1)</f>
        <v>0</v>
      </c>
      <c r="BA599" s="166" t="n">
        <f aca="false">IF(BA394=0,0,(SUMIF(Resource_Planning!$P$49:$P$356,$P599,Resource_Planning!BA$49:BA$356))/BA394-1)</f>
        <v>0</v>
      </c>
      <c r="BB599" s="166" t="n">
        <f aca="false">IF(BB394=0,0,(SUMIF(Resource_Planning!$P$49:$P$356,$P599,Resource_Planning!BB$49:BB$356))/BB394-1)</f>
        <v>0</v>
      </c>
    </row>
    <row r="600" s="173" customFormat="true" ht="15" hidden="true" customHeight="false" outlineLevel="1" collapsed="false">
      <c r="E600" s="40"/>
      <c r="K600" s="40"/>
      <c r="L600" s="40"/>
      <c r="M600" s="40"/>
      <c r="N600" s="40"/>
      <c r="P600" s="177" t="str">
        <f aca="false">P258</f>
        <v>Lastname5, Firstname5</v>
      </c>
      <c r="Q600" s="40"/>
      <c r="R600" s="178"/>
      <c r="S600" s="166" t="n">
        <f aca="false">IF(S395=0,0,(SUMIF(Resource_Planning!$P$49:$P$356,$P600,Resource_Planning!S$49:S$356))/S395-1)</f>
        <v>0</v>
      </c>
      <c r="T600" s="166" t="n">
        <f aca="false">IF(T395=0,0,(SUMIF(Resource_Planning!$P$49:$P$356,$P600,Resource_Planning!T$49:T$356))/T395-1)</f>
        <v>0</v>
      </c>
      <c r="U600" s="166" t="n">
        <f aca="false">IF(U395=0,0,(SUMIF(Resource_Planning!$P$49:$P$356,$P600,Resource_Planning!U$49:U$356))/U395-1)</f>
        <v>0</v>
      </c>
      <c r="V600" s="166" t="n">
        <f aca="false">IF(V395=0,0,(SUMIF(Resource_Planning!$P$49:$P$356,$P600,Resource_Planning!V$49:V$356))/V395-1)</f>
        <v>0</v>
      </c>
      <c r="W600" s="166" t="n">
        <f aca="false">IF(W395=0,0,(SUMIF(Resource_Planning!$P$49:$P$356,$P600,Resource_Planning!W$49:W$356))/W395-1)</f>
        <v>0</v>
      </c>
      <c r="X600" s="166" t="n">
        <f aca="false">IF(X395=0,0,(SUMIF(Resource_Planning!$P$49:$P$356,$P600,Resource_Planning!X$49:X$356))/X395-1)</f>
        <v>0</v>
      </c>
      <c r="Y600" s="166" t="n">
        <f aca="false">IF(Y395=0,0,(SUMIF(Resource_Planning!$P$49:$P$356,$P600,Resource_Planning!Y$49:Y$356))/Y395-1)</f>
        <v>0</v>
      </c>
      <c r="Z600" s="166" t="n">
        <f aca="false">IF(Z395=0,0,(SUMIF(Resource_Planning!$P$49:$P$356,$P600,Resource_Planning!Z$49:Z$356))/Z395-1)</f>
        <v>0</v>
      </c>
      <c r="AA600" s="166" t="n">
        <f aca="false">IF(AA395=0,0,(SUMIF(Resource_Planning!$P$49:$P$356,$P600,Resource_Planning!AA$49:AA$356))/AA395-1)</f>
        <v>0</v>
      </c>
      <c r="AB600" s="166" t="n">
        <f aca="false">IF(AB395=0,0,(SUMIF(Resource_Planning!$P$49:$P$356,$P600,Resource_Planning!AB$49:AB$356))/AB395-1)</f>
        <v>0</v>
      </c>
      <c r="AC600" s="166" t="n">
        <f aca="false">IF(AC395=0,0,(SUMIF(Resource_Planning!$P$49:$P$356,$P600,Resource_Planning!AC$49:AC$356))/AC395-1)</f>
        <v>0</v>
      </c>
      <c r="AD600" s="166" t="n">
        <f aca="false">IF(AD395=0,0,(SUMIF(Resource_Planning!$P$49:$P$356,$P600,Resource_Planning!AD$49:AD$356))/AD395-1)</f>
        <v>0</v>
      </c>
      <c r="AE600" s="166" t="n">
        <f aca="false">IF(AE395=0,0,(SUMIF(Resource_Planning!$P$49:$P$356,$P600,Resource_Planning!AE$49:AE$356))/AE395-1)</f>
        <v>0</v>
      </c>
      <c r="AF600" s="166" t="n">
        <f aca="false">IF(AF395=0,0,(SUMIF(Resource_Planning!$P$49:$P$356,$P600,Resource_Planning!AF$49:AF$356))/AF395-1)</f>
        <v>0</v>
      </c>
      <c r="AG600" s="166" t="n">
        <f aca="false">IF(AG395=0,0,(SUMIF(Resource_Planning!$P$49:$P$356,$P600,Resource_Planning!AG$49:AG$356))/AG395-1)</f>
        <v>0</v>
      </c>
      <c r="AH600" s="166" t="n">
        <f aca="false">IF(AH395=0,0,(SUMIF(Resource_Planning!$P$49:$P$356,$P600,Resource_Planning!AH$49:AH$356))/AH395-1)</f>
        <v>0</v>
      </c>
      <c r="AI600" s="166" t="n">
        <f aca="false">IF(AI395=0,0,(SUMIF(Resource_Planning!$P$49:$P$356,$P600,Resource_Planning!AI$49:AI$356))/AI395-1)</f>
        <v>0</v>
      </c>
      <c r="AJ600" s="166" t="n">
        <f aca="false">IF(AJ395=0,0,(SUMIF(Resource_Planning!$P$49:$P$356,$P600,Resource_Planning!AJ$49:AJ$356))/AJ395-1)</f>
        <v>0</v>
      </c>
      <c r="AK600" s="166" t="n">
        <f aca="false">IF(AK395=0,0,(SUMIF(Resource_Planning!$P$49:$P$356,$P600,Resource_Planning!AK$49:AK$356))/AK395-1)</f>
        <v>0</v>
      </c>
      <c r="AL600" s="166" t="n">
        <f aca="false">IF(AL395=0,0,(SUMIF(Resource_Planning!$P$49:$P$356,$P600,Resource_Planning!AL$49:AL$356))/AL395-1)</f>
        <v>0</v>
      </c>
      <c r="AM600" s="166" t="n">
        <f aca="false">IF(AM395=0,0,(SUMIF(Resource_Planning!$P$49:$P$356,$P600,Resource_Planning!AM$49:AM$356))/AM395-1)</f>
        <v>0</v>
      </c>
      <c r="AN600" s="166" t="n">
        <f aca="false">IF(AN395=0,0,(SUMIF(Resource_Planning!$P$49:$P$356,$P600,Resource_Planning!AN$49:AN$356))/AN395-1)</f>
        <v>0</v>
      </c>
      <c r="AO600" s="166" t="n">
        <f aca="false">IF(AO395=0,0,(SUMIF(Resource_Planning!$P$49:$P$356,$P600,Resource_Planning!AO$49:AO$356))/AO395-1)</f>
        <v>0</v>
      </c>
      <c r="AP600" s="166" t="n">
        <f aca="false">IF(AP395=0,0,(SUMIF(Resource_Planning!$P$49:$P$356,$P600,Resource_Planning!AP$49:AP$356))/AP395-1)</f>
        <v>0</v>
      </c>
      <c r="AQ600" s="166" t="n">
        <f aca="false">IF(AQ395=0,0,(SUMIF(Resource_Planning!$P$49:$P$356,$P600,Resource_Planning!AQ$49:AQ$356))/AQ395-1)</f>
        <v>0</v>
      </c>
      <c r="AR600" s="166" t="n">
        <f aca="false">IF(AR395=0,0,(SUMIF(Resource_Planning!$P$49:$P$356,$P600,Resource_Planning!AR$49:AR$356))/AR395-1)</f>
        <v>0</v>
      </c>
      <c r="AS600" s="166" t="n">
        <f aca="false">IF(AS395=0,0,(SUMIF(Resource_Planning!$P$49:$P$356,$P600,Resource_Planning!AS$49:AS$356))/AS395-1)</f>
        <v>0</v>
      </c>
      <c r="AT600" s="166" t="n">
        <f aca="false">IF(AT395=0,0,(SUMIF(Resource_Planning!$P$49:$P$356,$P600,Resource_Planning!AT$49:AT$356))/AT395-1)</f>
        <v>0</v>
      </c>
      <c r="AU600" s="166" t="n">
        <f aca="false">IF(AU395=0,0,(SUMIF(Resource_Planning!$P$49:$P$356,$P600,Resource_Planning!AU$49:AU$356))/AU395-1)</f>
        <v>0</v>
      </c>
      <c r="AV600" s="166" t="n">
        <f aca="false">IF(AV395=0,0,(SUMIF(Resource_Planning!$P$49:$P$356,$P600,Resource_Planning!AV$49:AV$356))/AV395-1)</f>
        <v>0</v>
      </c>
      <c r="AW600" s="166" t="n">
        <f aca="false">IF(AW395=0,0,(SUMIF(Resource_Planning!$P$49:$P$356,$P600,Resource_Planning!AW$49:AW$356))/AW395-1)</f>
        <v>0</v>
      </c>
      <c r="AX600" s="166" t="n">
        <f aca="false">IF(AX395=0,0,(SUMIF(Resource_Planning!$P$49:$P$356,$P600,Resource_Planning!AX$49:AX$356))/AX395-1)</f>
        <v>0</v>
      </c>
      <c r="AY600" s="166" t="n">
        <f aca="false">IF(AY395=0,0,(SUMIF(Resource_Planning!$P$49:$P$356,$P600,Resource_Planning!AY$49:AY$356))/AY395-1)</f>
        <v>0</v>
      </c>
      <c r="AZ600" s="166" t="n">
        <f aca="false">IF(AZ395=0,0,(SUMIF(Resource_Planning!$P$49:$P$356,$P600,Resource_Planning!AZ$49:AZ$356))/AZ395-1)</f>
        <v>0</v>
      </c>
      <c r="BA600" s="166" t="n">
        <f aca="false">IF(BA395=0,0,(SUMIF(Resource_Planning!$P$49:$P$356,$P600,Resource_Planning!BA$49:BA$356))/BA395-1)</f>
        <v>0</v>
      </c>
      <c r="BB600" s="166" t="n">
        <f aca="false">IF(BB395=0,0,(SUMIF(Resource_Planning!$P$49:$P$356,$P600,Resource_Planning!BB$49:BB$356))/BB395-1)</f>
        <v>0</v>
      </c>
    </row>
    <row r="601" s="173" customFormat="true" ht="15" hidden="true" customHeight="false" outlineLevel="1" collapsed="false">
      <c r="E601" s="40"/>
      <c r="K601" s="40"/>
      <c r="L601" s="40"/>
      <c r="M601" s="40"/>
      <c r="N601" s="40"/>
      <c r="P601" s="177" t="str">
        <f aca="false">P259</f>
        <v>Lastname6, Firstname6</v>
      </c>
      <c r="Q601" s="40"/>
      <c r="R601" s="178"/>
      <c r="S601" s="166" t="n">
        <f aca="false">IF(S396=0,0,(SUMIF(Resource_Planning!$P$49:$P$356,$P601,Resource_Planning!S$49:S$356))/S396-1)</f>
        <v>0</v>
      </c>
      <c r="T601" s="166" t="n">
        <f aca="false">IF(T396=0,0,(SUMIF(Resource_Planning!$P$49:$P$356,$P601,Resource_Planning!T$49:T$356))/T396-1)</f>
        <v>0</v>
      </c>
      <c r="U601" s="166" t="n">
        <f aca="false">IF(U396=0,0,(SUMIF(Resource_Planning!$P$49:$P$356,$P601,Resource_Planning!U$49:U$356))/U396-1)</f>
        <v>0</v>
      </c>
      <c r="V601" s="166" t="n">
        <f aca="false">IF(V396=0,0,(SUMIF(Resource_Planning!$P$49:$P$356,$P601,Resource_Planning!V$49:V$356))/V396-1)</f>
        <v>0</v>
      </c>
      <c r="W601" s="166" t="n">
        <f aca="false">IF(W396=0,0,(SUMIF(Resource_Planning!$P$49:$P$356,$P601,Resource_Planning!W$49:W$356))/W396-1)</f>
        <v>0</v>
      </c>
      <c r="X601" s="166" t="n">
        <f aca="false">IF(X396=0,0,(SUMIF(Resource_Planning!$P$49:$P$356,$P601,Resource_Planning!X$49:X$356))/X396-1)</f>
        <v>0</v>
      </c>
      <c r="Y601" s="166" t="n">
        <f aca="false">IF(Y396=0,0,(SUMIF(Resource_Planning!$P$49:$P$356,$P601,Resource_Planning!Y$49:Y$356))/Y396-1)</f>
        <v>0</v>
      </c>
      <c r="Z601" s="166" t="n">
        <f aca="false">IF(Z396=0,0,(SUMIF(Resource_Planning!$P$49:$P$356,$P601,Resource_Planning!Z$49:Z$356))/Z396-1)</f>
        <v>0</v>
      </c>
      <c r="AA601" s="166" t="n">
        <f aca="false">IF(AA396=0,0,(SUMIF(Resource_Planning!$P$49:$P$356,$P601,Resource_Planning!AA$49:AA$356))/AA396-1)</f>
        <v>0</v>
      </c>
      <c r="AB601" s="166" t="n">
        <f aca="false">IF(AB396=0,0,(SUMIF(Resource_Planning!$P$49:$P$356,$P601,Resource_Planning!AB$49:AB$356))/AB396-1)</f>
        <v>0</v>
      </c>
      <c r="AC601" s="166" t="n">
        <f aca="false">IF(AC396=0,0,(SUMIF(Resource_Planning!$P$49:$P$356,$P601,Resource_Planning!AC$49:AC$356))/AC396-1)</f>
        <v>0</v>
      </c>
      <c r="AD601" s="166" t="n">
        <f aca="false">IF(AD396=0,0,(SUMIF(Resource_Planning!$P$49:$P$356,$P601,Resource_Planning!AD$49:AD$356))/AD396-1)</f>
        <v>0</v>
      </c>
      <c r="AE601" s="166" t="n">
        <f aca="false">IF(AE396=0,0,(SUMIF(Resource_Planning!$P$49:$P$356,$P601,Resource_Planning!AE$49:AE$356))/AE396-1)</f>
        <v>0</v>
      </c>
      <c r="AF601" s="166" t="n">
        <f aca="false">IF(AF396=0,0,(SUMIF(Resource_Planning!$P$49:$P$356,$P601,Resource_Planning!AF$49:AF$356))/AF396-1)</f>
        <v>0</v>
      </c>
      <c r="AG601" s="166" t="n">
        <f aca="false">IF(AG396=0,0,(SUMIF(Resource_Planning!$P$49:$P$356,$P601,Resource_Planning!AG$49:AG$356))/AG396-1)</f>
        <v>0</v>
      </c>
      <c r="AH601" s="166" t="n">
        <f aca="false">IF(AH396=0,0,(SUMIF(Resource_Planning!$P$49:$P$356,$P601,Resource_Planning!AH$49:AH$356))/AH396-1)</f>
        <v>0</v>
      </c>
      <c r="AI601" s="166" t="n">
        <f aca="false">IF(AI396=0,0,(SUMIF(Resource_Planning!$P$49:$P$356,$P601,Resource_Planning!AI$49:AI$356))/AI396-1)</f>
        <v>0</v>
      </c>
      <c r="AJ601" s="166" t="n">
        <f aca="false">IF(AJ396=0,0,(SUMIF(Resource_Planning!$P$49:$P$356,$P601,Resource_Planning!AJ$49:AJ$356))/AJ396-1)</f>
        <v>0</v>
      </c>
      <c r="AK601" s="166" t="n">
        <f aca="false">IF(AK396=0,0,(SUMIF(Resource_Planning!$P$49:$P$356,$P601,Resource_Planning!AK$49:AK$356))/AK396-1)</f>
        <v>0</v>
      </c>
      <c r="AL601" s="166" t="n">
        <f aca="false">IF(AL396=0,0,(SUMIF(Resource_Planning!$P$49:$P$356,$P601,Resource_Planning!AL$49:AL$356))/AL396-1)</f>
        <v>0</v>
      </c>
      <c r="AM601" s="166" t="n">
        <f aca="false">IF(AM396=0,0,(SUMIF(Resource_Planning!$P$49:$P$356,$P601,Resource_Planning!AM$49:AM$356))/AM396-1)</f>
        <v>0</v>
      </c>
      <c r="AN601" s="166" t="n">
        <f aca="false">IF(AN396=0,0,(SUMIF(Resource_Planning!$P$49:$P$356,$P601,Resource_Planning!AN$49:AN$356))/AN396-1)</f>
        <v>0</v>
      </c>
      <c r="AO601" s="166" t="n">
        <f aca="false">IF(AO396=0,0,(SUMIF(Resource_Planning!$P$49:$P$356,$P601,Resource_Planning!AO$49:AO$356))/AO396-1)</f>
        <v>0</v>
      </c>
      <c r="AP601" s="166" t="n">
        <f aca="false">IF(AP396=0,0,(SUMIF(Resource_Planning!$P$49:$P$356,$P601,Resource_Planning!AP$49:AP$356))/AP396-1)</f>
        <v>0</v>
      </c>
      <c r="AQ601" s="166" t="n">
        <f aca="false">IF(AQ396=0,0,(SUMIF(Resource_Planning!$P$49:$P$356,$P601,Resource_Planning!AQ$49:AQ$356))/AQ396-1)</f>
        <v>0</v>
      </c>
      <c r="AR601" s="166" t="n">
        <f aca="false">IF(AR396=0,0,(SUMIF(Resource_Planning!$P$49:$P$356,$P601,Resource_Planning!AR$49:AR$356))/AR396-1)</f>
        <v>0</v>
      </c>
      <c r="AS601" s="166" t="n">
        <f aca="false">IF(AS396=0,0,(SUMIF(Resource_Planning!$P$49:$P$356,$P601,Resource_Planning!AS$49:AS$356))/AS396-1)</f>
        <v>0</v>
      </c>
      <c r="AT601" s="166" t="n">
        <f aca="false">IF(AT396=0,0,(SUMIF(Resource_Planning!$P$49:$P$356,$P601,Resource_Planning!AT$49:AT$356))/AT396-1)</f>
        <v>0</v>
      </c>
      <c r="AU601" s="166" t="n">
        <f aca="false">IF(AU396=0,0,(SUMIF(Resource_Planning!$P$49:$P$356,$P601,Resource_Planning!AU$49:AU$356))/AU396-1)</f>
        <v>0</v>
      </c>
      <c r="AV601" s="166" t="n">
        <f aca="false">IF(AV396=0,0,(SUMIF(Resource_Planning!$P$49:$P$356,$P601,Resource_Planning!AV$49:AV$356))/AV396-1)</f>
        <v>0</v>
      </c>
      <c r="AW601" s="166" t="n">
        <f aca="false">IF(AW396=0,0,(SUMIF(Resource_Planning!$P$49:$P$356,$P601,Resource_Planning!AW$49:AW$356))/AW396-1)</f>
        <v>0</v>
      </c>
      <c r="AX601" s="166" t="n">
        <f aca="false">IF(AX396=0,0,(SUMIF(Resource_Planning!$P$49:$P$356,$P601,Resource_Planning!AX$49:AX$356))/AX396-1)</f>
        <v>0</v>
      </c>
      <c r="AY601" s="166" t="n">
        <f aca="false">IF(AY396=0,0,(SUMIF(Resource_Planning!$P$49:$P$356,$P601,Resource_Planning!AY$49:AY$356))/AY396-1)</f>
        <v>0</v>
      </c>
      <c r="AZ601" s="166" t="n">
        <f aca="false">IF(AZ396=0,0,(SUMIF(Resource_Planning!$P$49:$P$356,$P601,Resource_Planning!AZ$49:AZ$356))/AZ396-1)</f>
        <v>0</v>
      </c>
      <c r="BA601" s="166" t="n">
        <f aca="false">IF(BA396=0,0,(SUMIF(Resource_Planning!$P$49:$P$356,$P601,Resource_Planning!BA$49:BA$356))/BA396-1)</f>
        <v>0</v>
      </c>
      <c r="BB601" s="166" t="n">
        <f aca="false">IF(BB396=0,0,(SUMIF(Resource_Planning!$P$49:$P$356,$P601,Resource_Planning!BB$49:BB$356))/BB396-1)</f>
        <v>0</v>
      </c>
    </row>
    <row r="602" s="173" customFormat="true" ht="15" hidden="true" customHeight="false" outlineLevel="1" collapsed="false">
      <c r="E602" s="40"/>
      <c r="K602" s="40"/>
      <c r="L602" s="40"/>
      <c r="M602" s="40"/>
      <c r="N602" s="40"/>
      <c r="P602" s="177" t="str">
        <f aca="false">P260</f>
        <v>Lastname7, Firstname7</v>
      </c>
      <c r="Q602" s="40"/>
      <c r="R602" s="178"/>
      <c r="S602" s="166" t="n">
        <f aca="false">IF(S397=0,0,(SUMIF(Resource_Planning!$P$49:$P$356,$P602,Resource_Planning!S$49:S$356))/S397-1)</f>
        <v>0</v>
      </c>
      <c r="T602" s="166" t="n">
        <f aca="false">IF(T397=0,0,(SUMIF(Resource_Planning!$P$49:$P$356,$P602,Resource_Planning!T$49:T$356))/T397-1)</f>
        <v>0</v>
      </c>
      <c r="U602" s="166" t="n">
        <f aca="false">IF(U397=0,0,(SUMIF(Resource_Planning!$P$49:$P$356,$P602,Resource_Planning!U$49:U$356))/U397-1)</f>
        <v>0</v>
      </c>
      <c r="V602" s="166" t="n">
        <f aca="false">IF(V397=0,0,(SUMIF(Resource_Planning!$P$49:$P$356,$P602,Resource_Planning!V$49:V$356))/V397-1)</f>
        <v>0</v>
      </c>
      <c r="W602" s="166" t="n">
        <f aca="false">IF(W397=0,0,(SUMIF(Resource_Planning!$P$49:$P$356,$P602,Resource_Planning!W$49:W$356))/W397-1)</f>
        <v>0</v>
      </c>
      <c r="X602" s="166" t="n">
        <f aca="false">IF(X397=0,0,(SUMIF(Resource_Planning!$P$49:$P$356,$P602,Resource_Planning!X$49:X$356))/X397-1)</f>
        <v>0</v>
      </c>
      <c r="Y602" s="166" t="n">
        <f aca="false">IF(Y397=0,0,(SUMIF(Resource_Planning!$P$49:$P$356,$P602,Resource_Planning!Y$49:Y$356))/Y397-1)</f>
        <v>0</v>
      </c>
      <c r="Z602" s="166" t="n">
        <f aca="false">IF(Z397=0,0,(SUMIF(Resource_Planning!$P$49:$P$356,$P602,Resource_Planning!Z$49:Z$356))/Z397-1)</f>
        <v>0</v>
      </c>
      <c r="AA602" s="166" t="n">
        <f aca="false">IF(AA397=0,0,(SUMIF(Resource_Planning!$P$49:$P$356,$P602,Resource_Planning!AA$49:AA$356))/AA397-1)</f>
        <v>0</v>
      </c>
      <c r="AB602" s="166" t="n">
        <f aca="false">IF(AB397=0,0,(SUMIF(Resource_Planning!$P$49:$P$356,$P602,Resource_Planning!AB$49:AB$356))/AB397-1)</f>
        <v>0</v>
      </c>
      <c r="AC602" s="166" t="n">
        <f aca="false">IF(AC397=0,0,(SUMIF(Resource_Planning!$P$49:$P$356,$P602,Resource_Planning!AC$49:AC$356))/AC397-1)</f>
        <v>0</v>
      </c>
      <c r="AD602" s="166" t="n">
        <f aca="false">IF(AD397=0,0,(SUMIF(Resource_Planning!$P$49:$P$356,$P602,Resource_Planning!AD$49:AD$356))/AD397-1)</f>
        <v>0</v>
      </c>
      <c r="AE602" s="166" t="n">
        <f aca="false">IF(AE397=0,0,(SUMIF(Resource_Planning!$P$49:$P$356,$P602,Resource_Planning!AE$49:AE$356))/AE397-1)</f>
        <v>0</v>
      </c>
      <c r="AF602" s="166" t="n">
        <f aca="false">IF(AF397=0,0,(SUMIF(Resource_Planning!$P$49:$P$356,$P602,Resource_Planning!AF$49:AF$356))/AF397-1)</f>
        <v>0</v>
      </c>
      <c r="AG602" s="166" t="n">
        <f aca="false">IF(AG397=0,0,(SUMIF(Resource_Planning!$P$49:$P$356,$P602,Resource_Planning!AG$49:AG$356))/AG397-1)</f>
        <v>0</v>
      </c>
      <c r="AH602" s="166" t="n">
        <f aca="false">IF(AH397=0,0,(SUMIF(Resource_Planning!$P$49:$P$356,$P602,Resource_Planning!AH$49:AH$356))/AH397-1)</f>
        <v>0</v>
      </c>
      <c r="AI602" s="166" t="n">
        <f aca="false">IF(AI397=0,0,(SUMIF(Resource_Planning!$P$49:$P$356,$P602,Resource_Planning!AI$49:AI$356))/AI397-1)</f>
        <v>0</v>
      </c>
      <c r="AJ602" s="166" t="n">
        <f aca="false">IF(AJ397=0,0,(SUMIF(Resource_Planning!$P$49:$P$356,$P602,Resource_Planning!AJ$49:AJ$356))/AJ397-1)</f>
        <v>0</v>
      </c>
      <c r="AK602" s="166" t="n">
        <f aca="false">IF(AK397=0,0,(SUMIF(Resource_Planning!$P$49:$P$356,$P602,Resource_Planning!AK$49:AK$356))/AK397-1)</f>
        <v>0</v>
      </c>
      <c r="AL602" s="166" t="n">
        <f aca="false">IF(AL397=0,0,(SUMIF(Resource_Planning!$P$49:$P$356,$P602,Resource_Planning!AL$49:AL$356))/AL397-1)</f>
        <v>0</v>
      </c>
      <c r="AM602" s="166" t="n">
        <f aca="false">IF(AM397=0,0,(SUMIF(Resource_Planning!$P$49:$P$356,$P602,Resource_Planning!AM$49:AM$356))/AM397-1)</f>
        <v>0</v>
      </c>
      <c r="AN602" s="166" t="n">
        <f aca="false">IF(AN397=0,0,(SUMIF(Resource_Planning!$P$49:$P$356,$P602,Resource_Planning!AN$49:AN$356))/AN397-1)</f>
        <v>0</v>
      </c>
      <c r="AO602" s="166" t="n">
        <f aca="false">IF(AO397=0,0,(SUMIF(Resource_Planning!$P$49:$P$356,$P602,Resource_Planning!AO$49:AO$356))/AO397-1)</f>
        <v>0</v>
      </c>
      <c r="AP602" s="166" t="n">
        <f aca="false">IF(AP397=0,0,(SUMIF(Resource_Planning!$P$49:$P$356,$P602,Resource_Planning!AP$49:AP$356))/AP397-1)</f>
        <v>0</v>
      </c>
      <c r="AQ602" s="166" t="n">
        <f aca="false">IF(AQ397=0,0,(SUMIF(Resource_Planning!$P$49:$P$356,$P602,Resource_Planning!AQ$49:AQ$356))/AQ397-1)</f>
        <v>0</v>
      </c>
      <c r="AR602" s="166" t="n">
        <f aca="false">IF(AR397=0,0,(SUMIF(Resource_Planning!$P$49:$P$356,$P602,Resource_Planning!AR$49:AR$356))/AR397-1)</f>
        <v>0</v>
      </c>
      <c r="AS602" s="166" t="n">
        <f aca="false">IF(AS397=0,0,(SUMIF(Resource_Planning!$P$49:$P$356,$P602,Resource_Planning!AS$49:AS$356))/AS397-1)</f>
        <v>0</v>
      </c>
      <c r="AT602" s="166" t="n">
        <f aca="false">IF(AT397=0,0,(SUMIF(Resource_Planning!$P$49:$P$356,$P602,Resource_Planning!AT$49:AT$356))/AT397-1)</f>
        <v>0</v>
      </c>
      <c r="AU602" s="166" t="n">
        <f aca="false">IF(AU397=0,0,(SUMIF(Resource_Planning!$P$49:$P$356,$P602,Resource_Planning!AU$49:AU$356))/AU397-1)</f>
        <v>0</v>
      </c>
      <c r="AV602" s="166" t="n">
        <f aca="false">IF(AV397=0,0,(SUMIF(Resource_Planning!$P$49:$P$356,$P602,Resource_Planning!AV$49:AV$356))/AV397-1)</f>
        <v>0</v>
      </c>
      <c r="AW602" s="166" t="n">
        <f aca="false">IF(AW397=0,0,(SUMIF(Resource_Planning!$P$49:$P$356,$P602,Resource_Planning!AW$49:AW$356))/AW397-1)</f>
        <v>0</v>
      </c>
      <c r="AX602" s="166" t="n">
        <f aca="false">IF(AX397=0,0,(SUMIF(Resource_Planning!$P$49:$P$356,$P602,Resource_Planning!AX$49:AX$356))/AX397-1)</f>
        <v>0</v>
      </c>
      <c r="AY602" s="166" t="n">
        <f aca="false">IF(AY397=0,0,(SUMIF(Resource_Planning!$P$49:$P$356,$P602,Resource_Planning!AY$49:AY$356))/AY397-1)</f>
        <v>0</v>
      </c>
      <c r="AZ602" s="166" t="n">
        <f aca="false">IF(AZ397=0,0,(SUMIF(Resource_Planning!$P$49:$P$356,$P602,Resource_Planning!AZ$49:AZ$356))/AZ397-1)</f>
        <v>0</v>
      </c>
      <c r="BA602" s="166" t="n">
        <f aca="false">IF(BA397=0,0,(SUMIF(Resource_Planning!$P$49:$P$356,$P602,Resource_Planning!BA$49:BA$356))/BA397-1)</f>
        <v>0</v>
      </c>
      <c r="BB602" s="166" t="n">
        <f aca="false">IF(BB397=0,0,(SUMIF(Resource_Planning!$P$49:$P$356,$P602,Resource_Planning!BB$49:BB$356))/BB397-1)</f>
        <v>0</v>
      </c>
    </row>
    <row r="603" s="173" customFormat="true" ht="15" hidden="true" customHeight="false" outlineLevel="1" collapsed="false">
      <c r="E603" s="40"/>
      <c r="K603" s="40"/>
      <c r="L603" s="40"/>
      <c r="M603" s="40"/>
      <c r="N603" s="40"/>
      <c r="P603" s="177" t="str">
        <f aca="false">P261</f>
        <v>Lastname8, Firstname8</v>
      </c>
      <c r="Q603" s="40"/>
      <c r="R603" s="178"/>
      <c r="S603" s="166" t="n">
        <f aca="false">IF(S398=0,0,(SUMIF(Resource_Planning!$P$49:$P$356,$P603,Resource_Planning!S$49:S$356))/S398-1)</f>
        <v>0</v>
      </c>
      <c r="T603" s="166" t="n">
        <f aca="false">IF(T398=0,0,(SUMIF(Resource_Planning!$P$49:$P$356,$P603,Resource_Planning!T$49:T$356))/T398-1)</f>
        <v>0</v>
      </c>
      <c r="U603" s="166" t="n">
        <f aca="false">IF(U398=0,0,(SUMIF(Resource_Planning!$P$49:$P$356,$P603,Resource_Planning!U$49:U$356))/U398-1)</f>
        <v>0</v>
      </c>
      <c r="V603" s="166" t="n">
        <f aca="false">IF(V398=0,0,(SUMIF(Resource_Planning!$P$49:$P$356,$P603,Resource_Planning!V$49:V$356))/V398-1)</f>
        <v>0</v>
      </c>
      <c r="W603" s="166" t="n">
        <f aca="false">IF(W398=0,0,(SUMIF(Resource_Planning!$P$49:$P$356,$P603,Resource_Planning!W$49:W$356))/W398-1)</f>
        <v>0</v>
      </c>
      <c r="X603" s="166" t="n">
        <f aca="false">IF(X398=0,0,(SUMIF(Resource_Planning!$P$49:$P$356,$P603,Resource_Planning!X$49:X$356))/X398-1)</f>
        <v>0</v>
      </c>
      <c r="Y603" s="166" t="n">
        <f aca="false">IF(Y398=0,0,(SUMIF(Resource_Planning!$P$49:$P$356,$P603,Resource_Planning!Y$49:Y$356))/Y398-1)</f>
        <v>0</v>
      </c>
      <c r="Z603" s="166" t="n">
        <f aca="false">IF(Z398=0,0,(SUMIF(Resource_Planning!$P$49:$P$356,$P603,Resource_Planning!Z$49:Z$356))/Z398-1)</f>
        <v>0</v>
      </c>
      <c r="AA603" s="166" t="n">
        <f aca="false">IF(AA398=0,0,(SUMIF(Resource_Planning!$P$49:$P$356,$P603,Resource_Planning!AA$49:AA$356))/AA398-1)</f>
        <v>0</v>
      </c>
      <c r="AB603" s="166" t="n">
        <f aca="false">IF(AB398=0,0,(SUMIF(Resource_Planning!$P$49:$P$356,$P603,Resource_Planning!AB$49:AB$356))/AB398-1)</f>
        <v>0</v>
      </c>
      <c r="AC603" s="166" t="n">
        <f aca="false">IF(AC398=0,0,(SUMIF(Resource_Planning!$P$49:$P$356,$P603,Resource_Planning!AC$49:AC$356))/AC398-1)</f>
        <v>0</v>
      </c>
      <c r="AD603" s="166" t="n">
        <f aca="false">IF(AD398=0,0,(SUMIF(Resource_Planning!$P$49:$P$356,$P603,Resource_Planning!AD$49:AD$356))/AD398-1)</f>
        <v>0</v>
      </c>
      <c r="AE603" s="166" t="n">
        <f aca="false">IF(AE398=0,0,(SUMIF(Resource_Planning!$P$49:$P$356,$P603,Resource_Planning!AE$49:AE$356))/AE398-1)</f>
        <v>0</v>
      </c>
      <c r="AF603" s="166" t="n">
        <f aca="false">IF(AF398=0,0,(SUMIF(Resource_Planning!$P$49:$P$356,$P603,Resource_Planning!AF$49:AF$356))/AF398-1)</f>
        <v>0</v>
      </c>
      <c r="AG603" s="166" t="n">
        <f aca="false">IF(AG398=0,0,(SUMIF(Resource_Planning!$P$49:$P$356,$P603,Resource_Planning!AG$49:AG$356))/AG398-1)</f>
        <v>0</v>
      </c>
      <c r="AH603" s="166" t="n">
        <f aca="false">IF(AH398=0,0,(SUMIF(Resource_Planning!$P$49:$P$356,$P603,Resource_Planning!AH$49:AH$356))/AH398-1)</f>
        <v>0</v>
      </c>
      <c r="AI603" s="166" t="n">
        <f aca="false">IF(AI398=0,0,(SUMIF(Resource_Planning!$P$49:$P$356,$P603,Resource_Planning!AI$49:AI$356))/AI398-1)</f>
        <v>0</v>
      </c>
      <c r="AJ603" s="166" t="n">
        <f aca="false">IF(AJ398=0,0,(SUMIF(Resource_Planning!$P$49:$P$356,$P603,Resource_Planning!AJ$49:AJ$356))/AJ398-1)</f>
        <v>0</v>
      </c>
      <c r="AK603" s="166" t="n">
        <f aca="false">IF(AK398=0,0,(SUMIF(Resource_Planning!$P$49:$P$356,$P603,Resource_Planning!AK$49:AK$356))/AK398-1)</f>
        <v>0</v>
      </c>
      <c r="AL603" s="166" t="n">
        <f aca="false">IF(AL398=0,0,(SUMIF(Resource_Planning!$P$49:$P$356,$P603,Resource_Planning!AL$49:AL$356))/AL398-1)</f>
        <v>0</v>
      </c>
      <c r="AM603" s="166" t="n">
        <f aca="false">IF(AM398=0,0,(SUMIF(Resource_Planning!$P$49:$P$356,$P603,Resource_Planning!AM$49:AM$356))/AM398-1)</f>
        <v>0</v>
      </c>
      <c r="AN603" s="166" t="n">
        <f aca="false">IF(AN398=0,0,(SUMIF(Resource_Planning!$P$49:$P$356,$P603,Resource_Planning!AN$49:AN$356))/AN398-1)</f>
        <v>0</v>
      </c>
      <c r="AO603" s="166" t="n">
        <f aca="false">IF(AO398=0,0,(SUMIF(Resource_Planning!$P$49:$P$356,$P603,Resource_Planning!AO$49:AO$356))/AO398-1)</f>
        <v>0</v>
      </c>
      <c r="AP603" s="166" t="n">
        <f aca="false">IF(AP398=0,0,(SUMIF(Resource_Planning!$P$49:$P$356,$P603,Resource_Planning!AP$49:AP$356))/AP398-1)</f>
        <v>0</v>
      </c>
      <c r="AQ603" s="166" t="n">
        <f aca="false">IF(AQ398=0,0,(SUMIF(Resource_Planning!$P$49:$P$356,$P603,Resource_Planning!AQ$49:AQ$356))/AQ398-1)</f>
        <v>0</v>
      </c>
      <c r="AR603" s="166" t="n">
        <f aca="false">IF(AR398=0,0,(SUMIF(Resource_Planning!$P$49:$P$356,$P603,Resource_Planning!AR$49:AR$356))/AR398-1)</f>
        <v>0</v>
      </c>
      <c r="AS603" s="166" t="n">
        <f aca="false">IF(AS398=0,0,(SUMIF(Resource_Planning!$P$49:$P$356,$P603,Resource_Planning!AS$49:AS$356))/AS398-1)</f>
        <v>0</v>
      </c>
      <c r="AT603" s="166" t="n">
        <f aca="false">IF(AT398=0,0,(SUMIF(Resource_Planning!$P$49:$P$356,$P603,Resource_Planning!AT$49:AT$356))/AT398-1)</f>
        <v>0</v>
      </c>
      <c r="AU603" s="166" t="n">
        <f aca="false">IF(AU398=0,0,(SUMIF(Resource_Planning!$P$49:$P$356,$P603,Resource_Planning!AU$49:AU$356))/AU398-1)</f>
        <v>0</v>
      </c>
      <c r="AV603" s="166" t="n">
        <f aca="false">IF(AV398=0,0,(SUMIF(Resource_Planning!$P$49:$P$356,$P603,Resource_Planning!AV$49:AV$356))/AV398-1)</f>
        <v>0</v>
      </c>
      <c r="AW603" s="166" t="n">
        <f aca="false">IF(AW398=0,0,(SUMIF(Resource_Planning!$P$49:$P$356,$P603,Resource_Planning!AW$49:AW$356))/AW398-1)</f>
        <v>0</v>
      </c>
      <c r="AX603" s="166" t="n">
        <f aca="false">IF(AX398=0,0,(SUMIF(Resource_Planning!$P$49:$P$356,$P603,Resource_Planning!AX$49:AX$356))/AX398-1)</f>
        <v>0</v>
      </c>
      <c r="AY603" s="166" t="n">
        <f aca="false">IF(AY398=0,0,(SUMIF(Resource_Planning!$P$49:$P$356,$P603,Resource_Planning!AY$49:AY$356))/AY398-1)</f>
        <v>0</v>
      </c>
      <c r="AZ603" s="166" t="n">
        <f aca="false">IF(AZ398=0,0,(SUMIF(Resource_Planning!$P$49:$P$356,$P603,Resource_Planning!AZ$49:AZ$356))/AZ398-1)</f>
        <v>0</v>
      </c>
      <c r="BA603" s="166" t="n">
        <f aca="false">IF(BA398=0,0,(SUMIF(Resource_Planning!$P$49:$P$356,$P603,Resource_Planning!BA$49:BA$356))/BA398-1)</f>
        <v>0</v>
      </c>
      <c r="BB603" s="166" t="n">
        <f aca="false">IF(BB398=0,0,(SUMIF(Resource_Planning!$P$49:$P$356,$P603,Resource_Planning!BB$49:BB$356))/BB398-1)</f>
        <v>0</v>
      </c>
    </row>
    <row r="604" s="173" customFormat="true" ht="15" hidden="true" customHeight="false" outlineLevel="1" collapsed="false">
      <c r="E604" s="40"/>
      <c r="K604" s="40"/>
      <c r="L604" s="40"/>
      <c r="M604" s="40"/>
      <c r="N604" s="40"/>
      <c r="P604" s="177" t="str">
        <f aca="false">P262</f>
        <v>Lastname9, Firstname9</v>
      </c>
      <c r="Q604" s="40"/>
      <c r="R604" s="178"/>
      <c r="S604" s="166" t="n">
        <f aca="false">IF(S399=0,0,(SUMIF(Resource_Planning!$P$49:$P$356,$P604,Resource_Planning!S$49:S$356))/S399-1)</f>
        <v>0</v>
      </c>
      <c r="T604" s="166" t="n">
        <f aca="false">IF(T399=0,0,(SUMIF(Resource_Planning!$P$49:$P$356,$P604,Resource_Planning!T$49:T$356))/T399-1)</f>
        <v>0</v>
      </c>
      <c r="U604" s="166" t="n">
        <f aca="false">IF(U399=0,0,(SUMIF(Resource_Planning!$P$49:$P$356,$P604,Resource_Planning!U$49:U$356))/U399-1)</f>
        <v>0</v>
      </c>
      <c r="V604" s="166" t="n">
        <f aca="false">IF(V399=0,0,(SUMIF(Resource_Planning!$P$49:$P$356,$P604,Resource_Planning!V$49:V$356))/V399-1)</f>
        <v>0</v>
      </c>
      <c r="W604" s="166" t="n">
        <f aca="false">IF(W399=0,0,(SUMIF(Resource_Planning!$P$49:$P$356,$P604,Resource_Planning!W$49:W$356))/W399-1)</f>
        <v>0</v>
      </c>
      <c r="X604" s="166" t="n">
        <f aca="false">IF(X399=0,0,(SUMIF(Resource_Planning!$P$49:$P$356,$P604,Resource_Planning!X$49:X$356))/X399-1)</f>
        <v>0</v>
      </c>
      <c r="Y604" s="166" t="n">
        <f aca="false">IF(Y399=0,0,(SUMIF(Resource_Planning!$P$49:$P$356,$P604,Resource_Planning!Y$49:Y$356))/Y399-1)</f>
        <v>0</v>
      </c>
      <c r="Z604" s="166" t="n">
        <f aca="false">IF(Z399=0,0,(SUMIF(Resource_Planning!$P$49:$P$356,$P604,Resource_Planning!Z$49:Z$356))/Z399-1)</f>
        <v>0</v>
      </c>
      <c r="AA604" s="166" t="n">
        <f aca="false">IF(AA399=0,0,(SUMIF(Resource_Planning!$P$49:$P$356,$P604,Resource_Planning!AA$49:AA$356))/AA399-1)</f>
        <v>0</v>
      </c>
      <c r="AB604" s="166" t="n">
        <f aca="false">IF(AB399=0,0,(SUMIF(Resource_Planning!$P$49:$P$356,$P604,Resource_Planning!AB$49:AB$356))/AB399-1)</f>
        <v>0</v>
      </c>
      <c r="AC604" s="166" t="n">
        <f aca="false">IF(AC399=0,0,(SUMIF(Resource_Planning!$P$49:$P$356,$P604,Resource_Planning!AC$49:AC$356))/AC399-1)</f>
        <v>0</v>
      </c>
      <c r="AD604" s="166" t="n">
        <f aca="false">IF(AD399=0,0,(SUMIF(Resource_Planning!$P$49:$P$356,$P604,Resource_Planning!AD$49:AD$356))/AD399-1)</f>
        <v>0</v>
      </c>
      <c r="AE604" s="166" t="n">
        <f aca="false">IF(AE399=0,0,(SUMIF(Resource_Planning!$P$49:$P$356,$P604,Resource_Planning!AE$49:AE$356))/AE399-1)</f>
        <v>0</v>
      </c>
      <c r="AF604" s="166" t="n">
        <f aca="false">IF(AF399=0,0,(SUMIF(Resource_Planning!$P$49:$P$356,$P604,Resource_Planning!AF$49:AF$356))/AF399-1)</f>
        <v>0</v>
      </c>
      <c r="AG604" s="166" t="n">
        <f aca="false">IF(AG399=0,0,(SUMIF(Resource_Planning!$P$49:$P$356,$P604,Resource_Planning!AG$49:AG$356))/AG399-1)</f>
        <v>0</v>
      </c>
      <c r="AH604" s="166" t="n">
        <f aca="false">IF(AH399=0,0,(SUMIF(Resource_Planning!$P$49:$P$356,$P604,Resource_Planning!AH$49:AH$356))/AH399-1)</f>
        <v>0</v>
      </c>
      <c r="AI604" s="166" t="n">
        <f aca="false">IF(AI399=0,0,(SUMIF(Resource_Planning!$P$49:$P$356,$P604,Resource_Planning!AI$49:AI$356))/AI399-1)</f>
        <v>0</v>
      </c>
      <c r="AJ604" s="166" t="n">
        <f aca="false">IF(AJ399=0,0,(SUMIF(Resource_Planning!$P$49:$P$356,$P604,Resource_Planning!AJ$49:AJ$356))/AJ399-1)</f>
        <v>0</v>
      </c>
      <c r="AK604" s="166" t="n">
        <f aca="false">IF(AK399=0,0,(SUMIF(Resource_Planning!$P$49:$P$356,$P604,Resource_Planning!AK$49:AK$356))/AK399-1)</f>
        <v>0</v>
      </c>
      <c r="AL604" s="166" t="n">
        <f aca="false">IF(AL399=0,0,(SUMIF(Resource_Planning!$P$49:$P$356,$P604,Resource_Planning!AL$49:AL$356))/AL399-1)</f>
        <v>0</v>
      </c>
      <c r="AM604" s="166" t="n">
        <f aca="false">IF(AM399=0,0,(SUMIF(Resource_Planning!$P$49:$P$356,$P604,Resource_Planning!AM$49:AM$356))/AM399-1)</f>
        <v>0</v>
      </c>
      <c r="AN604" s="166" t="n">
        <f aca="false">IF(AN399=0,0,(SUMIF(Resource_Planning!$P$49:$P$356,$P604,Resource_Planning!AN$49:AN$356))/AN399-1)</f>
        <v>0</v>
      </c>
      <c r="AO604" s="166" t="n">
        <f aca="false">IF(AO399=0,0,(SUMIF(Resource_Planning!$P$49:$P$356,$P604,Resource_Planning!AO$49:AO$356))/AO399-1)</f>
        <v>0</v>
      </c>
      <c r="AP604" s="166" t="n">
        <f aca="false">IF(AP399=0,0,(SUMIF(Resource_Planning!$P$49:$P$356,$P604,Resource_Planning!AP$49:AP$356))/AP399-1)</f>
        <v>0</v>
      </c>
      <c r="AQ604" s="166" t="n">
        <f aca="false">IF(AQ399=0,0,(SUMIF(Resource_Planning!$P$49:$P$356,$P604,Resource_Planning!AQ$49:AQ$356))/AQ399-1)</f>
        <v>0</v>
      </c>
      <c r="AR604" s="166" t="n">
        <f aca="false">IF(AR399=0,0,(SUMIF(Resource_Planning!$P$49:$P$356,$P604,Resource_Planning!AR$49:AR$356))/AR399-1)</f>
        <v>0</v>
      </c>
      <c r="AS604" s="166" t="n">
        <f aca="false">IF(AS399=0,0,(SUMIF(Resource_Planning!$P$49:$P$356,$P604,Resource_Planning!AS$49:AS$356))/AS399-1)</f>
        <v>0</v>
      </c>
      <c r="AT604" s="166" t="n">
        <f aca="false">IF(AT399=0,0,(SUMIF(Resource_Planning!$P$49:$P$356,$P604,Resource_Planning!AT$49:AT$356))/AT399-1)</f>
        <v>0</v>
      </c>
      <c r="AU604" s="166" t="n">
        <f aca="false">IF(AU399=0,0,(SUMIF(Resource_Planning!$P$49:$P$356,$P604,Resource_Planning!AU$49:AU$356))/AU399-1)</f>
        <v>0</v>
      </c>
      <c r="AV604" s="166" t="n">
        <f aca="false">IF(AV399=0,0,(SUMIF(Resource_Planning!$P$49:$P$356,$P604,Resource_Planning!AV$49:AV$356))/AV399-1)</f>
        <v>0</v>
      </c>
      <c r="AW604" s="166" t="n">
        <f aca="false">IF(AW399=0,0,(SUMIF(Resource_Planning!$P$49:$P$356,$P604,Resource_Planning!AW$49:AW$356))/AW399-1)</f>
        <v>0</v>
      </c>
      <c r="AX604" s="166" t="n">
        <f aca="false">IF(AX399=0,0,(SUMIF(Resource_Planning!$P$49:$P$356,$P604,Resource_Planning!AX$49:AX$356))/AX399-1)</f>
        <v>0</v>
      </c>
      <c r="AY604" s="166" t="n">
        <f aca="false">IF(AY399=0,0,(SUMIF(Resource_Planning!$P$49:$P$356,$P604,Resource_Planning!AY$49:AY$356))/AY399-1)</f>
        <v>0</v>
      </c>
      <c r="AZ604" s="166" t="n">
        <f aca="false">IF(AZ399=0,0,(SUMIF(Resource_Planning!$P$49:$P$356,$P604,Resource_Planning!AZ$49:AZ$356))/AZ399-1)</f>
        <v>0</v>
      </c>
      <c r="BA604" s="166" t="n">
        <f aca="false">IF(BA399=0,0,(SUMIF(Resource_Planning!$P$49:$P$356,$P604,Resource_Planning!BA$49:BA$356))/BA399-1)</f>
        <v>0</v>
      </c>
      <c r="BB604" s="166" t="n">
        <f aca="false">IF(BB399=0,0,(SUMIF(Resource_Planning!$P$49:$P$356,$P604,Resource_Planning!BB$49:BB$356))/BB399-1)</f>
        <v>0</v>
      </c>
    </row>
    <row r="605" s="173" customFormat="true" ht="15" hidden="true" customHeight="false" outlineLevel="1" collapsed="false">
      <c r="E605" s="40"/>
      <c r="K605" s="40"/>
      <c r="L605" s="40"/>
      <c r="M605" s="40"/>
      <c r="N605" s="40"/>
      <c r="P605" s="177" t="str">
        <f aca="false">P263</f>
        <v>Lastname10, Firstname10</v>
      </c>
      <c r="Q605" s="40"/>
      <c r="R605" s="178"/>
      <c r="S605" s="166" t="n">
        <f aca="false">IF(S400=0,0,(SUMIF(Resource_Planning!$P$49:$P$356,$P605,Resource_Planning!S$49:S$356))/S400-1)</f>
        <v>0</v>
      </c>
      <c r="T605" s="166" t="n">
        <f aca="false">IF(T400=0,0,(SUMIF(Resource_Planning!$P$49:$P$356,$P605,Resource_Planning!T$49:T$356))/T400-1)</f>
        <v>0</v>
      </c>
      <c r="U605" s="166" t="n">
        <f aca="false">IF(U400=0,0,(SUMIF(Resource_Planning!$P$49:$P$356,$P605,Resource_Planning!U$49:U$356))/U400-1)</f>
        <v>0</v>
      </c>
      <c r="V605" s="166" t="n">
        <f aca="false">IF(V400=0,0,(SUMIF(Resource_Planning!$P$49:$P$356,$P605,Resource_Planning!V$49:V$356))/V400-1)</f>
        <v>0</v>
      </c>
      <c r="W605" s="166" t="n">
        <f aca="false">IF(W400=0,0,(SUMIF(Resource_Planning!$P$49:$P$356,$P605,Resource_Planning!W$49:W$356))/W400-1)</f>
        <v>0</v>
      </c>
      <c r="X605" s="166" t="n">
        <f aca="false">IF(X400=0,0,(SUMIF(Resource_Planning!$P$49:$P$356,$P605,Resource_Planning!X$49:X$356))/X400-1)</f>
        <v>0</v>
      </c>
      <c r="Y605" s="166" t="n">
        <f aca="false">IF(Y400=0,0,(SUMIF(Resource_Planning!$P$49:$P$356,$P605,Resource_Planning!Y$49:Y$356))/Y400-1)</f>
        <v>0</v>
      </c>
      <c r="Z605" s="166" t="n">
        <f aca="false">IF(Z400=0,0,(SUMIF(Resource_Planning!$P$49:$P$356,$P605,Resource_Planning!Z$49:Z$356))/Z400-1)</f>
        <v>0</v>
      </c>
      <c r="AA605" s="166" t="n">
        <f aca="false">IF(AA400=0,0,(SUMIF(Resource_Planning!$P$49:$P$356,$P605,Resource_Planning!AA$49:AA$356))/AA400-1)</f>
        <v>0</v>
      </c>
      <c r="AB605" s="166" t="n">
        <f aca="false">IF(AB400=0,0,(SUMIF(Resource_Planning!$P$49:$P$356,$P605,Resource_Planning!AB$49:AB$356))/AB400-1)</f>
        <v>0</v>
      </c>
      <c r="AC605" s="166" t="n">
        <f aca="false">IF(AC400=0,0,(SUMIF(Resource_Planning!$P$49:$P$356,$P605,Resource_Planning!AC$49:AC$356))/AC400-1)</f>
        <v>0</v>
      </c>
      <c r="AD605" s="166" t="n">
        <f aca="false">IF(AD400=0,0,(SUMIF(Resource_Planning!$P$49:$P$356,$P605,Resource_Planning!AD$49:AD$356))/AD400-1)</f>
        <v>0</v>
      </c>
      <c r="AE605" s="166" t="n">
        <f aca="false">IF(AE400=0,0,(SUMIF(Resource_Planning!$P$49:$P$356,$P605,Resource_Planning!AE$49:AE$356))/AE400-1)</f>
        <v>0</v>
      </c>
      <c r="AF605" s="166" t="n">
        <f aca="false">IF(AF400=0,0,(SUMIF(Resource_Planning!$P$49:$P$356,$P605,Resource_Planning!AF$49:AF$356))/AF400-1)</f>
        <v>0</v>
      </c>
      <c r="AG605" s="166" t="n">
        <f aca="false">IF(AG400=0,0,(SUMIF(Resource_Planning!$P$49:$P$356,$P605,Resource_Planning!AG$49:AG$356))/AG400-1)</f>
        <v>0</v>
      </c>
      <c r="AH605" s="166" t="n">
        <f aca="false">IF(AH400=0,0,(SUMIF(Resource_Planning!$P$49:$P$356,$P605,Resource_Planning!AH$49:AH$356))/AH400-1)</f>
        <v>0</v>
      </c>
      <c r="AI605" s="166" t="n">
        <f aca="false">IF(AI400=0,0,(SUMIF(Resource_Planning!$P$49:$P$356,$P605,Resource_Planning!AI$49:AI$356))/AI400-1)</f>
        <v>0</v>
      </c>
      <c r="AJ605" s="166" t="n">
        <f aca="false">IF(AJ400=0,0,(SUMIF(Resource_Planning!$P$49:$P$356,$P605,Resource_Planning!AJ$49:AJ$356))/AJ400-1)</f>
        <v>0</v>
      </c>
      <c r="AK605" s="166" t="n">
        <f aca="false">IF(AK400=0,0,(SUMIF(Resource_Planning!$P$49:$P$356,$P605,Resource_Planning!AK$49:AK$356))/AK400-1)</f>
        <v>0</v>
      </c>
      <c r="AL605" s="166" t="n">
        <f aca="false">IF(AL400=0,0,(SUMIF(Resource_Planning!$P$49:$P$356,$P605,Resource_Planning!AL$49:AL$356))/AL400-1)</f>
        <v>0</v>
      </c>
      <c r="AM605" s="166" t="n">
        <f aca="false">IF(AM400=0,0,(SUMIF(Resource_Planning!$P$49:$P$356,$P605,Resource_Planning!AM$49:AM$356))/AM400-1)</f>
        <v>0</v>
      </c>
      <c r="AN605" s="166" t="n">
        <f aca="false">IF(AN400=0,0,(SUMIF(Resource_Planning!$P$49:$P$356,$P605,Resource_Planning!AN$49:AN$356))/AN400-1)</f>
        <v>0</v>
      </c>
      <c r="AO605" s="166" t="n">
        <f aca="false">IF(AO400=0,0,(SUMIF(Resource_Planning!$P$49:$P$356,$P605,Resource_Planning!AO$49:AO$356))/AO400-1)</f>
        <v>0</v>
      </c>
      <c r="AP605" s="166" t="n">
        <f aca="false">IF(AP400=0,0,(SUMIF(Resource_Planning!$P$49:$P$356,$P605,Resource_Planning!AP$49:AP$356))/AP400-1)</f>
        <v>0</v>
      </c>
      <c r="AQ605" s="166" t="n">
        <f aca="false">IF(AQ400=0,0,(SUMIF(Resource_Planning!$P$49:$P$356,$P605,Resource_Planning!AQ$49:AQ$356))/AQ400-1)</f>
        <v>0</v>
      </c>
      <c r="AR605" s="166" t="n">
        <f aca="false">IF(AR400=0,0,(SUMIF(Resource_Planning!$P$49:$P$356,$P605,Resource_Planning!AR$49:AR$356))/AR400-1)</f>
        <v>0</v>
      </c>
      <c r="AS605" s="166" t="n">
        <f aca="false">IF(AS400=0,0,(SUMIF(Resource_Planning!$P$49:$P$356,$P605,Resource_Planning!AS$49:AS$356))/AS400-1)</f>
        <v>0</v>
      </c>
      <c r="AT605" s="166" t="n">
        <f aca="false">IF(AT400=0,0,(SUMIF(Resource_Planning!$P$49:$P$356,$P605,Resource_Planning!AT$49:AT$356))/AT400-1)</f>
        <v>0</v>
      </c>
      <c r="AU605" s="166" t="n">
        <f aca="false">IF(AU400=0,0,(SUMIF(Resource_Planning!$P$49:$P$356,$P605,Resource_Planning!AU$49:AU$356))/AU400-1)</f>
        <v>0</v>
      </c>
      <c r="AV605" s="166" t="n">
        <f aca="false">IF(AV400=0,0,(SUMIF(Resource_Planning!$P$49:$P$356,$P605,Resource_Planning!AV$49:AV$356))/AV400-1)</f>
        <v>0</v>
      </c>
      <c r="AW605" s="166" t="n">
        <f aca="false">IF(AW400=0,0,(SUMIF(Resource_Planning!$P$49:$P$356,$P605,Resource_Planning!AW$49:AW$356))/AW400-1)</f>
        <v>0</v>
      </c>
      <c r="AX605" s="166" t="n">
        <f aca="false">IF(AX400=0,0,(SUMIF(Resource_Planning!$P$49:$P$356,$P605,Resource_Planning!AX$49:AX$356))/AX400-1)</f>
        <v>0</v>
      </c>
      <c r="AY605" s="166" t="n">
        <f aca="false">IF(AY400=0,0,(SUMIF(Resource_Planning!$P$49:$P$356,$P605,Resource_Planning!AY$49:AY$356))/AY400-1)</f>
        <v>0</v>
      </c>
      <c r="AZ605" s="166" t="n">
        <f aca="false">IF(AZ400=0,0,(SUMIF(Resource_Planning!$P$49:$P$356,$P605,Resource_Planning!AZ$49:AZ$356))/AZ400-1)</f>
        <v>0</v>
      </c>
      <c r="BA605" s="166" t="n">
        <f aca="false">IF(BA400=0,0,(SUMIF(Resource_Planning!$P$49:$P$356,$P605,Resource_Planning!BA$49:BA$356))/BA400-1)</f>
        <v>0</v>
      </c>
      <c r="BB605" s="166" t="n">
        <f aca="false">IF(BB400=0,0,(SUMIF(Resource_Planning!$P$49:$P$356,$P605,Resource_Planning!BB$49:BB$356))/BB400-1)</f>
        <v>0</v>
      </c>
    </row>
    <row r="606" s="173" customFormat="true" ht="15" hidden="true" customHeight="false" outlineLevel="1" collapsed="false">
      <c r="E606" s="40"/>
      <c r="K606" s="40"/>
      <c r="L606" s="40"/>
      <c r="M606" s="40"/>
      <c r="N606" s="40"/>
      <c r="P606" s="177" t="str">
        <f aca="false">P264</f>
        <v>Lastname11, Firstname11</v>
      </c>
      <c r="Q606" s="40"/>
      <c r="R606" s="178"/>
      <c r="S606" s="166" t="n">
        <f aca="false">IF(S401=0,0,(SUMIF(Resource_Planning!$P$49:$P$356,$P606,Resource_Planning!S$49:S$356))/S401-1)</f>
        <v>0</v>
      </c>
      <c r="T606" s="166" t="n">
        <f aca="false">IF(T401=0,0,(SUMIF(Resource_Planning!$P$49:$P$356,$P606,Resource_Planning!T$49:T$356))/T401-1)</f>
        <v>0</v>
      </c>
      <c r="U606" s="166" t="n">
        <f aca="false">IF(U401=0,0,(SUMIF(Resource_Planning!$P$49:$P$356,$P606,Resource_Planning!U$49:U$356))/U401-1)</f>
        <v>0</v>
      </c>
      <c r="V606" s="166" t="n">
        <f aca="false">IF(V401=0,0,(SUMIF(Resource_Planning!$P$49:$P$356,$P606,Resource_Planning!V$49:V$356))/V401-1)</f>
        <v>0</v>
      </c>
      <c r="W606" s="166" t="n">
        <f aca="false">IF(W401=0,0,(SUMIF(Resource_Planning!$P$49:$P$356,$P606,Resource_Planning!W$49:W$356))/W401-1)</f>
        <v>0</v>
      </c>
      <c r="X606" s="166" t="n">
        <f aca="false">IF(X401=0,0,(SUMIF(Resource_Planning!$P$49:$P$356,$P606,Resource_Planning!X$49:X$356))/X401-1)</f>
        <v>0</v>
      </c>
      <c r="Y606" s="166" t="n">
        <f aca="false">IF(Y401=0,0,(SUMIF(Resource_Planning!$P$49:$P$356,$P606,Resource_Planning!Y$49:Y$356))/Y401-1)</f>
        <v>0</v>
      </c>
      <c r="Z606" s="166" t="n">
        <f aca="false">IF(Z401=0,0,(SUMIF(Resource_Planning!$P$49:$P$356,$P606,Resource_Planning!Z$49:Z$356))/Z401-1)</f>
        <v>0</v>
      </c>
      <c r="AA606" s="166" t="n">
        <f aca="false">IF(AA401=0,0,(SUMIF(Resource_Planning!$P$49:$P$356,$P606,Resource_Planning!AA$49:AA$356))/AA401-1)</f>
        <v>0</v>
      </c>
      <c r="AB606" s="166" t="n">
        <f aca="false">IF(AB401=0,0,(SUMIF(Resource_Planning!$P$49:$P$356,$P606,Resource_Planning!AB$49:AB$356))/AB401-1)</f>
        <v>0</v>
      </c>
      <c r="AC606" s="166" t="n">
        <f aca="false">IF(AC401=0,0,(SUMIF(Resource_Planning!$P$49:$P$356,$P606,Resource_Planning!AC$49:AC$356))/AC401-1)</f>
        <v>0</v>
      </c>
      <c r="AD606" s="166" t="n">
        <f aca="false">IF(AD401=0,0,(SUMIF(Resource_Planning!$P$49:$P$356,$P606,Resource_Planning!AD$49:AD$356))/AD401-1)</f>
        <v>0</v>
      </c>
      <c r="AE606" s="166" t="n">
        <f aca="false">IF(AE401=0,0,(SUMIF(Resource_Planning!$P$49:$P$356,$P606,Resource_Planning!AE$49:AE$356))/AE401-1)</f>
        <v>0</v>
      </c>
      <c r="AF606" s="166" t="n">
        <f aca="false">IF(AF401=0,0,(SUMIF(Resource_Planning!$P$49:$P$356,$P606,Resource_Planning!AF$49:AF$356))/AF401-1)</f>
        <v>0</v>
      </c>
      <c r="AG606" s="166" t="n">
        <f aca="false">IF(AG401=0,0,(SUMIF(Resource_Planning!$P$49:$P$356,$P606,Resource_Planning!AG$49:AG$356))/AG401-1)</f>
        <v>0</v>
      </c>
      <c r="AH606" s="166" t="n">
        <f aca="false">IF(AH401=0,0,(SUMIF(Resource_Planning!$P$49:$P$356,$P606,Resource_Planning!AH$49:AH$356))/AH401-1)</f>
        <v>0</v>
      </c>
      <c r="AI606" s="166" t="n">
        <f aca="false">IF(AI401=0,0,(SUMIF(Resource_Planning!$P$49:$P$356,$P606,Resource_Planning!AI$49:AI$356))/AI401-1)</f>
        <v>0</v>
      </c>
      <c r="AJ606" s="166" t="n">
        <f aca="false">IF(AJ401=0,0,(SUMIF(Resource_Planning!$P$49:$P$356,$P606,Resource_Planning!AJ$49:AJ$356))/AJ401-1)</f>
        <v>0</v>
      </c>
      <c r="AK606" s="166" t="n">
        <f aca="false">IF(AK401=0,0,(SUMIF(Resource_Planning!$P$49:$P$356,$P606,Resource_Planning!AK$49:AK$356))/AK401-1)</f>
        <v>0</v>
      </c>
      <c r="AL606" s="166" t="n">
        <f aca="false">IF(AL401=0,0,(SUMIF(Resource_Planning!$P$49:$P$356,$P606,Resource_Planning!AL$49:AL$356))/AL401-1)</f>
        <v>0</v>
      </c>
      <c r="AM606" s="166" t="n">
        <f aca="false">IF(AM401=0,0,(SUMIF(Resource_Planning!$P$49:$P$356,$P606,Resource_Planning!AM$49:AM$356))/AM401-1)</f>
        <v>0</v>
      </c>
      <c r="AN606" s="166" t="n">
        <f aca="false">IF(AN401=0,0,(SUMIF(Resource_Planning!$P$49:$P$356,$P606,Resource_Planning!AN$49:AN$356))/AN401-1)</f>
        <v>0</v>
      </c>
      <c r="AO606" s="166" t="n">
        <f aca="false">IF(AO401=0,0,(SUMIF(Resource_Planning!$P$49:$P$356,$P606,Resource_Planning!AO$49:AO$356))/AO401-1)</f>
        <v>0</v>
      </c>
      <c r="AP606" s="166" t="n">
        <f aca="false">IF(AP401=0,0,(SUMIF(Resource_Planning!$P$49:$P$356,$P606,Resource_Planning!AP$49:AP$356))/AP401-1)</f>
        <v>0</v>
      </c>
      <c r="AQ606" s="166" t="n">
        <f aca="false">IF(AQ401=0,0,(SUMIF(Resource_Planning!$P$49:$P$356,$P606,Resource_Planning!AQ$49:AQ$356))/AQ401-1)</f>
        <v>0</v>
      </c>
      <c r="AR606" s="166" t="n">
        <f aca="false">IF(AR401=0,0,(SUMIF(Resource_Planning!$P$49:$P$356,$P606,Resource_Planning!AR$49:AR$356))/AR401-1)</f>
        <v>0</v>
      </c>
      <c r="AS606" s="166" t="n">
        <f aca="false">IF(AS401=0,0,(SUMIF(Resource_Planning!$P$49:$P$356,$P606,Resource_Planning!AS$49:AS$356))/AS401-1)</f>
        <v>0</v>
      </c>
      <c r="AT606" s="166" t="n">
        <f aca="false">IF(AT401=0,0,(SUMIF(Resource_Planning!$P$49:$P$356,$P606,Resource_Planning!AT$49:AT$356))/AT401-1)</f>
        <v>0</v>
      </c>
      <c r="AU606" s="166" t="n">
        <f aca="false">IF(AU401=0,0,(SUMIF(Resource_Planning!$P$49:$P$356,$P606,Resource_Planning!AU$49:AU$356))/AU401-1)</f>
        <v>0</v>
      </c>
      <c r="AV606" s="166" t="n">
        <f aca="false">IF(AV401=0,0,(SUMIF(Resource_Planning!$P$49:$P$356,$P606,Resource_Planning!AV$49:AV$356))/AV401-1)</f>
        <v>0</v>
      </c>
      <c r="AW606" s="166" t="n">
        <f aca="false">IF(AW401=0,0,(SUMIF(Resource_Planning!$P$49:$P$356,$P606,Resource_Planning!AW$49:AW$356))/AW401-1)</f>
        <v>0</v>
      </c>
      <c r="AX606" s="166" t="n">
        <f aca="false">IF(AX401=0,0,(SUMIF(Resource_Planning!$P$49:$P$356,$P606,Resource_Planning!AX$49:AX$356))/AX401-1)</f>
        <v>0</v>
      </c>
      <c r="AY606" s="166" t="n">
        <f aca="false">IF(AY401=0,0,(SUMIF(Resource_Planning!$P$49:$P$356,$P606,Resource_Planning!AY$49:AY$356))/AY401-1)</f>
        <v>0</v>
      </c>
      <c r="AZ606" s="166" t="n">
        <f aca="false">IF(AZ401=0,0,(SUMIF(Resource_Planning!$P$49:$P$356,$P606,Resource_Planning!AZ$49:AZ$356))/AZ401-1)</f>
        <v>0</v>
      </c>
      <c r="BA606" s="166" t="n">
        <f aca="false">IF(BA401=0,0,(SUMIF(Resource_Planning!$P$49:$P$356,$P606,Resource_Planning!BA$49:BA$356))/BA401-1)</f>
        <v>0</v>
      </c>
      <c r="BB606" s="166" t="n">
        <f aca="false">IF(BB401=0,0,(SUMIF(Resource_Planning!$P$49:$P$356,$P606,Resource_Planning!BB$49:BB$356))/BB401-1)</f>
        <v>0</v>
      </c>
    </row>
    <row r="607" s="173" customFormat="true" ht="15" hidden="true" customHeight="false" outlineLevel="1" collapsed="false">
      <c r="E607" s="40"/>
      <c r="K607" s="40"/>
      <c r="L607" s="40"/>
      <c r="M607" s="40"/>
      <c r="N607" s="40"/>
      <c r="P607" s="177" t="str">
        <f aca="false">P265</f>
        <v>Lastname12, Firstname12</v>
      </c>
      <c r="Q607" s="40"/>
      <c r="R607" s="178"/>
      <c r="S607" s="166" t="n">
        <f aca="false">IF(S402=0,0,(SUMIF(Resource_Planning!$P$49:$P$356,$P607,Resource_Planning!S$49:S$356))/S402-1)</f>
        <v>0</v>
      </c>
      <c r="T607" s="166" t="n">
        <f aca="false">IF(T402=0,0,(SUMIF(Resource_Planning!$P$49:$P$356,$P607,Resource_Planning!T$49:T$356))/T402-1)</f>
        <v>0</v>
      </c>
      <c r="U607" s="166" t="n">
        <f aca="false">IF(U402=0,0,(SUMIF(Resource_Planning!$P$49:$P$356,$P607,Resource_Planning!U$49:U$356))/U402-1)</f>
        <v>0</v>
      </c>
      <c r="V607" s="166" t="n">
        <f aca="false">IF(V402=0,0,(SUMIF(Resource_Planning!$P$49:$P$356,$P607,Resource_Planning!V$49:V$356))/V402-1)</f>
        <v>0</v>
      </c>
      <c r="W607" s="166" t="n">
        <f aca="false">IF(W402=0,0,(SUMIF(Resource_Planning!$P$49:$P$356,$P607,Resource_Planning!W$49:W$356))/W402-1)</f>
        <v>0</v>
      </c>
      <c r="X607" s="166" t="n">
        <f aca="false">IF(X402=0,0,(SUMIF(Resource_Planning!$P$49:$P$356,$P607,Resource_Planning!X$49:X$356))/X402-1)</f>
        <v>0</v>
      </c>
      <c r="Y607" s="166" t="n">
        <f aca="false">IF(Y402=0,0,(SUMIF(Resource_Planning!$P$49:$P$356,$P607,Resource_Planning!Y$49:Y$356))/Y402-1)</f>
        <v>0</v>
      </c>
      <c r="Z607" s="166" t="n">
        <f aca="false">IF(Z402=0,0,(SUMIF(Resource_Planning!$P$49:$P$356,$P607,Resource_Planning!Z$49:Z$356))/Z402-1)</f>
        <v>0</v>
      </c>
      <c r="AA607" s="166" t="n">
        <f aca="false">IF(AA402=0,0,(SUMIF(Resource_Planning!$P$49:$P$356,$P607,Resource_Planning!AA$49:AA$356))/AA402-1)</f>
        <v>0</v>
      </c>
      <c r="AB607" s="166" t="n">
        <f aca="false">IF(AB402=0,0,(SUMIF(Resource_Planning!$P$49:$P$356,$P607,Resource_Planning!AB$49:AB$356))/AB402-1)</f>
        <v>0</v>
      </c>
      <c r="AC607" s="166" t="n">
        <f aca="false">IF(AC402=0,0,(SUMIF(Resource_Planning!$P$49:$P$356,$P607,Resource_Planning!AC$49:AC$356))/AC402-1)</f>
        <v>0</v>
      </c>
      <c r="AD607" s="166" t="n">
        <f aca="false">IF(AD402=0,0,(SUMIF(Resource_Planning!$P$49:$P$356,$P607,Resource_Planning!AD$49:AD$356))/AD402-1)</f>
        <v>0</v>
      </c>
      <c r="AE607" s="166" t="n">
        <f aca="false">IF(AE402=0,0,(SUMIF(Resource_Planning!$P$49:$P$356,$P607,Resource_Planning!AE$49:AE$356))/AE402-1)</f>
        <v>0</v>
      </c>
      <c r="AF607" s="166" t="n">
        <f aca="false">IF(AF402=0,0,(SUMIF(Resource_Planning!$P$49:$P$356,$P607,Resource_Planning!AF$49:AF$356))/AF402-1)</f>
        <v>0</v>
      </c>
      <c r="AG607" s="166" t="n">
        <f aca="false">IF(AG402=0,0,(SUMIF(Resource_Planning!$P$49:$P$356,$P607,Resource_Planning!AG$49:AG$356))/AG402-1)</f>
        <v>0</v>
      </c>
      <c r="AH607" s="166" t="n">
        <f aca="false">IF(AH402=0,0,(SUMIF(Resource_Planning!$P$49:$P$356,$P607,Resource_Planning!AH$49:AH$356))/AH402-1)</f>
        <v>0</v>
      </c>
      <c r="AI607" s="166" t="n">
        <f aca="false">IF(AI402=0,0,(SUMIF(Resource_Planning!$P$49:$P$356,$P607,Resource_Planning!AI$49:AI$356))/AI402-1)</f>
        <v>0</v>
      </c>
      <c r="AJ607" s="166" t="n">
        <f aca="false">IF(AJ402=0,0,(SUMIF(Resource_Planning!$P$49:$P$356,$P607,Resource_Planning!AJ$49:AJ$356))/AJ402-1)</f>
        <v>0</v>
      </c>
      <c r="AK607" s="166" t="n">
        <f aca="false">IF(AK402=0,0,(SUMIF(Resource_Planning!$P$49:$P$356,$P607,Resource_Planning!AK$49:AK$356))/AK402-1)</f>
        <v>0</v>
      </c>
      <c r="AL607" s="166" t="n">
        <f aca="false">IF(AL402=0,0,(SUMIF(Resource_Planning!$P$49:$P$356,$P607,Resource_Planning!AL$49:AL$356))/AL402-1)</f>
        <v>0</v>
      </c>
      <c r="AM607" s="166" t="n">
        <f aca="false">IF(AM402=0,0,(SUMIF(Resource_Planning!$P$49:$P$356,$P607,Resource_Planning!AM$49:AM$356))/AM402-1)</f>
        <v>0</v>
      </c>
      <c r="AN607" s="166" t="n">
        <f aca="false">IF(AN402=0,0,(SUMIF(Resource_Planning!$P$49:$P$356,$P607,Resource_Planning!AN$49:AN$356))/AN402-1)</f>
        <v>0</v>
      </c>
      <c r="AO607" s="166" t="n">
        <f aca="false">IF(AO402=0,0,(SUMIF(Resource_Planning!$P$49:$P$356,$P607,Resource_Planning!AO$49:AO$356))/AO402-1)</f>
        <v>0</v>
      </c>
      <c r="AP607" s="166" t="n">
        <f aca="false">IF(AP402=0,0,(SUMIF(Resource_Planning!$P$49:$P$356,$P607,Resource_Planning!AP$49:AP$356))/AP402-1)</f>
        <v>0</v>
      </c>
      <c r="AQ607" s="166" t="n">
        <f aca="false">IF(AQ402=0,0,(SUMIF(Resource_Planning!$P$49:$P$356,$P607,Resource_Planning!AQ$49:AQ$356))/AQ402-1)</f>
        <v>0</v>
      </c>
      <c r="AR607" s="166" t="n">
        <f aca="false">IF(AR402=0,0,(SUMIF(Resource_Planning!$P$49:$P$356,$P607,Resource_Planning!AR$49:AR$356))/AR402-1)</f>
        <v>0</v>
      </c>
      <c r="AS607" s="166" t="n">
        <f aca="false">IF(AS402=0,0,(SUMIF(Resource_Planning!$P$49:$P$356,$P607,Resource_Planning!AS$49:AS$356))/AS402-1)</f>
        <v>0</v>
      </c>
      <c r="AT607" s="166" t="n">
        <f aca="false">IF(AT402=0,0,(SUMIF(Resource_Planning!$P$49:$P$356,$P607,Resource_Planning!AT$49:AT$356))/AT402-1)</f>
        <v>0</v>
      </c>
      <c r="AU607" s="166" t="n">
        <f aca="false">IF(AU402=0,0,(SUMIF(Resource_Planning!$P$49:$P$356,$P607,Resource_Planning!AU$49:AU$356))/AU402-1)</f>
        <v>0</v>
      </c>
      <c r="AV607" s="166" t="n">
        <f aca="false">IF(AV402=0,0,(SUMIF(Resource_Planning!$P$49:$P$356,$P607,Resource_Planning!AV$49:AV$356))/AV402-1)</f>
        <v>0</v>
      </c>
      <c r="AW607" s="166" t="n">
        <f aca="false">IF(AW402=0,0,(SUMIF(Resource_Planning!$P$49:$P$356,$P607,Resource_Planning!AW$49:AW$356))/AW402-1)</f>
        <v>0</v>
      </c>
      <c r="AX607" s="166" t="n">
        <f aca="false">IF(AX402=0,0,(SUMIF(Resource_Planning!$P$49:$P$356,$P607,Resource_Planning!AX$49:AX$356))/AX402-1)</f>
        <v>0</v>
      </c>
      <c r="AY607" s="166" t="n">
        <f aca="false">IF(AY402=0,0,(SUMIF(Resource_Planning!$P$49:$P$356,$P607,Resource_Planning!AY$49:AY$356))/AY402-1)</f>
        <v>0</v>
      </c>
      <c r="AZ607" s="166" t="n">
        <f aca="false">IF(AZ402=0,0,(SUMIF(Resource_Planning!$P$49:$P$356,$P607,Resource_Planning!AZ$49:AZ$356))/AZ402-1)</f>
        <v>0</v>
      </c>
      <c r="BA607" s="166" t="n">
        <f aca="false">IF(BA402=0,0,(SUMIF(Resource_Planning!$P$49:$P$356,$P607,Resource_Planning!BA$49:BA$356))/BA402-1)</f>
        <v>0</v>
      </c>
      <c r="BB607" s="166" t="n">
        <f aca="false">IF(BB402=0,0,(SUMIF(Resource_Planning!$P$49:$P$356,$P607,Resource_Planning!BB$49:BB$356))/BB402-1)</f>
        <v>0</v>
      </c>
    </row>
    <row r="608" s="173" customFormat="true" ht="15" hidden="true" customHeight="false" outlineLevel="1" collapsed="false">
      <c r="E608" s="40"/>
      <c r="K608" s="40"/>
      <c r="L608" s="40"/>
      <c r="M608" s="40"/>
      <c r="N608" s="40"/>
      <c r="P608" s="177" t="str">
        <f aca="false">P266</f>
        <v>Lastname13, Firstname13</v>
      </c>
      <c r="Q608" s="40"/>
      <c r="R608" s="178"/>
      <c r="S608" s="166" t="n">
        <f aca="false">IF(S403=0,0,(SUMIF(Resource_Planning!$P$49:$P$356,$P608,Resource_Planning!S$49:S$356))/S403-1)</f>
        <v>0</v>
      </c>
      <c r="T608" s="166" t="n">
        <f aca="false">IF(T403=0,0,(SUMIF(Resource_Planning!$P$49:$P$356,$P608,Resource_Planning!T$49:T$356))/T403-1)</f>
        <v>0</v>
      </c>
      <c r="U608" s="166" t="n">
        <f aca="false">IF(U403=0,0,(SUMIF(Resource_Planning!$P$49:$P$356,$P608,Resource_Planning!U$49:U$356))/U403-1)</f>
        <v>0</v>
      </c>
      <c r="V608" s="166" t="n">
        <f aca="false">IF(V403=0,0,(SUMIF(Resource_Planning!$P$49:$P$356,$P608,Resource_Planning!V$49:V$356))/V403-1)</f>
        <v>0</v>
      </c>
      <c r="W608" s="166" t="n">
        <f aca="false">IF(W403=0,0,(SUMIF(Resource_Planning!$P$49:$P$356,$P608,Resource_Planning!W$49:W$356))/W403-1)</f>
        <v>0</v>
      </c>
      <c r="X608" s="166" t="n">
        <f aca="false">IF(X403=0,0,(SUMIF(Resource_Planning!$P$49:$P$356,$P608,Resource_Planning!X$49:X$356))/X403-1)</f>
        <v>0</v>
      </c>
      <c r="Y608" s="166" t="n">
        <f aca="false">IF(Y403=0,0,(SUMIF(Resource_Planning!$P$49:$P$356,$P608,Resource_Planning!Y$49:Y$356))/Y403-1)</f>
        <v>0</v>
      </c>
      <c r="Z608" s="166" t="n">
        <f aca="false">IF(Z403=0,0,(SUMIF(Resource_Planning!$P$49:$P$356,$P608,Resource_Planning!Z$49:Z$356))/Z403-1)</f>
        <v>0</v>
      </c>
      <c r="AA608" s="166" t="n">
        <f aca="false">IF(AA403=0,0,(SUMIF(Resource_Planning!$P$49:$P$356,$P608,Resource_Planning!AA$49:AA$356))/AA403-1)</f>
        <v>0</v>
      </c>
      <c r="AB608" s="166" t="n">
        <f aca="false">IF(AB403=0,0,(SUMIF(Resource_Planning!$P$49:$P$356,$P608,Resource_Planning!AB$49:AB$356))/AB403-1)</f>
        <v>0</v>
      </c>
      <c r="AC608" s="166" t="n">
        <f aca="false">IF(AC403=0,0,(SUMIF(Resource_Planning!$P$49:$P$356,$P608,Resource_Planning!AC$49:AC$356))/AC403-1)</f>
        <v>0</v>
      </c>
      <c r="AD608" s="166" t="n">
        <f aca="false">IF(AD403=0,0,(SUMIF(Resource_Planning!$P$49:$P$356,$P608,Resource_Planning!AD$49:AD$356))/AD403-1)</f>
        <v>0</v>
      </c>
      <c r="AE608" s="166" t="n">
        <f aca="false">IF(AE403=0,0,(SUMIF(Resource_Planning!$P$49:$P$356,$P608,Resource_Planning!AE$49:AE$356))/AE403-1)</f>
        <v>0</v>
      </c>
      <c r="AF608" s="166" t="n">
        <f aca="false">IF(AF403=0,0,(SUMIF(Resource_Planning!$P$49:$P$356,$P608,Resource_Planning!AF$49:AF$356))/AF403-1)</f>
        <v>0</v>
      </c>
      <c r="AG608" s="166" t="n">
        <f aca="false">IF(AG403=0,0,(SUMIF(Resource_Planning!$P$49:$P$356,$P608,Resource_Planning!AG$49:AG$356))/AG403-1)</f>
        <v>0</v>
      </c>
      <c r="AH608" s="166" t="n">
        <f aca="false">IF(AH403=0,0,(SUMIF(Resource_Planning!$P$49:$P$356,$P608,Resource_Planning!AH$49:AH$356))/AH403-1)</f>
        <v>0</v>
      </c>
      <c r="AI608" s="166" t="n">
        <f aca="false">IF(AI403=0,0,(SUMIF(Resource_Planning!$P$49:$P$356,$P608,Resource_Planning!AI$49:AI$356))/AI403-1)</f>
        <v>0</v>
      </c>
      <c r="AJ608" s="166" t="n">
        <f aca="false">IF(AJ403=0,0,(SUMIF(Resource_Planning!$P$49:$P$356,$P608,Resource_Planning!AJ$49:AJ$356))/AJ403-1)</f>
        <v>0</v>
      </c>
      <c r="AK608" s="166" t="n">
        <f aca="false">IF(AK403=0,0,(SUMIF(Resource_Planning!$P$49:$P$356,$P608,Resource_Planning!AK$49:AK$356))/AK403-1)</f>
        <v>0</v>
      </c>
      <c r="AL608" s="166" t="n">
        <f aca="false">IF(AL403=0,0,(SUMIF(Resource_Planning!$P$49:$P$356,$P608,Resource_Planning!AL$49:AL$356))/AL403-1)</f>
        <v>0</v>
      </c>
      <c r="AM608" s="166" t="n">
        <f aca="false">IF(AM403=0,0,(SUMIF(Resource_Planning!$P$49:$P$356,$P608,Resource_Planning!AM$49:AM$356))/AM403-1)</f>
        <v>0</v>
      </c>
      <c r="AN608" s="166" t="n">
        <f aca="false">IF(AN403=0,0,(SUMIF(Resource_Planning!$P$49:$P$356,$P608,Resource_Planning!AN$49:AN$356))/AN403-1)</f>
        <v>0</v>
      </c>
      <c r="AO608" s="166" t="n">
        <f aca="false">IF(AO403=0,0,(SUMIF(Resource_Planning!$P$49:$P$356,$P608,Resource_Planning!AO$49:AO$356))/AO403-1)</f>
        <v>0</v>
      </c>
      <c r="AP608" s="166" t="n">
        <f aca="false">IF(AP403=0,0,(SUMIF(Resource_Planning!$P$49:$P$356,$P608,Resource_Planning!AP$49:AP$356))/AP403-1)</f>
        <v>0</v>
      </c>
      <c r="AQ608" s="166" t="n">
        <f aca="false">IF(AQ403=0,0,(SUMIF(Resource_Planning!$P$49:$P$356,$P608,Resource_Planning!AQ$49:AQ$356))/AQ403-1)</f>
        <v>0</v>
      </c>
      <c r="AR608" s="166" t="n">
        <f aca="false">IF(AR403=0,0,(SUMIF(Resource_Planning!$P$49:$P$356,$P608,Resource_Planning!AR$49:AR$356))/AR403-1)</f>
        <v>0</v>
      </c>
      <c r="AS608" s="166" t="n">
        <f aca="false">IF(AS403=0,0,(SUMIF(Resource_Planning!$P$49:$P$356,$P608,Resource_Planning!AS$49:AS$356))/AS403-1)</f>
        <v>0</v>
      </c>
      <c r="AT608" s="166" t="n">
        <f aca="false">IF(AT403=0,0,(SUMIF(Resource_Planning!$P$49:$P$356,$P608,Resource_Planning!AT$49:AT$356))/AT403-1)</f>
        <v>0</v>
      </c>
      <c r="AU608" s="166" t="n">
        <f aca="false">IF(AU403=0,0,(SUMIF(Resource_Planning!$P$49:$P$356,$P608,Resource_Planning!AU$49:AU$356))/AU403-1)</f>
        <v>0</v>
      </c>
      <c r="AV608" s="166" t="n">
        <f aca="false">IF(AV403=0,0,(SUMIF(Resource_Planning!$P$49:$P$356,$P608,Resource_Planning!AV$49:AV$356))/AV403-1)</f>
        <v>0</v>
      </c>
      <c r="AW608" s="166" t="n">
        <f aca="false">IF(AW403=0,0,(SUMIF(Resource_Planning!$P$49:$P$356,$P608,Resource_Planning!AW$49:AW$356))/AW403-1)</f>
        <v>0</v>
      </c>
      <c r="AX608" s="166" t="n">
        <f aca="false">IF(AX403=0,0,(SUMIF(Resource_Planning!$P$49:$P$356,$P608,Resource_Planning!AX$49:AX$356))/AX403-1)</f>
        <v>0</v>
      </c>
      <c r="AY608" s="166" t="n">
        <f aca="false">IF(AY403=0,0,(SUMIF(Resource_Planning!$P$49:$P$356,$P608,Resource_Planning!AY$49:AY$356))/AY403-1)</f>
        <v>0</v>
      </c>
      <c r="AZ608" s="166" t="n">
        <f aca="false">IF(AZ403=0,0,(SUMIF(Resource_Planning!$P$49:$P$356,$P608,Resource_Planning!AZ$49:AZ$356))/AZ403-1)</f>
        <v>0</v>
      </c>
      <c r="BA608" s="166" t="n">
        <f aca="false">IF(BA403=0,0,(SUMIF(Resource_Planning!$P$49:$P$356,$P608,Resource_Planning!BA$49:BA$356))/BA403-1)</f>
        <v>0</v>
      </c>
      <c r="BB608" s="166" t="n">
        <f aca="false">IF(BB403=0,0,(SUMIF(Resource_Planning!$P$49:$P$356,$P608,Resource_Planning!BB$49:BB$356))/BB403-1)</f>
        <v>0</v>
      </c>
    </row>
    <row r="609" s="173" customFormat="true" ht="15" hidden="true" customHeight="false" outlineLevel="1" collapsed="false">
      <c r="E609" s="40"/>
      <c r="K609" s="40"/>
      <c r="L609" s="40"/>
      <c r="M609" s="40"/>
      <c r="N609" s="40"/>
      <c r="P609" s="177" t="str">
        <f aca="false">P267</f>
        <v>Lastname14, Firstname14</v>
      </c>
      <c r="Q609" s="40"/>
      <c r="R609" s="178"/>
      <c r="S609" s="166" t="n">
        <f aca="false">IF(S404=0,0,(SUMIF(Resource_Planning!$P$49:$P$356,$P609,Resource_Planning!S$49:S$356))/S404-1)</f>
        <v>0</v>
      </c>
      <c r="T609" s="166" t="n">
        <f aca="false">IF(T404=0,0,(SUMIF(Resource_Planning!$P$49:$P$356,$P609,Resource_Planning!T$49:T$356))/T404-1)</f>
        <v>0</v>
      </c>
      <c r="U609" s="166" t="n">
        <f aca="false">IF(U404=0,0,(SUMIF(Resource_Planning!$P$49:$P$356,$P609,Resource_Planning!U$49:U$356))/U404-1)</f>
        <v>0</v>
      </c>
      <c r="V609" s="166" t="n">
        <f aca="false">IF(V404=0,0,(SUMIF(Resource_Planning!$P$49:$P$356,$P609,Resource_Planning!V$49:V$356))/V404-1)</f>
        <v>0</v>
      </c>
      <c r="W609" s="166" t="n">
        <f aca="false">IF(W404=0,0,(SUMIF(Resource_Planning!$P$49:$P$356,$P609,Resource_Planning!W$49:W$356))/W404-1)</f>
        <v>0</v>
      </c>
      <c r="X609" s="166" t="n">
        <f aca="false">IF(X404=0,0,(SUMIF(Resource_Planning!$P$49:$P$356,$P609,Resource_Planning!X$49:X$356))/X404-1)</f>
        <v>0</v>
      </c>
      <c r="Y609" s="166" t="n">
        <f aca="false">IF(Y404=0,0,(SUMIF(Resource_Planning!$P$49:$P$356,$P609,Resource_Planning!Y$49:Y$356))/Y404-1)</f>
        <v>0</v>
      </c>
      <c r="Z609" s="166" t="n">
        <f aca="false">IF(Z404=0,0,(SUMIF(Resource_Planning!$P$49:$P$356,$P609,Resource_Planning!Z$49:Z$356))/Z404-1)</f>
        <v>0</v>
      </c>
      <c r="AA609" s="166" t="n">
        <f aca="false">IF(AA404=0,0,(SUMIF(Resource_Planning!$P$49:$P$356,$P609,Resource_Planning!AA$49:AA$356))/AA404-1)</f>
        <v>0</v>
      </c>
      <c r="AB609" s="166" t="n">
        <f aca="false">IF(AB404=0,0,(SUMIF(Resource_Planning!$P$49:$P$356,$P609,Resource_Planning!AB$49:AB$356))/AB404-1)</f>
        <v>0</v>
      </c>
      <c r="AC609" s="166" t="n">
        <f aca="false">IF(AC404=0,0,(SUMIF(Resource_Planning!$P$49:$P$356,$P609,Resource_Planning!AC$49:AC$356))/AC404-1)</f>
        <v>0</v>
      </c>
      <c r="AD609" s="166" t="n">
        <f aca="false">IF(AD404=0,0,(SUMIF(Resource_Planning!$P$49:$P$356,$P609,Resource_Planning!AD$49:AD$356))/AD404-1)</f>
        <v>0</v>
      </c>
      <c r="AE609" s="166" t="n">
        <f aca="false">IF(AE404=0,0,(SUMIF(Resource_Planning!$P$49:$P$356,$P609,Resource_Planning!AE$49:AE$356))/AE404-1)</f>
        <v>0</v>
      </c>
      <c r="AF609" s="166" t="n">
        <f aca="false">IF(AF404=0,0,(SUMIF(Resource_Planning!$P$49:$P$356,$P609,Resource_Planning!AF$49:AF$356))/AF404-1)</f>
        <v>0</v>
      </c>
      <c r="AG609" s="166" t="n">
        <f aca="false">IF(AG404=0,0,(SUMIF(Resource_Planning!$P$49:$P$356,$P609,Resource_Planning!AG$49:AG$356))/AG404-1)</f>
        <v>0</v>
      </c>
      <c r="AH609" s="166" t="n">
        <f aca="false">IF(AH404=0,0,(SUMIF(Resource_Planning!$P$49:$P$356,$P609,Resource_Planning!AH$49:AH$356))/AH404-1)</f>
        <v>0</v>
      </c>
      <c r="AI609" s="166" t="n">
        <f aca="false">IF(AI404=0,0,(SUMIF(Resource_Planning!$P$49:$P$356,$P609,Resource_Planning!AI$49:AI$356))/AI404-1)</f>
        <v>0</v>
      </c>
      <c r="AJ609" s="166" t="n">
        <f aca="false">IF(AJ404=0,0,(SUMIF(Resource_Planning!$P$49:$P$356,$P609,Resource_Planning!AJ$49:AJ$356))/AJ404-1)</f>
        <v>0</v>
      </c>
      <c r="AK609" s="166" t="n">
        <f aca="false">IF(AK404=0,0,(SUMIF(Resource_Planning!$P$49:$P$356,$P609,Resource_Planning!AK$49:AK$356))/AK404-1)</f>
        <v>0</v>
      </c>
      <c r="AL609" s="166" t="n">
        <f aca="false">IF(AL404=0,0,(SUMIF(Resource_Planning!$P$49:$P$356,$P609,Resource_Planning!AL$49:AL$356))/AL404-1)</f>
        <v>0</v>
      </c>
      <c r="AM609" s="166" t="n">
        <f aca="false">IF(AM404=0,0,(SUMIF(Resource_Planning!$P$49:$P$356,$P609,Resource_Planning!AM$49:AM$356))/AM404-1)</f>
        <v>0</v>
      </c>
      <c r="AN609" s="166" t="n">
        <f aca="false">IF(AN404=0,0,(SUMIF(Resource_Planning!$P$49:$P$356,$P609,Resource_Planning!AN$49:AN$356))/AN404-1)</f>
        <v>0</v>
      </c>
      <c r="AO609" s="166" t="n">
        <f aca="false">IF(AO404=0,0,(SUMIF(Resource_Planning!$P$49:$P$356,$P609,Resource_Planning!AO$49:AO$356))/AO404-1)</f>
        <v>0</v>
      </c>
      <c r="AP609" s="166" t="n">
        <f aca="false">IF(AP404=0,0,(SUMIF(Resource_Planning!$P$49:$P$356,$P609,Resource_Planning!AP$49:AP$356))/AP404-1)</f>
        <v>0</v>
      </c>
      <c r="AQ609" s="166" t="n">
        <f aca="false">IF(AQ404=0,0,(SUMIF(Resource_Planning!$P$49:$P$356,$P609,Resource_Planning!AQ$49:AQ$356))/AQ404-1)</f>
        <v>0</v>
      </c>
      <c r="AR609" s="166" t="n">
        <f aca="false">IF(AR404=0,0,(SUMIF(Resource_Planning!$P$49:$P$356,$P609,Resource_Planning!AR$49:AR$356))/AR404-1)</f>
        <v>0</v>
      </c>
      <c r="AS609" s="166" t="n">
        <f aca="false">IF(AS404=0,0,(SUMIF(Resource_Planning!$P$49:$P$356,$P609,Resource_Planning!AS$49:AS$356))/AS404-1)</f>
        <v>0</v>
      </c>
      <c r="AT609" s="166" t="n">
        <f aca="false">IF(AT404=0,0,(SUMIF(Resource_Planning!$P$49:$P$356,$P609,Resource_Planning!AT$49:AT$356))/AT404-1)</f>
        <v>0</v>
      </c>
      <c r="AU609" s="166" t="n">
        <f aca="false">IF(AU404=0,0,(SUMIF(Resource_Planning!$P$49:$P$356,$P609,Resource_Planning!AU$49:AU$356))/AU404-1)</f>
        <v>0</v>
      </c>
      <c r="AV609" s="166" t="n">
        <f aca="false">IF(AV404=0,0,(SUMIF(Resource_Planning!$P$49:$P$356,$P609,Resource_Planning!AV$49:AV$356))/AV404-1)</f>
        <v>0</v>
      </c>
      <c r="AW609" s="166" t="n">
        <f aca="false">IF(AW404=0,0,(SUMIF(Resource_Planning!$P$49:$P$356,$P609,Resource_Planning!AW$49:AW$356))/AW404-1)</f>
        <v>0</v>
      </c>
      <c r="AX609" s="166" t="n">
        <f aca="false">IF(AX404=0,0,(SUMIF(Resource_Planning!$P$49:$P$356,$P609,Resource_Planning!AX$49:AX$356))/AX404-1)</f>
        <v>0</v>
      </c>
      <c r="AY609" s="166" t="n">
        <f aca="false">IF(AY404=0,0,(SUMIF(Resource_Planning!$P$49:$P$356,$P609,Resource_Planning!AY$49:AY$356))/AY404-1)</f>
        <v>0</v>
      </c>
      <c r="AZ609" s="166" t="n">
        <f aca="false">IF(AZ404=0,0,(SUMIF(Resource_Planning!$P$49:$P$356,$P609,Resource_Planning!AZ$49:AZ$356))/AZ404-1)</f>
        <v>0</v>
      </c>
      <c r="BA609" s="166" t="n">
        <f aca="false">IF(BA404=0,0,(SUMIF(Resource_Planning!$P$49:$P$356,$P609,Resource_Planning!BA$49:BA$356))/BA404-1)</f>
        <v>0</v>
      </c>
      <c r="BB609" s="166" t="n">
        <f aca="false">IF(BB404=0,0,(SUMIF(Resource_Planning!$P$49:$P$356,$P609,Resource_Planning!BB$49:BB$356))/BB404-1)</f>
        <v>0</v>
      </c>
    </row>
    <row r="610" s="173" customFormat="true" ht="15" hidden="true" customHeight="false" outlineLevel="1" collapsed="false">
      <c r="E610" s="40"/>
      <c r="K610" s="40"/>
      <c r="L610" s="40"/>
      <c r="M610" s="40"/>
      <c r="N610" s="40"/>
      <c r="P610" s="177" t="str">
        <f aca="false">P268</f>
        <v>Lastname15, Firstname15</v>
      </c>
      <c r="Q610" s="40"/>
      <c r="R610" s="178"/>
      <c r="S610" s="166" t="n">
        <f aca="false">IF(S405=0,0,(SUMIF(Resource_Planning!$P$49:$P$356,$P610,Resource_Planning!S$49:S$356))/S405-1)</f>
        <v>0</v>
      </c>
      <c r="T610" s="166" t="n">
        <f aca="false">IF(T405=0,0,(SUMIF(Resource_Planning!$P$49:$P$356,$P610,Resource_Planning!T$49:T$356))/T405-1)</f>
        <v>0</v>
      </c>
      <c r="U610" s="166" t="n">
        <f aca="false">IF(U405=0,0,(SUMIF(Resource_Planning!$P$49:$P$356,$P610,Resource_Planning!U$49:U$356))/U405-1)</f>
        <v>0</v>
      </c>
      <c r="V610" s="166" t="n">
        <f aca="false">IF(V405=0,0,(SUMIF(Resource_Planning!$P$49:$P$356,$P610,Resource_Planning!V$49:V$356))/V405-1)</f>
        <v>0</v>
      </c>
      <c r="W610" s="166" t="n">
        <f aca="false">IF(W405=0,0,(SUMIF(Resource_Planning!$P$49:$P$356,$P610,Resource_Planning!W$49:W$356))/W405-1)</f>
        <v>0</v>
      </c>
      <c r="X610" s="166" t="n">
        <f aca="false">IF(X405=0,0,(SUMIF(Resource_Planning!$P$49:$P$356,$P610,Resource_Planning!X$49:X$356))/X405-1)</f>
        <v>0</v>
      </c>
      <c r="Y610" s="166" t="n">
        <f aca="false">IF(Y405=0,0,(SUMIF(Resource_Planning!$P$49:$P$356,$P610,Resource_Planning!Y$49:Y$356))/Y405-1)</f>
        <v>0</v>
      </c>
      <c r="Z610" s="166" t="n">
        <f aca="false">IF(Z405=0,0,(SUMIF(Resource_Planning!$P$49:$P$356,$P610,Resource_Planning!Z$49:Z$356))/Z405-1)</f>
        <v>0</v>
      </c>
      <c r="AA610" s="166" t="n">
        <f aca="false">IF(AA405=0,0,(SUMIF(Resource_Planning!$P$49:$P$356,$P610,Resource_Planning!AA$49:AA$356))/AA405-1)</f>
        <v>0</v>
      </c>
      <c r="AB610" s="166" t="n">
        <f aca="false">IF(AB405=0,0,(SUMIF(Resource_Planning!$P$49:$P$356,$P610,Resource_Planning!AB$49:AB$356))/AB405-1)</f>
        <v>0</v>
      </c>
      <c r="AC610" s="166" t="n">
        <f aca="false">IF(AC405=0,0,(SUMIF(Resource_Planning!$P$49:$P$356,$P610,Resource_Planning!AC$49:AC$356))/AC405-1)</f>
        <v>0</v>
      </c>
      <c r="AD610" s="166" t="n">
        <f aca="false">IF(AD405=0,0,(SUMIF(Resource_Planning!$P$49:$P$356,$P610,Resource_Planning!AD$49:AD$356))/AD405-1)</f>
        <v>0</v>
      </c>
      <c r="AE610" s="166" t="n">
        <f aca="false">IF(AE405=0,0,(SUMIF(Resource_Planning!$P$49:$P$356,$P610,Resource_Planning!AE$49:AE$356))/AE405-1)</f>
        <v>0</v>
      </c>
      <c r="AF610" s="166" t="n">
        <f aca="false">IF(AF405=0,0,(SUMIF(Resource_Planning!$P$49:$P$356,$P610,Resource_Planning!AF$49:AF$356))/AF405-1)</f>
        <v>0</v>
      </c>
      <c r="AG610" s="166" t="n">
        <f aca="false">IF(AG405=0,0,(SUMIF(Resource_Planning!$P$49:$P$356,$P610,Resource_Planning!AG$49:AG$356))/AG405-1)</f>
        <v>0</v>
      </c>
      <c r="AH610" s="166" t="n">
        <f aca="false">IF(AH405=0,0,(SUMIF(Resource_Planning!$P$49:$P$356,$P610,Resource_Planning!AH$49:AH$356))/AH405-1)</f>
        <v>0</v>
      </c>
      <c r="AI610" s="166" t="n">
        <f aca="false">IF(AI405=0,0,(SUMIF(Resource_Planning!$P$49:$P$356,$P610,Resource_Planning!AI$49:AI$356))/AI405-1)</f>
        <v>0</v>
      </c>
      <c r="AJ610" s="166" t="n">
        <f aca="false">IF(AJ405=0,0,(SUMIF(Resource_Planning!$P$49:$P$356,$P610,Resource_Planning!AJ$49:AJ$356))/AJ405-1)</f>
        <v>0</v>
      </c>
      <c r="AK610" s="166" t="n">
        <f aca="false">IF(AK405=0,0,(SUMIF(Resource_Planning!$P$49:$P$356,$P610,Resource_Planning!AK$49:AK$356))/AK405-1)</f>
        <v>0</v>
      </c>
      <c r="AL610" s="166" t="n">
        <f aca="false">IF(AL405=0,0,(SUMIF(Resource_Planning!$P$49:$P$356,$P610,Resource_Planning!AL$49:AL$356))/AL405-1)</f>
        <v>0</v>
      </c>
      <c r="AM610" s="166" t="n">
        <f aca="false">IF(AM405=0,0,(SUMIF(Resource_Planning!$P$49:$P$356,$P610,Resource_Planning!AM$49:AM$356))/AM405-1)</f>
        <v>0</v>
      </c>
      <c r="AN610" s="166" t="n">
        <f aca="false">IF(AN405=0,0,(SUMIF(Resource_Planning!$P$49:$P$356,$P610,Resource_Planning!AN$49:AN$356))/AN405-1)</f>
        <v>0</v>
      </c>
      <c r="AO610" s="166" t="n">
        <f aca="false">IF(AO405=0,0,(SUMIF(Resource_Planning!$P$49:$P$356,$P610,Resource_Planning!AO$49:AO$356))/AO405-1)</f>
        <v>0</v>
      </c>
      <c r="AP610" s="166" t="n">
        <f aca="false">IF(AP405=0,0,(SUMIF(Resource_Planning!$P$49:$P$356,$P610,Resource_Planning!AP$49:AP$356))/AP405-1)</f>
        <v>0</v>
      </c>
      <c r="AQ610" s="166" t="n">
        <f aca="false">IF(AQ405=0,0,(SUMIF(Resource_Planning!$P$49:$P$356,$P610,Resource_Planning!AQ$49:AQ$356))/AQ405-1)</f>
        <v>0</v>
      </c>
      <c r="AR610" s="166" t="n">
        <f aca="false">IF(AR405=0,0,(SUMIF(Resource_Planning!$P$49:$P$356,$P610,Resource_Planning!AR$49:AR$356))/AR405-1)</f>
        <v>0</v>
      </c>
      <c r="AS610" s="166" t="n">
        <f aca="false">IF(AS405=0,0,(SUMIF(Resource_Planning!$P$49:$P$356,$P610,Resource_Planning!AS$49:AS$356))/AS405-1)</f>
        <v>0</v>
      </c>
      <c r="AT610" s="166" t="n">
        <f aca="false">IF(AT405=0,0,(SUMIF(Resource_Planning!$P$49:$P$356,$P610,Resource_Planning!AT$49:AT$356))/AT405-1)</f>
        <v>0</v>
      </c>
      <c r="AU610" s="166" t="n">
        <f aca="false">IF(AU405=0,0,(SUMIF(Resource_Planning!$P$49:$P$356,$P610,Resource_Planning!AU$49:AU$356))/AU405-1)</f>
        <v>0</v>
      </c>
      <c r="AV610" s="166" t="n">
        <f aca="false">IF(AV405=0,0,(SUMIF(Resource_Planning!$P$49:$P$356,$P610,Resource_Planning!AV$49:AV$356))/AV405-1)</f>
        <v>0</v>
      </c>
      <c r="AW610" s="166" t="n">
        <f aca="false">IF(AW405=0,0,(SUMIF(Resource_Planning!$P$49:$P$356,$P610,Resource_Planning!AW$49:AW$356))/AW405-1)</f>
        <v>0</v>
      </c>
      <c r="AX610" s="166" t="n">
        <f aca="false">IF(AX405=0,0,(SUMIF(Resource_Planning!$P$49:$P$356,$P610,Resource_Planning!AX$49:AX$356))/AX405-1)</f>
        <v>0</v>
      </c>
      <c r="AY610" s="166" t="n">
        <f aca="false">IF(AY405=0,0,(SUMIF(Resource_Planning!$P$49:$P$356,$P610,Resource_Planning!AY$49:AY$356))/AY405-1)</f>
        <v>0</v>
      </c>
      <c r="AZ610" s="166" t="n">
        <f aca="false">IF(AZ405=0,0,(SUMIF(Resource_Planning!$P$49:$P$356,$P610,Resource_Planning!AZ$49:AZ$356))/AZ405-1)</f>
        <v>0</v>
      </c>
      <c r="BA610" s="166" t="n">
        <f aca="false">IF(BA405=0,0,(SUMIF(Resource_Planning!$P$49:$P$356,$P610,Resource_Planning!BA$49:BA$356))/BA405-1)</f>
        <v>0</v>
      </c>
      <c r="BB610" s="166" t="n">
        <f aca="false">IF(BB405=0,0,(SUMIF(Resource_Planning!$P$49:$P$356,$P610,Resource_Planning!BB$49:BB$356))/BB405-1)</f>
        <v>0</v>
      </c>
    </row>
    <row r="611" s="173" customFormat="true" ht="15" hidden="true" customHeight="false" outlineLevel="1" collapsed="false">
      <c r="E611" s="40"/>
      <c r="K611" s="40"/>
      <c r="L611" s="40"/>
      <c r="M611" s="40"/>
      <c r="N611" s="40"/>
      <c r="P611" s="177" t="str">
        <f aca="false">P269</f>
        <v>Lastname16, Firstname16</v>
      </c>
      <c r="Q611" s="40"/>
      <c r="R611" s="178"/>
      <c r="S611" s="166" t="n">
        <f aca="false">IF(S406=0,0,(SUMIF(Resource_Planning!$P$49:$P$356,$P611,Resource_Planning!S$49:S$356))/S406-1)</f>
        <v>0</v>
      </c>
      <c r="T611" s="166" t="n">
        <f aca="false">IF(T406=0,0,(SUMIF(Resource_Planning!$P$49:$P$356,$P611,Resource_Planning!T$49:T$356))/T406-1)</f>
        <v>0</v>
      </c>
      <c r="U611" s="166" t="n">
        <f aca="false">IF(U406=0,0,(SUMIF(Resource_Planning!$P$49:$P$356,$P611,Resource_Planning!U$49:U$356))/U406-1)</f>
        <v>0</v>
      </c>
      <c r="V611" s="166" t="n">
        <f aca="false">IF(V406=0,0,(SUMIF(Resource_Planning!$P$49:$P$356,$P611,Resource_Planning!V$49:V$356))/V406-1)</f>
        <v>0</v>
      </c>
      <c r="W611" s="166" t="n">
        <f aca="false">IF(W406=0,0,(SUMIF(Resource_Planning!$P$49:$P$356,$P611,Resource_Planning!W$49:W$356))/W406-1)</f>
        <v>0</v>
      </c>
      <c r="X611" s="166" t="n">
        <f aca="false">IF(X406=0,0,(SUMIF(Resource_Planning!$P$49:$P$356,$P611,Resource_Planning!X$49:X$356))/X406-1)</f>
        <v>0</v>
      </c>
      <c r="Y611" s="166" t="n">
        <f aca="false">IF(Y406=0,0,(SUMIF(Resource_Planning!$P$49:$P$356,$P611,Resource_Planning!Y$49:Y$356))/Y406-1)</f>
        <v>0</v>
      </c>
      <c r="Z611" s="166" t="n">
        <f aca="false">IF(Z406=0,0,(SUMIF(Resource_Planning!$P$49:$P$356,$P611,Resource_Planning!Z$49:Z$356))/Z406-1)</f>
        <v>0</v>
      </c>
      <c r="AA611" s="166" t="n">
        <f aca="false">IF(AA406=0,0,(SUMIF(Resource_Planning!$P$49:$P$356,$P611,Resource_Planning!AA$49:AA$356))/AA406-1)</f>
        <v>0</v>
      </c>
      <c r="AB611" s="166" t="n">
        <f aca="false">IF(AB406=0,0,(SUMIF(Resource_Planning!$P$49:$P$356,$P611,Resource_Planning!AB$49:AB$356))/AB406-1)</f>
        <v>0</v>
      </c>
      <c r="AC611" s="166" t="n">
        <f aca="false">IF(AC406=0,0,(SUMIF(Resource_Planning!$P$49:$P$356,$P611,Resource_Planning!AC$49:AC$356))/AC406-1)</f>
        <v>0</v>
      </c>
      <c r="AD611" s="166" t="n">
        <f aca="false">IF(AD406=0,0,(SUMIF(Resource_Planning!$P$49:$P$356,$P611,Resource_Planning!AD$49:AD$356))/AD406-1)</f>
        <v>0</v>
      </c>
      <c r="AE611" s="166" t="n">
        <f aca="false">IF(AE406=0,0,(SUMIF(Resource_Planning!$P$49:$P$356,$P611,Resource_Planning!AE$49:AE$356))/AE406-1)</f>
        <v>0</v>
      </c>
      <c r="AF611" s="166" t="n">
        <f aca="false">IF(AF406=0,0,(SUMIF(Resource_Planning!$P$49:$P$356,$P611,Resource_Planning!AF$49:AF$356))/AF406-1)</f>
        <v>0</v>
      </c>
      <c r="AG611" s="166" t="n">
        <f aca="false">IF(AG406=0,0,(SUMIF(Resource_Planning!$P$49:$P$356,$P611,Resource_Planning!AG$49:AG$356))/AG406-1)</f>
        <v>0</v>
      </c>
      <c r="AH611" s="166" t="n">
        <f aca="false">IF(AH406=0,0,(SUMIF(Resource_Planning!$P$49:$P$356,$P611,Resource_Planning!AH$49:AH$356))/AH406-1)</f>
        <v>0</v>
      </c>
      <c r="AI611" s="166" t="n">
        <f aca="false">IF(AI406=0,0,(SUMIF(Resource_Planning!$P$49:$P$356,$P611,Resource_Planning!AI$49:AI$356))/AI406-1)</f>
        <v>0</v>
      </c>
      <c r="AJ611" s="166" t="n">
        <f aca="false">IF(AJ406=0,0,(SUMIF(Resource_Planning!$P$49:$P$356,$P611,Resource_Planning!AJ$49:AJ$356))/AJ406-1)</f>
        <v>0</v>
      </c>
      <c r="AK611" s="166" t="n">
        <f aca="false">IF(AK406=0,0,(SUMIF(Resource_Planning!$P$49:$P$356,$P611,Resource_Planning!AK$49:AK$356))/AK406-1)</f>
        <v>0</v>
      </c>
      <c r="AL611" s="166" t="n">
        <f aca="false">IF(AL406=0,0,(SUMIF(Resource_Planning!$P$49:$P$356,$P611,Resource_Planning!AL$49:AL$356))/AL406-1)</f>
        <v>0</v>
      </c>
      <c r="AM611" s="166" t="n">
        <f aca="false">IF(AM406=0,0,(SUMIF(Resource_Planning!$P$49:$P$356,$P611,Resource_Planning!AM$49:AM$356))/AM406-1)</f>
        <v>0</v>
      </c>
      <c r="AN611" s="166" t="n">
        <f aca="false">IF(AN406=0,0,(SUMIF(Resource_Planning!$P$49:$P$356,$P611,Resource_Planning!AN$49:AN$356))/AN406-1)</f>
        <v>0</v>
      </c>
      <c r="AO611" s="166" t="n">
        <f aca="false">IF(AO406=0,0,(SUMIF(Resource_Planning!$P$49:$P$356,$P611,Resource_Planning!AO$49:AO$356))/AO406-1)</f>
        <v>0</v>
      </c>
      <c r="AP611" s="166" t="n">
        <f aca="false">IF(AP406=0,0,(SUMIF(Resource_Planning!$P$49:$P$356,$P611,Resource_Planning!AP$49:AP$356))/AP406-1)</f>
        <v>0</v>
      </c>
      <c r="AQ611" s="166" t="n">
        <f aca="false">IF(AQ406=0,0,(SUMIF(Resource_Planning!$P$49:$P$356,$P611,Resource_Planning!AQ$49:AQ$356))/AQ406-1)</f>
        <v>0</v>
      </c>
      <c r="AR611" s="166" t="n">
        <f aca="false">IF(AR406=0,0,(SUMIF(Resource_Planning!$P$49:$P$356,$P611,Resource_Planning!AR$49:AR$356))/AR406-1)</f>
        <v>0</v>
      </c>
      <c r="AS611" s="166" t="n">
        <f aca="false">IF(AS406=0,0,(SUMIF(Resource_Planning!$P$49:$P$356,$P611,Resource_Planning!AS$49:AS$356))/AS406-1)</f>
        <v>0</v>
      </c>
      <c r="AT611" s="166" t="n">
        <f aca="false">IF(AT406=0,0,(SUMIF(Resource_Planning!$P$49:$P$356,$P611,Resource_Planning!AT$49:AT$356))/AT406-1)</f>
        <v>0</v>
      </c>
      <c r="AU611" s="166" t="n">
        <f aca="false">IF(AU406=0,0,(SUMIF(Resource_Planning!$P$49:$P$356,$P611,Resource_Planning!AU$49:AU$356))/AU406-1)</f>
        <v>0</v>
      </c>
      <c r="AV611" s="166" t="n">
        <f aca="false">IF(AV406=0,0,(SUMIF(Resource_Planning!$P$49:$P$356,$P611,Resource_Planning!AV$49:AV$356))/AV406-1)</f>
        <v>0</v>
      </c>
      <c r="AW611" s="166" t="n">
        <f aca="false">IF(AW406=0,0,(SUMIF(Resource_Planning!$P$49:$P$356,$P611,Resource_Planning!AW$49:AW$356))/AW406-1)</f>
        <v>0</v>
      </c>
      <c r="AX611" s="166" t="n">
        <f aca="false">IF(AX406=0,0,(SUMIF(Resource_Planning!$P$49:$P$356,$P611,Resource_Planning!AX$49:AX$356))/AX406-1)</f>
        <v>0</v>
      </c>
      <c r="AY611" s="166" t="n">
        <f aca="false">IF(AY406=0,0,(SUMIF(Resource_Planning!$P$49:$P$356,$P611,Resource_Planning!AY$49:AY$356))/AY406-1)</f>
        <v>0</v>
      </c>
      <c r="AZ611" s="166" t="n">
        <f aca="false">IF(AZ406=0,0,(SUMIF(Resource_Planning!$P$49:$P$356,$P611,Resource_Planning!AZ$49:AZ$356))/AZ406-1)</f>
        <v>0</v>
      </c>
      <c r="BA611" s="166" t="n">
        <f aca="false">IF(BA406=0,0,(SUMIF(Resource_Planning!$P$49:$P$356,$P611,Resource_Planning!BA$49:BA$356))/BA406-1)</f>
        <v>0</v>
      </c>
      <c r="BB611" s="166" t="n">
        <f aca="false">IF(BB406=0,0,(SUMIF(Resource_Planning!$P$49:$P$356,$P611,Resource_Planning!BB$49:BB$356))/BB406-1)</f>
        <v>0</v>
      </c>
    </row>
    <row r="612" s="173" customFormat="true" ht="15" hidden="true" customHeight="false" outlineLevel="1" collapsed="false">
      <c r="E612" s="40"/>
      <c r="K612" s="40"/>
      <c r="L612" s="40"/>
      <c r="M612" s="40"/>
      <c r="N612" s="40"/>
      <c r="P612" s="177" t="str">
        <f aca="false">P270</f>
        <v>Johansson, Benim</v>
      </c>
      <c r="Q612" s="40"/>
      <c r="R612" s="178"/>
      <c r="S612" s="166" t="n">
        <f aca="false">IF(S407=0,0,(SUMIF(Resource_Planning!$P$49:$P$356,$P612,Resource_Planning!S$49:S$356))/S407-1)</f>
        <v>-0.8</v>
      </c>
      <c r="T612" s="166" t="n">
        <f aca="false">IF(T407=0,0,(SUMIF(Resource_Planning!$P$49:$P$356,$P612,Resource_Planning!T$49:T$356))/T407-1)</f>
        <v>-0.8</v>
      </c>
      <c r="U612" s="166" t="n">
        <f aca="false">IF(U407=0,0,(SUMIF(Resource_Planning!$P$49:$P$356,$P612,Resource_Planning!U$49:U$356))/U407-1)</f>
        <v>-0.8</v>
      </c>
      <c r="V612" s="166" t="n">
        <f aca="false">IF(V407=0,0,(SUMIF(Resource_Planning!$P$49:$P$356,$P612,Resource_Planning!V$49:V$356))/V407-1)</f>
        <v>-0.8</v>
      </c>
      <c r="W612" s="166" t="n">
        <f aca="false">IF(W407=0,0,(SUMIF(Resource_Planning!$P$49:$P$356,$P612,Resource_Planning!W$49:W$356))/W407-1)</f>
        <v>-0.8</v>
      </c>
      <c r="X612" s="166" t="n">
        <f aca="false">IF(X407=0,0,(SUMIF(Resource_Planning!$P$49:$P$356,$P612,Resource_Planning!X$49:X$356))/X407-1)</f>
        <v>-0.8</v>
      </c>
      <c r="Y612" s="166" t="n">
        <f aca="false">IF(Y407=0,0,(SUMIF(Resource_Planning!$P$49:$P$356,$P612,Resource_Planning!Y$49:Y$356))/Y407-1)</f>
        <v>-0.8</v>
      </c>
      <c r="Z612" s="166" t="n">
        <f aca="false">IF(Z407=0,0,(SUMIF(Resource_Planning!$P$49:$P$356,$P612,Resource_Planning!Z$49:Z$356))/Z407-1)</f>
        <v>-0.8</v>
      </c>
      <c r="AA612" s="166" t="n">
        <f aca="false">IF(AA407=0,0,(SUMIF(Resource_Planning!$P$49:$P$356,$P612,Resource_Planning!AA$49:AA$356))/AA407-1)</f>
        <v>-0.8</v>
      </c>
      <c r="AB612" s="166" t="n">
        <f aca="false">IF(AB407=0,0,(SUMIF(Resource_Planning!$P$49:$P$356,$P612,Resource_Planning!AB$49:AB$356))/AB407-1)</f>
        <v>-0.8</v>
      </c>
      <c r="AC612" s="166" t="n">
        <f aca="false">IF(AC407=0,0,(SUMIF(Resource_Planning!$P$49:$P$356,$P612,Resource_Planning!AC$49:AC$356))/AC407-1)</f>
        <v>-0.8</v>
      </c>
      <c r="AD612" s="166" t="n">
        <f aca="false">IF(AD407=0,0,(SUMIF(Resource_Planning!$P$49:$P$356,$P612,Resource_Planning!AD$49:AD$356))/AD407-1)</f>
        <v>-0.8</v>
      </c>
      <c r="AE612" s="166" t="n">
        <f aca="false">IF(AE407=0,0,(SUMIF(Resource_Planning!$P$49:$P$356,$P612,Resource_Planning!AE$49:AE$356))/AE407-1)</f>
        <v>-0.8</v>
      </c>
      <c r="AF612" s="166" t="n">
        <f aca="false">IF(AF407=0,0,(SUMIF(Resource_Planning!$P$49:$P$356,$P612,Resource_Planning!AF$49:AF$356))/AF407-1)</f>
        <v>-0.8</v>
      </c>
      <c r="AG612" s="166" t="n">
        <f aca="false">IF(AG407=0,0,(SUMIF(Resource_Planning!$P$49:$P$356,$P612,Resource_Planning!AG$49:AG$356))/AG407-1)</f>
        <v>-0.8</v>
      </c>
      <c r="AH612" s="166" t="n">
        <f aca="false">IF(AH407=0,0,(SUMIF(Resource_Planning!$P$49:$P$356,$P612,Resource_Planning!AH$49:AH$356))/AH407-1)</f>
        <v>-0.8</v>
      </c>
      <c r="AI612" s="166" t="n">
        <f aca="false">IF(AI407=0,0,(SUMIF(Resource_Planning!$P$49:$P$356,$P612,Resource_Planning!AI$49:AI$356))/AI407-1)</f>
        <v>-0.8</v>
      </c>
      <c r="AJ612" s="166" t="n">
        <f aca="false">IF(AJ407=0,0,(SUMIF(Resource_Planning!$P$49:$P$356,$P612,Resource_Planning!AJ$49:AJ$356))/AJ407-1)</f>
        <v>-0.8</v>
      </c>
      <c r="AK612" s="166" t="n">
        <f aca="false">IF(AK407=0,0,(SUMIF(Resource_Planning!$P$49:$P$356,$P612,Resource_Planning!AK$49:AK$356))/AK407-1)</f>
        <v>-0.8</v>
      </c>
      <c r="AL612" s="166" t="n">
        <f aca="false">IF(AL407=0,0,(SUMIF(Resource_Planning!$P$49:$P$356,$P612,Resource_Planning!AL$49:AL$356))/AL407-1)</f>
        <v>-0.8</v>
      </c>
      <c r="AM612" s="166" t="n">
        <f aca="false">IF(AM407=0,0,(SUMIF(Resource_Planning!$P$49:$P$356,$P612,Resource_Planning!AM$49:AM$356))/AM407-1)</f>
        <v>-0.8</v>
      </c>
      <c r="AN612" s="166" t="n">
        <f aca="false">IF(AN407=0,0,(SUMIF(Resource_Planning!$P$49:$P$356,$P612,Resource_Planning!AN$49:AN$356))/AN407-1)</f>
        <v>-0.8</v>
      </c>
      <c r="AO612" s="166" t="n">
        <f aca="false">IF(AO407=0,0,(SUMIF(Resource_Planning!$P$49:$P$356,$P612,Resource_Planning!AO$49:AO$356))/AO407-1)</f>
        <v>-0.8</v>
      </c>
      <c r="AP612" s="166" t="n">
        <f aca="false">IF(AP407=0,0,(SUMIF(Resource_Planning!$P$49:$P$356,$P612,Resource_Planning!AP$49:AP$356))/AP407-1)</f>
        <v>-0.8</v>
      </c>
      <c r="AQ612" s="166" t="n">
        <f aca="false">IF(AQ407=0,0,(SUMIF(Resource_Planning!$P$49:$P$356,$P612,Resource_Planning!AQ$49:AQ$356))/AQ407-1)</f>
        <v>-0.8</v>
      </c>
      <c r="AR612" s="166" t="n">
        <f aca="false">IF(AR407=0,0,(SUMIF(Resource_Planning!$P$49:$P$356,$P612,Resource_Planning!AR$49:AR$356))/AR407-1)</f>
        <v>-0.8</v>
      </c>
      <c r="AS612" s="166" t="n">
        <f aca="false">IF(AS407=0,0,(SUMIF(Resource_Planning!$P$49:$P$356,$P612,Resource_Planning!AS$49:AS$356))/AS407-1)</f>
        <v>-0.8</v>
      </c>
      <c r="AT612" s="166" t="n">
        <f aca="false">IF(AT407=0,0,(SUMIF(Resource_Planning!$P$49:$P$356,$P612,Resource_Planning!AT$49:AT$356))/AT407-1)</f>
        <v>-0.8</v>
      </c>
      <c r="AU612" s="166" t="n">
        <f aca="false">IF(AU407=0,0,(SUMIF(Resource_Planning!$P$49:$P$356,$P612,Resource_Planning!AU$49:AU$356))/AU407-1)</f>
        <v>-0.8</v>
      </c>
      <c r="AV612" s="166" t="n">
        <f aca="false">IF(AV407=0,0,(SUMIF(Resource_Planning!$P$49:$P$356,$P612,Resource_Planning!AV$49:AV$356))/AV407-1)</f>
        <v>-0.8</v>
      </c>
      <c r="AW612" s="166" t="n">
        <f aca="false">IF(AW407=0,0,(SUMIF(Resource_Planning!$P$49:$P$356,$P612,Resource_Planning!AW$49:AW$356))/AW407-1)</f>
        <v>-0.8</v>
      </c>
      <c r="AX612" s="166" t="n">
        <f aca="false">IF(AX407=0,0,(SUMIF(Resource_Planning!$P$49:$P$356,$P612,Resource_Planning!AX$49:AX$356))/AX407-1)</f>
        <v>-0.8</v>
      </c>
      <c r="AY612" s="166" t="n">
        <f aca="false">IF(AY407=0,0,(SUMIF(Resource_Planning!$P$49:$P$356,$P612,Resource_Planning!AY$49:AY$356))/AY407-1)</f>
        <v>-0.8</v>
      </c>
      <c r="AZ612" s="166" t="n">
        <f aca="false">IF(AZ407=0,0,(SUMIF(Resource_Planning!$P$49:$P$356,$P612,Resource_Planning!AZ$49:AZ$356))/AZ407-1)</f>
        <v>-0.8</v>
      </c>
      <c r="BA612" s="166" t="n">
        <f aca="false">IF(BA407=0,0,(SUMIF(Resource_Planning!$P$49:$P$356,$P612,Resource_Planning!BA$49:BA$356))/BA407-1)</f>
        <v>-0.8</v>
      </c>
      <c r="BB612" s="166" t="n">
        <f aca="false">IF(BB407=0,0,(SUMIF(Resource_Planning!$P$49:$P$356,$P612,Resource_Planning!BB$49:BB$356))/BB407-1)</f>
        <v>-0.8</v>
      </c>
    </row>
    <row r="613" s="173" customFormat="true" ht="15" hidden="true" customHeight="false" outlineLevel="1" collapsed="false">
      <c r="E613" s="40"/>
      <c r="K613" s="40"/>
      <c r="L613" s="40"/>
      <c r="M613" s="40"/>
      <c r="N613" s="40"/>
      <c r="P613" s="177" t="n">
        <f aca="false">P271</f>
        <v>0</v>
      </c>
      <c r="Q613" s="40"/>
      <c r="R613" s="178"/>
      <c r="S613" s="166" t="n">
        <f aca="false">IF(S408=0,0,(SUMIF(Resource_Planning!$P$49:$P$356,$P613,Resource_Planning!S$49:S$356))/S408-1)</f>
        <v>0</v>
      </c>
      <c r="T613" s="166" t="n">
        <f aca="false">IF(T408=0,0,(SUMIF(Resource_Planning!$P$49:$P$356,$P613,Resource_Planning!T$49:T$356))/T408-1)</f>
        <v>0</v>
      </c>
      <c r="U613" s="166" t="n">
        <f aca="false">IF(U408=0,0,(SUMIF(Resource_Planning!$P$49:$P$356,$P613,Resource_Planning!U$49:U$356))/U408-1)</f>
        <v>0</v>
      </c>
      <c r="V613" s="166" t="n">
        <f aca="false">IF(V408=0,0,(SUMIF(Resource_Planning!$P$49:$P$356,$P613,Resource_Planning!V$49:V$356))/V408-1)</f>
        <v>0</v>
      </c>
      <c r="W613" s="166" t="n">
        <f aca="false">IF(W408=0,0,(SUMIF(Resource_Planning!$P$49:$P$356,$P613,Resource_Planning!W$49:W$356))/W408-1)</f>
        <v>0</v>
      </c>
      <c r="X613" s="166" t="n">
        <f aca="false">IF(X408=0,0,(SUMIF(Resource_Planning!$P$49:$P$356,$P613,Resource_Planning!X$49:X$356))/X408-1)</f>
        <v>0</v>
      </c>
      <c r="Y613" s="166" t="n">
        <f aca="false">IF(Y408=0,0,(SUMIF(Resource_Planning!$P$49:$P$356,$P613,Resource_Planning!Y$49:Y$356))/Y408-1)</f>
        <v>0</v>
      </c>
      <c r="Z613" s="166" t="n">
        <f aca="false">IF(Z408=0,0,(SUMIF(Resource_Planning!$P$49:$P$356,$P613,Resource_Planning!Z$49:Z$356))/Z408-1)</f>
        <v>0</v>
      </c>
      <c r="AA613" s="166" t="n">
        <f aca="false">IF(AA408=0,0,(SUMIF(Resource_Planning!$P$49:$P$356,$P613,Resource_Planning!AA$49:AA$356))/AA408-1)</f>
        <v>0</v>
      </c>
      <c r="AB613" s="166" t="n">
        <f aca="false">IF(AB408=0,0,(SUMIF(Resource_Planning!$P$49:$P$356,$P613,Resource_Planning!AB$49:AB$356))/AB408-1)</f>
        <v>0</v>
      </c>
      <c r="AC613" s="166" t="n">
        <f aca="false">IF(AC408=0,0,(SUMIF(Resource_Planning!$P$49:$P$356,$P613,Resource_Planning!AC$49:AC$356))/AC408-1)</f>
        <v>0</v>
      </c>
      <c r="AD613" s="166" t="n">
        <f aca="false">IF(AD408=0,0,(SUMIF(Resource_Planning!$P$49:$P$356,$P613,Resource_Planning!AD$49:AD$356))/AD408-1)</f>
        <v>0</v>
      </c>
      <c r="AE613" s="166" t="n">
        <f aca="false">IF(AE408=0,0,(SUMIF(Resource_Planning!$P$49:$P$356,$P613,Resource_Planning!AE$49:AE$356))/AE408-1)</f>
        <v>0</v>
      </c>
      <c r="AF613" s="166" t="n">
        <f aca="false">IF(AF408=0,0,(SUMIF(Resource_Planning!$P$49:$P$356,$P613,Resource_Planning!AF$49:AF$356))/AF408-1)</f>
        <v>0</v>
      </c>
      <c r="AG613" s="166" t="n">
        <f aca="false">IF(AG408=0,0,(SUMIF(Resource_Planning!$P$49:$P$356,$P613,Resource_Planning!AG$49:AG$356))/AG408-1)</f>
        <v>0</v>
      </c>
      <c r="AH613" s="166" t="n">
        <f aca="false">IF(AH408=0,0,(SUMIF(Resource_Planning!$P$49:$P$356,$P613,Resource_Planning!AH$49:AH$356))/AH408-1)</f>
        <v>0</v>
      </c>
      <c r="AI613" s="166" t="n">
        <f aca="false">IF(AI408=0,0,(SUMIF(Resource_Planning!$P$49:$P$356,$P613,Resource_Planning!AI$49:AI$356))/AI408-1)</f>
        <v>0</v>
      </c>
      <c r="AJ613" s="166" t="n">
        <f aca="false">IF(AJ408=0,0,(SUMIF(Resource_Planning!$P$49:$P$356,$P613,Resource_Planning!AJ$49:AJ$356))/AJ408-1)</f>
        <v>0</v>
      </c>
      <c r="AK613" s="166" t="n">
        <f aca="false">IF(AK408=0,0,(SUMIF(Resource_Planning!$P$49:$P$356,$P613,Resource_Planning!AK$49:AK$356))/AK408-1)</f>
        <v>0</v>
      </c>
      <c r="AL613" s="166" t="n">
        <f aca="false">IF(AL408=0,0,(SUMIF(Resource_Planning!$P$49:$P$356,$P613,Resource_Planning!AL$49:AL$356))/AL408-1)</f>
        <v>0</v>
      </c>
      <c r="AM613" s="166" t="n">
        <f aca="false">IF(AM408=0,0,(SUMIF(Resource_Planning!$P$49:$P$356,$P613,Resource_Planning!AM$49:AM$356))/AM408-1)</f>
        <v>0</v>
      </c>
      <c r="AN613" s="166" t="n">
        <f aca="false">IF(AN408=0,0,(SUMIF(Resource_Planning!$P$49:$P$356,$P613,Resource_Planning!AN$49:AN$356))/AN408-1)</f>
        <v>0</v>
      </c>
      <c r="AO613" s="166" t="n">
        <f aca="false">IF(AO408=0,0,(SUMIF(Resource_Planning!$P$49:$P$356,$P613,Resource_Planning!AO$49:AO$356))/AO408-1)</f>
        <v>0</v>
      </c>
      <c r="AP613" s="166" t="n">
        <f aca="false">IF(AP408=0,0,(SUMIF(Resource_Planning!$P$49:$P$356,$P613,Resource_Planning!AP$49:AP$356))/AP408-1)</f>
        <v>0</v>
      </c>
      <c r="AQ613" s="166" t="n">
        <f aca="false">IF(AQ408=0,0,(SUMIF(Resource_Planning!$P$49:$P$356,$P613,Resource_Planning!AQ$49:AQ$356))/AQ408-1)</f>
        <v>0</v>
      </c>
      <c r="AR613" s="166" t="n">
        <f aca="false">IF(AR408=0,0,(SUMIF(Resource_Planning!$P$49:$P$356,$P613,Resource_Planning!AR$49:AR$356))/AR408-1)</f>
        <v>0</v>
      </c>
      <c r="AS613" s="166" t="n">
        <f aca="false">IF(AS408=0,0,(SUMIF(Resource_Planning!$P$49:$P$356,$P613,Resource_Planning!AS$49:AS$356))/AS408-1)</f>
        <v>0</v>
      </c>
      <c r="AT613" s="166" t="n">
        <f aca="false">IF(AT408=0,0,(SUMIF(Resource_Planning!$P$49:$P$356,$P613,Resource_Planning!AT$49:AT$356))/AT408-1)</f>
        <v>0</v>
      </c>
      <c r="AU613" s="166" t="n">
        <f aca="false">IF(AU408=0,0,(SUMIF(Resource_Planning!$P$49:$P$356,$P613,Resource_Planning!AU$49:AU$356))/AU408-1)</f>
        <v>0</v>
      </c>
      <c r="AV613" s="166" t="n">
        <f aca="false">IF(AV408=0,0,(SUMIF(Resource_Planning!$P$49:$P$356,$P613,Resource_Planning!AV$49:AV$356))/AV408-1)</f>
        <v>0</v>
      </c>
      <c r="AW613" s="166" t="n">
        <f aca="false">IF(AW408=0,0,(SUMIF(Resource_Planning!$P$49:$P$356,$P613,Resource_Planning!AW$49:AW$356))/AW408-1)</f>
        <v>0</v>
      </c>
      <c r="AX613" s="166" t="n">
        <f aca="false">IF(AX408=0,0,(SUMIF(Resource_Planning!$P$49:$P$356,$P613,Resource_Planning!AX$49:AX$356))/AX408-1)</f>
        <v>0</v>
      </c>
      <c r="AY613" s="166" t="n">
        <f aca="false">IF(AY408=0,0,(SUMIF(Resource_Planning!$P$49:$P$356,$P613,Resource_Planning!AY$49:AY$356))/AY408-1)</f>
        <v>0</v>
      </c>
      <c r="AZ613" s="166" t="n">
        <f aca="false">IF(AZ408=0,0,(SUMIF(Resource_Planning!$P$49:$P$356,$P613,Resource_Planning!AZ$49:AZ$356))/AZ408-1)</f>
        <v>0</v>
      </c>
      <c r="BA613" s="166" t="n">
        <f aca="false">IF(BA408=0,0,(SUMIF(Resource_Planning!$P$49:$P$356,$P613,Resource_Planning!BA$49:BA$356))/BA408-1)</f>
        <v>0</v>
      </c>
      <c r="BB613" s="166" t="n">
        <f aca="false">IF(BB408=0,0,(SUMIF(Resource_Planning!$P$49:$P$356,$P613,Resource_Planning!BB$49:BB$356))/BB408-1)</f>
        <v>0</v>
      </c>
    </row>
    <row r="614" s="173" customFormat="true" ht="15" hidden="true" customHeight="false" outlineLevel="1" collapsed="false">
      <c r="E614" s="40"/>
      <c r="K614" s="40"/>
      <c r="L614" s="40"/>
      <c r="M614" s="40"/>
      <c r="N614" s="40"/>
      <c r="P614" s="177" t="n">
        <f aca="false">P272</f>
        <v>0</v>
      </c>
      <c r="Q614" s="40"/>
      <c r="R614" s="178"/>
      <c r="S614" s="166" t="n">
        <f aca="false">IF(S409=0,0,(SUMIF(Resource_Planning!$P$49:$P$356,$P614,Resource_Planning!S$49:S$356))/S409-1)</f>
        <v>0</v>
      </c>
      <c r="T614" s="166" t="n">
        <f aca="false">IF(T409=0,0,(SUMIF(Resource_Planning!$P$49:$P$356,$P614,Resource_Planning!T$49:T$356))/T409-1)</f>
        <v>0</v>
      </c>
      <c r="U614" s="166" t="n">
        <f aca="false">IF(U409=0,0,(SUMIF(Resource_Planning!$P$49:$P$356,$P614,Resource_Planning!U$49:U$356))/U409-1)</f>
        <v>0</v>
      </c>
      <c r="V614" s="166" t="n">
        <f aca="false">IF(V409=0,0,(SUMIF(Resource_Planning!$P$49:$P$356,$P614,Resource_Planning!V$49:V$356))/V409-1)</f>
        <v>0</v>
      </c>
      <c r="W614" s="166" t="n">
        <f aca="false">IF(W409=0,0,(SUMIF(Resource_Planning!$P$49:$P$356,$P614,Resource_Planning!W$49:W$356))/W409-1)</f>
        <v>0</v>
      </c>
      <c r="X614" s="166" t="n">
        <f aca="false">IF(X409=0,0,(SUMIF(Resource_Planning!$P$49:$P$356,$P614,Resource_Planning!X$49:X$356))/X409-1)</f>
        <v>0</v>
      </c>
      <c r="Y614" s="166" t="n">
        <f aca="false">IF(Y409=0,0,(SUMIF(Resource_Planning!$P$49:$P$356,$P614,Resource_Planning!Y$49:Y$356))/Y409-1)</f>
        <v>0</v>
      </c>
      <c r="Z614" s="166" t="n">
        <f aca="false">IF(Z409=0,0,(SUMIF(Resource_Planning!$P$49:$P$356,$P614,Resource_Planning!Z$49:Z$356))/Z409-1)</f>
        <v>0</v>
      </c>
      <c r="AA614" s="166" t="n">
        <f aca="false">IF(AA409=0,0,(SUMIF(Resource_Planning!$P$49:$P$356,$P614,Resource_Planning!AA$49:AA$356))/AA409-1)</f>
        <v>0</v>
      </c>
      <c r="AB614" s="166" t="n">
        <f aca="false">IF(AB409=0,0,(SUMIF(Resource_Planning!$P$49:$P$356,$P614,Resource_Planning!AB$49:AB$356))/AB409-1)</f>
        <v>0</v>
      </c>
      <c r="AC614" s="166" t="n">
        <f aca="false">IF(AC409=0,0,(SUMIF(Resource_Planning!$P$49:$P$356,$P614,Resource_Planning!AC$49:AC$356))/AC409-1)</f>
        <v>0</v>
      </c>
      <c r="AD614" s="166" t="n">
        <f aca="false">IF(AD409=0,0,(SUMIF(Resource_Planning!$P$49:$P$356,$P614,Resource_Planning!AD$49:AD$356))/AD409-1)</f>
        <v>0</v>
      </c>
      <c r="AE614" s="166" t="n">
        <f aca="false">IF(AE409=0,0,(SUMIF(Resource_Planning!$P$49:$P$356,$P614,Resource_Planning!AE$49:AE$356))/AE409-1)</f>
        <v>0</v>
      </c>
      <c r="AF614" s="166" t="n">
        <f aca="false">IF(AF409=0,0,(SUMIF(Resource_Planning!$P$49:$P$356,$P614,Resource_Planning!AF$49:AF$356))/AF409-1)</f>
        <v>0</v>
      </c>
      <c r="AG614" s="166" t="n">
        <f aca="false">IF(AG409=0,0,(SUMIF(Resource_Planning!$P$49:$P$356,$P614,Resource_Planning!AG$49:AG$356))/AG409-1)</f>
        <v>0</v>
      </c>
      <c r="AH614" s="166" t="n">
        <f aca="false">IF(AH409=0,0,(SUMIF(Resource_Planning!$P$49:$P$356,$P614,Resource_Planning!AH$49:AH$356))/AH409-1)</f>
        <v>0</v>
      </c>
      <c r="AI614" s="166" t="n">
        <f aca="false">IF(AI409=0,0,(SUMIF(Resource_Planning!$P$49:$P$356,$P614,Resource_Planning!AI$49:AI$356))/AI409-1)</f>
        <v>0</v>
      </c>
      <c r="AJ614" s="166" t="n">
        <f aca="false">IF(AJ409=0,0,(SUMIF(Resource_Planning!$P$49:$P$356,$P614,Resource_Planning!AJ$49:AJ$356))/AJ409-1)</f>
        <v>0</v>
      </c>
      <c r="AK614" s="166" t="n">
        <f aca="false">IF(AK409=0,0,(SUMIF(Resource_Planning!$P$49:$P$356,$P614,Resource_Planning!AK$49:AK$356))/AK409-1)</f>
        <v>0</v>
      </c>
      <c r="AL614" s="166" t="n">
        <f aca="false">IF(AL409=0,0,(SUMIF(Resource_Planning!$P$49:$P$356,$P614,Resource_Planning!AL$49:AL$356))/AL409-1)</f>
        <v>0</v>
      </c>
      <c r="AM614" s="166" t="n">
        <f aca="false">IF(AM409=0,0,(SUMIF(Resource_Planning!$P$49:$P$356,$P614,Resource_Planning!AM$49:AM$356))/AM409-1)</f>
        <v>0</v>
      </c>
      <c r="AN614" s="166" t="n">
        <f aca="false">IF(AN409=0,0,(SUMIF(Resource_Planning!$P$49:$P$356,$P614,Resource_Planning!AN$49:AN$356))/AN409-1)</f>
        <v>0</v>
      </c>
      <c r="AO614" s="166" t="n">
        <f aca="false">IF(AO409=0,0,(SUMIF(Resource_Planning!$P$49:$P$356,$P614,Resource_Planning!AO$49:AO$356))/AO409-1)</f>
        <v>0</v>
      </c>
      <c r="AP614" s="166" t="n">
        <f aca="false">IF(AP409=0,0,(SUMIF(Resource_Planning!$P$49:$P$356,$P614,Resource_Planning!AP$49:AP$356))/AP409-1)</f>
        <v>0</v>
      </c>
      <c r="AQ614" s="166" t="n">
        <f aca="false">IF(AQ409=0,0,(SUMIF(Resource_Planning!$P$49:$P$356,$P614,Resource_Planning!AQ$49:AQ$356))/AQ409-1)</f>
        <v>0</v>
      </c>
      <c r="AR614" s="166" t="n">
        <f aca="false">IF(AR409=0,0,(SUMIF(Resource_Planning!$P$49:$P$356,$P614,Resource_Planning!AR$49:AR$356))/AR409-1)</f>
        <v>0</v>
      </c>
      <c r="AS614" s="166" t="n">
        <f aca="false">IF(AS409=0,0,(SUMIF(Resource_Planning!$P$49:$P$356,$P614,Resource_Planning!AS$49:AS$356))/AS409-1)</f>
        <v>0</v>
      </c>
      <c r="AT614" s="166" t="n">
        <f aca="false">IF(AT409=0,0,(SUMIF(Resource_Planning!$P$49:$P$356,$P614,Resource_Planning!AT$49:AT$356))/AT409-1)</f>
        <v>0</v>
      </c>
      <c r="AU614" s="166" t="n">
        <f aca="false">IF(AU409=0,0,(SUMIF(Resource_Planning!$P$49:$P$356,$P614,Resource_Planning!AU$49:AU$356))/AU409-1)</f>
        <v>0</v>
      </c>
      <c r="AV614" s="166" t="n">
        <f aca="false">IF(AV409=0,0,(SUMIF(Resource_Planning!$P$49:$P$356,$P614,Resource_Planning!AV$49:AV$356))/AV409-1)</f>
        <v>0</v>
      </c>
      <c r="AW614" s="166" t="n">
        <f aca="false">IF(AW409=0,0,(SUMIF(Resource_Planning!$P$49:$P$356,$P614,Resource_Planning!AW$49:AW$356))/AW409-1)</f>
        <v>0</v>
      </c>
      <c r="AX614" s="166" t="n">
        <f aca="false">IF(AX409=0,0,(SUMIF(Resource_Planning!$P$49:$P$356,$P614,Resource_Planning!AX$49:AX$356))/AX409-1)</f>
        <v>0</v>
      </c>
      <c r="AY614" s="166" t="n">
        <f aca="false">IF(AY409=0,0,(SUMIF(Resource_Planning!$P$49:$P$356,$P614,Resource_Planning!AY$49:AY$356))/AY409-1)</f>
        <v>0</v>
      </c>
      <c r="AZ614" s="166" t="n">
        <f aca="false">IF(AZ409=0,0,(SUMIF(Resource_Planning!$P$49:$P$356,$P614,Resource_Planning!AZ$49:AZ$356))/AZ409-1)</f>
        <v>0</v>
      </c>
      <c r="BA614" s="166" t="n">
        <f aca="false">IF(BA409=0,0,(SUMIF(Resource_Planning!$P$49:$P$356,$P614,Resource_Planning!BA$49:BA$356))/BA409-1)</f>
        <v>0</v>
      </c>
      <c r="BB614" s="166" t="n">
        <f aca="false">IF(BB409=0,0,(SUMIF(Resource_Planning!$P$49:$P$356,$P614,Resource_Planning!BB$49:BB$356))/BB409-1)</f>
        <v>0</v>
      </c>
    </row>
    <row r="615" s="173" customFormat="true" ht="15" hidden="true" customHeight="false" outlineLevel="1" collapsed="false">
      <c r="E615" s="40"/>
      <c r="K615" s="40"/>
      <c r="L615" s="40"/>
      <c r="M615" s="40"/>
      <c r="N615" s="40"/>
      <c r="P615" s="177" t="n">
        <f aca="false">P273</f>
        <v>0</v>
      </c>
      <c r="Q615" s="40"/>
      <c r="R615" s="178"/>
      <c r="S615" s="166" t="n">
        <f aca="false">IF(S410=0,0,(SUMIF(Resource_Planning!$P$49:$P$356,$P615,Resource_Planning!S$49:S$356))/S410-1)</f>
        <v>0</v>
      </c>
      <c r="T615" s="166" t="n">
        <f aca="false">IF(T410=0,0,(SUMIF(Resource_Planning!$P$49:$P$356,$P615,Resource_Planning!T$49:T$356))/T410-1)</f>
        <v>0</v>
      </c>
      <c r="U615" s="166" t="n">
        <f aca="false">IF(U410=0,0,(SUMIF(Resource_Planning!$P$49:$P$356,$P615,Resource_Planning!U$49:U$356))/U410-1)</f>
        <v>0</v>
      </c>
      <c r="V615" s="166" t="n">
        <f aca="false">IF(V410=0,0,(SUMIF(Resource_Planning!$P$49:$P$356,$P615,Resource_Planning!V$49:V$356))/V410-1)</f>
        <v>0</v>
      </c>
      <c r="W615" s="166" t="n">
        <f aca="false">IF(W410=0,0,(SUMIF(Resource_Planning!$P$49:$P$356,$P615,Resource_Planning!W$49:W$356))/W410-1)</f>
        <v>0</v>
      </c>
      <c r="X615" s="166" t="n">
        <f aca="false">IF(X410=0,0,(SUMIF(Resource_Planning!$P$49:$P$356,$P615,Resource_Planning!X$49:X$356))/X410-1)</f>
        <v>0</v>
      </c>
      <c r="Y615" s="166" t="n">
        <f aca="false">IF(Y410=0,0,(SUMIF(Resource_Planning!$P$49:$P$356,$P615,Resource_Planning!Y$49:Y$356))/Y410-1)</f>
        <v>0</v>
      </c>
      <c r="Z615" s="166" t="n">
        <f aca="false">IF(Z410=0,0,(SUMIF(Resource_Planning!$P$49:$P$356,$P615,Resource_Planning!Z$49:Z$356))/Z410-1)</f>
        <v>0</v>
      </c>
      <c r="AA615" s="166" t="n">
        <f aca="false">IF(AA410=0,0,(SUMIF(Resource_Planning!$P$49:$P$356,$P615,Resource_Planning!AA$49:AA$356))/AA410-1)</f>
        <v>0</v>
      </c>
      <c r="AB615" s="166" t="n">
        <f aca="false">IF(AB410=0,0,(SUMIF(Resource_Planning!$P$49:$P$356,$P615,Resource_Planning!AB$49:AB$356))/AB410-1)</f>
        <v>0</v>
      </c>
      <c r="AC615" s="166" t="n">
        <f aca="false">IF(AC410=0,0,(SUMIF(Resource_Planning!$P$49:$P$356,$P615,Resource_Planning!AC$49:AC$356))/AC410-1)</f>
        <v>0</v>
      </c>
      <c r="AD615" s="166" t="n">
        <f aca="false">IF(AD410=0,0,(SUMIF(Resource_Planning!$P$49:$P$356,$P615,Resource_Planning!AD$49:AD$356))/AD410-1)</f>
        <v>0</v>
      </c>
      <c r="AE615" s="166" t="n">
        <f aca="false">IF(AE410=0,0,(SUMIF(Resource_Planning!$P$49:$P$356,$P615,Resource_Planning!AE$49:AE$356))/AE410-1)</f>
        <v>0</v>
      </c>
      <c r="AF615" s="166" t="n">
        <f aca="false">IF(AF410=0,0,(SUMIF(Resource_Planning!$P$49:$P$356,$P615,Resource_Planning!AF$49:AF$356))/AF410-1)</f>
        <v>0</v>
      </c>
      <c r="AG615" s="166" t="n">
        <f aca="false">IF(AG410=0,0,(SUMIF(Resource_Planning!$P$49:$P$356,$P615,Resource_Planning!AG$49:AG$356))/AG410-1)</f>
        <v>0</v>
      </c>
      <c r="AH615" s="166" t="n">
        <f aca="false">IF(AH410=0,0,(SUMIF(Resource_Planning!$P$49:$P$356,$P615,Resource_Planning!AH$49:AH$356))/AH410-1)</f>
        <v>0</v>
      </c>
      <c r="AI615" s="166" t="n">
        <f aca="false">IF(AI410=0,0,(SUMIF(Resource_Planning!$P$49:$P$356,$P615,Resource_Planning!AI$49:AI$356))/AI410-1)</f>
        <v>0</v>
      </c>
      <c r="AJ615" s="166" t="n">
        <f aca="false">IF(AJ410=0,0,(SUMIF(Resource_Planning!$P$49:$P$356,$P615,Resource_Planning!AJ$49:AJ$356))/AJ410-1)</f>
        <v>0</v>
      </c>
      <c r="AK615" s="166" t="n">
        <f aca="false">IF(AK410=0,0,(SUMIF(Resource_Planning!$P$49:$P$356,$P615,Resource_Planning!AK$49:AK$356))/AK410-1)</f>
        <v>0</v>
      </c>
      <c r="AL615" s="166" t="n">
        <f aca="false">IF(AL410=0,0,(SUMIF(Resource_Planning!$P$49:$P$356,$P615,Resource_Planning!AL$49:AL$356))/AL410-1)</f>
        <v>0</v>
      </c>
      <c r="AM615" s="166" t="n">
        <f aca="false">IF(AM410=0,0,(SUMIF(Resource_Planning!$P$49:$P$356,$P615,Resource_Planning!AM$49:AM$356))/AM410-1)</f>
        <v>0</v>
      </c>
      <c r="AN615" s="166" t="n">
        <f aca="false">IF(AN410=0,0,(SUMIF(Resource_Planning!$P$49:$P$356,$P615,Resource_Planning!AN$49:AN$356))/AN410-1)</f>
        <v>0</v>
      </c>
      <c r="AO615" s="166" t="n">
        <f aca="false">IF(AO410=0,0,(SUMIF(Resource_Planning!$P$49:$P$356,$P615,Resource_Planning!AO$49:AO$356))/AO410-1)</f>
        <v>0</v>
      </c>
      <c r="AP615" s="166" t="n">
        <f aca="false">IF(AP410=0,0,(SUMIF(Resource_Planning!$P$49:$P$356,$P615,Resource_Planning!AP$49:AP$356))/AP410-1)</f>
        <v>0</v>
      </c>
      <c r="AQ615" s="166" t="n">
        <f aca="false">IF(AQ410=0,0,(SUMIF(Resource_Planning!$P$49:$P$356,$P615,Resource_Planning!AQ$49:AQ$356))/AQ410-1)</f>
        <v>0</v>
      </c>
      <c r="AR615" s="166" t="n">
        <f aca="false">IF(AR410=0,0,(SUMIF(Resource_Planning!$P$49:$P$356,$P615,Resource_Planning!AR$49:AR$356))/AR410-1)</f>
        <v>0</v>
      </c>
      <c r="AS615" s="166" t="n">
        <f aca="false">IF(AS410=0,0,(SUMIF(Resource_Planning!$P$49:$P$356,$P615,Resource_Planning!AS$49:AS$356))/AS410-1)</f>
        <v>0</v>
      </c>
      <c r="AT615" s="166" t="n">
        <f aca="false">IF(AT410=0,0,(SUMIF(Resource_Planning!$P$49:$P$356,$P615,Resource_Planning!AT$49:AT$356))/AT410-1)</f>
        <v>0</v>
      </c>
      <c r="AU615" s="166" t="n">
        <f aca="false">IF(AU410=0,0,(SUMIF(Resource_Planning!$P$49:$P$356,$P615,Resource_Planning!AU$49:AU$356))/AU410-1)</f>
        <v>0</v>
      </c>
      <c r="AV615" s="166" t="n">
        <f aca="false">IF(AV410=0,0,(SUMIF(Resource_Planning!$P$49:$P$356,$P615,Resource_Planning!AV$49:AV$356))/AV410-1)</f>
        <v>0</v>
      </c>
      <c r="AW615" s="166" t="n">
        <f aca="false">IF(AW410=0,0,(SUMIF(Resource_Planning!$P$49:$P$356,$P615,Resource_Planning!AW$49:AW$356))/AW410-1)</f>
        <v>0</v>
      </c>
      <c r="AX615" s="166" t="n">
        <f aca="false">IF(AX410=0,0,(SUMIF(Resource_Planning!$P$49:$P$356,$P615,Resource_Planning!AX$49:AX$356))/AX410-1)</f>
        <v>0</v>
      </c>
      <c r="AY615" s="166" t="n">
        <f aca="false">IF(AY410=0,0,(SUMIF(Resource_Planning!$P$49:$P$356,$P615,Resource_Planning!AY$49:AY$356))/AY410-1)</f>
        <v>0</v>
      </c>
      <c r="AZ615" s="166" t="n">
        <f aca="false">IF(AZ410=0,0,(SUMIF(Resource_Planning!$P$49:$P$356,$P615,Resource_Planning!AZ$49:AZ$356))/AZ410-1)</f>
        <v>0</v>
      </c>
      <c r="BA615" s="166" t="n">
        <f aca="false">IF(BA410=0,0,(SUMIF(Resource_Planning!$P$49:$P$356,$P615,Resource_Planning!BA$49:BA$356))/BA410-1)</f>
        <v>0</v>
      </c>
      <c r="BB615" s="166" t="n">
        <f aca="false">IF(BB410=0,0,(SUMIF(Resource_Planning!$P$49:$P$356,$P615,Resource_Planning!BB$49:BB$356))/BB410-1)</f>
        <v>0</v>
      </c>
    </row>
    <row r="616" s="173" customFormat="true" ht="15" hidden="true" customHeight="false" outlineLevel="1" collapsed="false">
      <c r="E616" s="40"/>
      <c r="K616" s="40"/>
      <c r="L616" s="40"/>
      <c r="M616" s="40"/>
      <c r="N616" s="40"/>
      <c r="P616" s="177" t="n">
        <f aca="false">P274</f>
        <v>0</v>
      </c>
      <c r="Q616" s="40"/>
      <c r="R616" s="178"/>
      <c r="S616" s="166" t="n">
        <f aca="false">IF(S411=0,0,(SUMIF(Resource_Planning!$P$49:$P$356,$P616,Resource_Planning!S$49:S$356))/S411-1)</f>
        <v>0</v>
      </c>
      <c r="T616" s="166" t="n">
        <f aca="false">IF(T411=0,0,(SUMIF(Resource_Planning!$P$49:$P$356,$P616,Resource_Planning!T$49:T$356))/T411-1)</f>
        <v>0</v>
      </c>
      <c r="U616" s="166" t="n">
        <f aca="false">IF(U411=0,0,(SUMIF(Resource_Planning!$P$49:$P$356,$P616,Resource_Planning!U$49:U$356))/U411-1)</f>
        <v>0</v>
      </c>
      <c r="V616" s="166" t="n">
        <f aca="false">IF(V411=0,0,(SUMIF(Resource_Planning!$P$49:$P$356,$P616,Resource_Planning!V$49:V$356))/V411-1)</f>
        <v>0</v>
      </c>
      <c r="W616" s="166" t="n">
        <f aca="false">IF(W411=0,0,(SUMIF(Resource_Planning!$P$49:$P$356,$P616,Resource_Planning!W$49:W$356))/W411-1)</f>
        <v>0</v>
      </c>
      <c r="X616" s="166" t="n">
        <f aca="false">IF(X411=0,0,(SUMIF(Resource_Planning!$P$49:$P$356,$P616,Resource_Planning!X$49:X$356))/X411-1)</f>
        <v>0</v>
      </c>
      <c r="Y616" s="166" t="n">
        <f aca="false">IF(Y411=0,0,(SUMIF(Resource_Planning!$P$49:$P$356,$P616,Resource_Planning!Y$49:Y$356))/Y411-1)</f>
        <v>0</v>
      </c>
      <c r="Z616" s="166" t="n">
        <f aca="false">IF(Z411=0,0,(SUMIF(Resource_Planning!$P$49:$P$356,$P616,Resource_Planning!Z$49:Z$356))/Z411-1)</f>
        <v>0</v>
      </c>
      <c r="AA616" s="166" t="n">
        <f aca="false">IF(AA411=0,0,(SUMIF(Resource_Planning!$P$49:$P$356,$P616,Resource_Planning!AA$49:AA$356))/AA411-1)</f>
        <v>0</v>
      </c>
      <c r="AB616" s="166" t="n">
        <f aca="false">IF(AB411=0,0,(SUMIF(Resource_Planning!$P$49:$P$356,$P616,Resource_Planning!AB$49:AB$356))/AB411-1)</f>
        <v>0</v>
      </c>
      <c r="AC616" s="166" t="n">
        <f aca="false">IF(AC411=0,0,(SUMIF(Resource_Planning!$P$49:$P$356,$P616,Resource_Planning!AC$49:AC$356))/AC411-1)</f>
        <v>0</v>
      </c>
      <c r="AD616" s="166" t="n">
        <f aca="false">IF(AD411=0,0,(SUMIF(Resource_Planning!$P$49:$P$356,$P616,Resource_Planning!AD$49:AD$356))/AD411-1)</f>
        <v>0</v>
      </c>
      <c r="AE616" s="166" t="n">
        <f aca="false">IF(AE411=0,0,(SUMIF(Resource_Planning!$P$49:$P$356,$P616,Resource_Planning!AE$49:AE$356))/AE411-1)</f>
        <v>0</v>
      </c>
      <c r="AF616" s="166" t="n">
        <f aca="false">IF(AF411=0,0,(SUMIF(Resource_Planning!$P$49:$P$356,$P616,Resource_Planning!AF$49:AF$356))/AF411-1)</f>
        <v>0</v>
      </c>
      <c r="AG616" s="166" t="n">
        <f aca="false">IF(AG411=0,0,(SUMIF(Resource_Planning!$P$49:$P$356,$P616,Resource_Planning!AG$49:AG$356))/AG411-1)</f>
        <v>0</v>
      </c>
      <c r="AH616" s="166" t="n">
        <f aca="false">IF(AH411=0,0,(SUMIF(Resource_Planning!$P$49:$P$356,$P616,Resource_Planning!AH$49:AH$356))/AH411-1)</f>
        <v>0</v>
      </c>
      <c r="AI616" s="166" t="n">
        <f aca="false">IF(AI411=0,0,(SUMIF(Resource_Planning!$P$49:$P$356,$P616,Resource_Planning!AI$49:AI$356))/AI411-1)</f>
        <v>0</v>
      </c>
      <c r="AJ616" s="166" t="n">
        <f aca="false">IF(AJ411=0,0,(SUMIF(Resource_Planning!$P$49:$P$356,$P616,Resource_Planning!AJ$49:AJ$356))/AJ411-1)</f>
        <v>0</v>
      </c>
      <c r="AK616" s="166" t="n">
        <f aca="false">IF(AK411=0,0,(SUMIF(Resource_Planning!$P$49:$P$356,$P616,Resource_Planning!AK$49:AK$356))/AK411-1)</f>
        <v>0</v>
      </c>
      <c r="AL616" s="166" t="n">
        <f aca="false">IF(AL411=0,0,(SUMIF(Resource_Planning!$P$49:$P$356,$P616,Resource_Planning!AL$49:AL$356))/AL411-1)</f>
        <v>0</v>
      </c>
      <c r="AM616" s="166" t="n">
        <f aca="false">IF(AM411=0,0,(SUMIF(Resource_Planning!$P$49:$P$356,$P616,Resource_Planning!AM$49:AM$356))/AM411-1)</f>
        <v>0</v>
      </c>
      <c r="AN616" s="166" t="n">
        <f aca="false">IF(AN411=0,0,(SUMIF(Resource_Planning!$P$49:$P$356,$P616,Resource_Planning!AN$49:AN$356))/AN411-1)</f>
        <v>0</v>
      </c>
      <c r="AO616" s="166" t="n">
        <f aca="false">IF(AO411=0,0,(SUMIF(Resource_Planning!$P$49:$P$356,$P616,Resource_Planning!AO$49:AO$356))/AO411-1)</f>
        <v>0</v>
      </c>
      <c r="AP616" s="166" t="n">
        <f aca="false">IF(AP411=0,0,(SUMIF(Resource_Planning!$P$49:$P$356,$P616,Resource_Planning!AP$49:AP$356))/AP411-1)</f>
        <v>0</v>
      </c>
      <c r="AQ616" s="166" t="n">
        <f aca="false">IF(AQ411=0,0,(SUMIF(Resource_Planning!$P$49:$P$356,$P616,Resource_Planning!AQ$49:AQ$356))/AQ411-1)</f>
        <v>0</v>
      </c>
      <c r="AR616" s="166" t="n">
        <f aca="false">IF(AR411=0,0,(SUMIF(Resource_Planning!$P$49:$P$356,$P616,Resource_Planning!AR$49:AR$356))/AR411-1)</f>
        <v>0</v>
      </c>
      <c r="AS616" s="166" t="n">
        <f aca="false">IF(AS411=0,0,(SUMIF(Resource_Planning!$P$49:$P$356,$P616,Resource_Planning!AS$49:AS$356))/AS411-1)</f>
        <v>0</v>
      </c>
      <c r="AT616" s="166" t="n">
        <f aca="false">IF(AT411=0,0,(SUMIF(Resource_Planning!$P$49:$P$356,$P616,Resource_Planning!AT$49:AT$356))/AT411-1)</f>
        <v>0</v>
      </c>
      <c r="AU616" s="166" t="n">
        <f aca="false">IF(AU411=0,0,(SUMIF(Resource_Planning!$P$49:$P$356,$P616,Resource_Planning!AU$49:AU$356))/AU411-1)</f>
        <v>0</v>
      </c>
      <c r="AV616" s="166" t="n">
        <f aca="false">IF(AV411=0,0,(SUMIF(Resource_Planning!$P$49:$P$356,$P616,Resource_Planning!AV$49:AV$356))/AV411-1)</f>
        <v>0</v>
      </c>
      <c r="AW616" s="166" t="n">
        <f aca="false">IF(AW411=0,0,(SUMIF(Resource_Planning!$P$49:$P$356,$P616,Resource_Planning!AW$49:AW$356))/AW411-1)</f>
        <v>0</v>
      </c>
      <c r="AX616" s="166" t="n">
        <f aca="false">IF(AX411=0,0,(SUMIF(Resource_Planning!$P$49:$P$356,$P616,Resource_Planning!AX$49:AX$356))/AX411-1)</f>
        <v>0</v>
      </c>
      <c r="AY616" s="166" t="n">
        <f aca="false">IF(AY411=0,0,(SUMIF(Resource_Planning!$P$49:$P$356,$P616,Resource_Planning!AY$49:AY$356))/AY411-1)</f>
        <v>0</v>
      </c>
      <c r="AZ616" s="166" t="n">
        <f aca="false">IF(AZ411=0,0,(SUMIF(Resource_Planning!$P$49:$P$356,$P616,Resource_Planning!AZ$49:AZ$356))/AZ411-1)</f>
        <v>0</v>
      </c>
      <c r="BA616" s="166" t="n">
        <f aca="false">IF(BA411=0,0,(SUMIF(Resource_Planning!$P$49:$P$356,$P616,Resource_Planning!BA$49:BA$356))/BA411-1)</f>
        <v>0</v>
      </c>
      <c r="BB616" s="166" t="n">
        <f aca="false">IF(BB411=0,0,(SUMIF(Resource_Planning!$P$49:$P$356,$P616,Resource_Planning!BB$49:BB$356))/BB411-1)</f>
        <v>0</v>
      </c>
    </row>
    <row r="617" s="173" customFormat="true" ht="15" hidden="true" customHeight="false" outlineLevel="1" collapsed="false">
      <c r="E617" s="40"/>
      <c r="K617" s="40"/>
      <c r="L617" s="40"/>
      <c r="M617" s="40"/>
      <c r="N617" s="40"/>
      <c r="P617" s="177" t="n">
        <f aca="false">P275</f>
        <v>0</v>
      </c>
      <c r="Q617" s="40"/>
      <c r="R617" s="178"/>
      <c r="S617" s="166" t="n">
        <f aca="false">IF(S412=0,0,(SUMIF(Resource_Planning!$P$49:$P$356,$P617,Resource_Planning!S$49:S$356))/S412-1)</f>
        <v>0</v>
      </c>
      <c r="T617" s="166" t="n">
        <f aca="false">IF(T412=0,0,(SUMIF(Resource_Planning!$P$49:$P$356,$P617,Resource_Planning!T$49:T$356))/T412-1)</f>
        <v>0</v>
      </c>
      <c r="U617" s="166" t="n">
        <f aca="false">IF(U412=0,0,(SUMIF(Resource_Planning!$P$49:$P$356,$P617,Resource_Planning!U$49:U$356))/U412-1)</f>
        <v>0</v>
      </c>
      <c r="V617" s="166" t="n">
        <f aca="false">IF(V412=0,0,(SUMIF(Resource_Planning!$P$49:$P$356,$P617,Resource_Planning!V$49:V$356))/V412-1)</f>
        <v>0</v>
      </c>
      <c r="W617" s="166" t="n">
        <f aca="false">IF(W412=0,0,(SUMIF(Resource_Planning!$P$49:$P$356,$P617,Resource_Planning!W$49:W$356))/W412-1)</f>
        <v>0</v>
      </c>
      <c r="X617" s="166" t="n">
        <f aca="false">IF(X412=0,0,(SUMIF(Resource_Planning!$P$49:$P$356,$P617,Resource_Planning!X$49:X$356))/X412-1)</f>
        <v>0</v>
      </c>
      <c r="Y617" s="166" t="n">
        <f aca="false">IF(Y412=0,0,(SUMIF(Resource_Planning!$P$49:$P$356,$P617,Resource_Planning!Y$49:Y$356))/Y412-1)</f>
        <v>0</v>
      </c>
      <c r="Z617" s="166" t="n">
        <f aca="false">IF(Z412=0,0,(SUMIF(Resource_Planning!$P$49:$P$356,$P617,Resource_Planning!Z$49:Z$356))/Z412-1)</f>
        <v>0</v>
      </c>
      <c r="AA617" s="166" t="n">
        <f aca="false">IF(AA412=0,0,(SUMIF(Resource_Planning!$P$49:$P$356,$P617,Resource_Planning!AA$49:AA$356))/AA412-1)</f>
        <v>0</v>
      </c>
      <c r="AB617" s="166" t="n">
        <f aca="false">IF(AB412=0,0,(SUMIF(Resource_Planning!$P$49:$P$356,$P617,Resource_Planning!AB$49:AB$356))/AB412-1)</f>
        <v>0</v>
      </c>
      <c r="AC617" s="166" t="n">
        <f aca="false">IF(AC412=0,0,(SUMIF(Resource_Planning!$P$49:$P$356,$P617,Resource_Planning!AC$49:AC$356))/AC412-1)</f>
        <v>0</v>
      </c>
      <c r="AD617" s="166" t="n">
        <f aca="false">IF(AD412=0,0,(SUMIF(Resource_Planning!$P$49:$P$356,$P617,Resource_Planning!AD$49:AD$356))/AD412-1)</f>
        <v>0</v>
      </c>
      <c r="AE617" s="166" t="n">
        <f aca="false">IF(AE412=0,0,(SUMIF(Resource_Planning!$P$49:$P$356,$P617,Resource_Planning!AE$49:AE$356))/AE412-1)</f>
        <v>0</v>
      </c>
      <c r="AF617" s="166" t="n">
        <f aca="false">IF(AF412=0,0,(SUMIF(Resource_Planning!$P$49:$P$356,$P617,Resource_Planning!AF$49:AF$356))/AF412-1)</f>
        <v>0</v>
      </c>
      <c r="AG617" s="166" t="n">
        <f aca="false">IF(AG412=0,0,(SUMIF(Resource_Planning!$P$49:$P$356,$P617,Resource_Planning!AG$49:AG$356))/AG412-1)</f>
        <v>0</v>
      </c>
      <c r="AH617" s="166" t="n">
        <f aca="false">IF(AH412=0,0,(SUMIF(Resource_Planning!$P$49:$P$356,$P617,Resource_Planning!AH$49:AH$356))/AH412-1)</f>
        <v>0</v>
      </c>
      <c r="AI617" s="166" t="n">
        <f aca="false">IF(AI412=0,0,(SUMIF(Resource_Planning!$P$49:$P$356,$P617,Resource_Planning!AI$49:AI$356))/AI412-1)</f>
        <v>0</v>
      </c>
      <c r="AJ617" s="166" t="n">
        <f aca="false">IF(AJ412=0,0,(SUMIF(Resource_Planning!$P$49:$P$356,$P617,Resource_Planning!AJ$49:AJ$356))/AJ412-1)</f>
        <v>0</v>
      </c>
      <c r="AK617" s="166" t="n">
        <f aca="false">IF(AK412=0,0,(SUMIF(Resource_Planning!$P$49:$P$356,$P617,Resource_Planning!AK$49:AK$356))/AK412-1)</f>
        <v>0</v>
      </c>
      <c r="AL617" s="166" t="n">
        <f aca="false">IF(AL412=0,0,(SUMIF(Resource_Planning!$P$49:$P$356,$P617,Resource_Planning!AL$49:AL$356))/AL412-1)</f>
        <v>0</v>
      </c>
      <c r="AM617" s="166" t="n">
        <f aca="false">IF(AM412=0,0,(SUMIF(Resource_Planning!$P$49:$P$356,$P617,Resource_Planning!AM$49:AM$356))/AM412-1)</f>
        <v>0</v>
      </c>
      <c r="AN617" s="166" t="n">
        <f aca="false">IF(AN412=0,0,(SUMIF(Resource_Planning!$P$49:$P$356,$P617,Resource_Planning!AN$49:AN$356))/AN412-1)</f>
        <v>0</v>
      </c>
      <c r="AO617" s="166" t="n">
        <f aca="false">IF(AO412=0,0,(SUMIF(Resource_Planning!$P$49:$P$356,$P617,Resource_Planning!AO$49:AO$356))/AO412-1)</f>
        <v>0</v>
      </c>
      <c r="AP617" s="166" t="n">
        <f aca="false">IF(AP412=0,0,(SUMIF(Resource_Planning!$P$49:$P$356,$P617,Resource_Planning!AP$49:AP$356))/AP412-1)</f>
        <v>0</v>
      </c>
      <c r="AQ617" s="166" t="n">
        <f aca="false">IF(AQ412=0,0,(SUMIF(Resource_Planning!$P$49:$P$356,$P617,Resource_Planning!AQ$49:AQ$356))/AQ412-1)</f>
        <v>0</v>
      </c>
      <c r="AR617" s="166" t="n">
        <f aca="false">IF(AR412=0,0,(SUMIF(Resource_Planning!$P$49:$P$356,$P617,Resource_Planning!AR$49:AR$356))/AR412-1)</f>
        <v>0</v>
      </c>
      <c r="AS617" s="166" t="n">
        <f aca="false">IF(AS412=0,0,(SUMIF(Resource_Planning!$P$49:$P$356,$P617,Resource_Planning!AS$49:AS$356))/AS412-1)</f>
        <v>0</v>
      </c>
      <c r="AT617" s="166" t="n">
        <f aca="false">IF(AT412=0,0,(SUMIF(Resource_Planning!$P$49:$P$356,$P617,Resource_Planning!AT$49:AT$356))/AT412-1)</f>
        <v>0</v>
      </c>
      <c r="AU617" s="166" t="n">
        <f aca="false">IF(AU412=0,0,(SUMIF(Resource_Planning!$P$49:$P$356,$P617,Resource_Planning!AU$49:AU$356))/AU412-1)</f>
        <v>0</v>
      </c>
      <c r="AV617" s="166" t="n">
        <f aca="false">IF(AV412=0,0,(SUMIF(Resource_Planning!$P$49:$P$356,$P617,Resource_Planning!AV$49:AV$356))/AV412-1)</f>
        <v>0</v>
      </c>
      <c r="AW617" s="166" t="n">
        <f aca="false">IF(AW412=0,0,(SUMIF(Resource_Planning!$P$49:$P$356,$P617,Resource_Planning!AW$49:AW$356))/AW412-1)</f>
        <v>0</v>
      </c>
      <c r="AX617" s="166" t="n">
        <f aca="false">IF(AX412=0,0,(SUMIF(Resource_Planning!$P$49:$P$356,$P617,Resource_Planning!AX$49:AX$356))/AX412-1)</f>
        <v>0</v>
      </c>
      <c r="AY617" s="166" t="n">
        <f aca="false">IF(AY412=0,0,(SUMIF(Resource_Planning!$P$49:$P$356,$P617,Resource_Planning!AY$49:AY$356))/AY412-1)</f>
        <v>0</v>
      </c>
      <c r="AZ617" s="166" t="n">
        <f aca="false">IF(AZ412=0,0,(SUMIF(Resource_Planning!$P$49:$P$356,$P617,Resource_Planning!AZ$49:AZ$356))/AZ412-1)</f>
        <v>0</v>
      </c>
      <c r="BA617" s="166" t="n">
        <f aca="false">IF(BA412=0,0,(SUMIF(Resource_Planning!$P$49:$P$356,$P617,Resource_Planning!BA$49:BA$356))/BA412-1)</f>
        <v>0</v>
      </c>
      <c r="BB617" s="166" t="n">
        <f aca="false">IF(BB412=0,0,(SUMIF(Resource_Planning!$P$49:$P$356,$P617,Resource_Planning!BB$49:BB$356))/BB412-1)</f>
        <v>0</v>
      </c>
    </row>
    <row r="618" s="173" customFormat="true" ht="15" hidden="true" customHeight="false" outlineLevel="1" collapsed="false">
      <c r="E618" s="40"/>
      <c r="K618" s="40"/>
      <c r="L618" s="40"/>
      <c r="M618" s="40"/>
      <c r="N618" s="40"/>
      <c r="P618" s="177" t="n">
        <f aca="false">P276</f>
        <v>0</v>
      </c>
      <c r="Q618" s="40"/>
      <c r="R618" s="178"/>
      <c r="S618" s="166" t="n">
        <f aca="false">IF(S413=0,0,(SUMIF(Resource_Planning!$P$49:$P$356,$P618,Resource_Planning!S$49:S$356))/S413-1)</f>
        <v>0</v>
      </c>
      <c r="T618" s="166" t="n">
        <f aca="false">IF(T413=0,0,(SUMIF(Resource_Planning!$P$49:$P$356,$P618,Resource_Planning!T$49:T$356))/T413-1)</f>
        <v>0</v>
      </c>
      <c r="U618" s="166" t="n">
        <f aca="false">IF(U413=0,0,(SUMIF(Resource_Planning!$P$49:$P$356,$P618,Resource_Planning!U$49:U$356))/U413-1)</f>
        <v>0</v>
      </c>
      <c r="V618" s="166" t="n">
        <f aca="false">IF(V413=0,0,(SUMIF(Resource_Planning!$P$49:$P$356,$P618,Resource_Planning!V$49:V$356))/V413-1)</f>
        <v>0</v>
      </c>
      <c r="W618" s="166" t="n">
        <f aca="false">IF(W413=0,0,(SUMIF(Resource_Planning!$P$49:$P$356,$P618,Resource_Planning!W$49:W$356))/W413-1)</f>
        <v>0</v>
      </c>
      <c r="X618" s="166" t="n">
        <f aca="false">IF(X413=0,0,(SUMIF(Resource_Planning!$P$49:$P$356,$P618,Resource_Planning!X$49:X$356))/X413-1)</f>
        <v>0</v>
      </c>
      <c r="Y618" s="166" t="n">
        <f aca="false">IF(Y413=0,0,(SUMIF(Resource_Planning!$P$49:$P$356,$P618,Resource_Planning!Y$49:Y$356))/Y413-1)</f>
        <v>0</v>
      </c>
      <c r="Z618" s="166" t="n">
        <f aca="false">IF(Z413=0,0,(SUMIF(Resource_Planning!$P$49:$P$356,$P618,Resource_Planning!Z$49:Z$356))/Z413-1)</f>
        <v>0</v>
      </c>
      <c r="AA618" s="166" t="n">
        <f aca="false">IF(AA413=0,0,(SUMIF(Resource_Planning!$P$49:$P$356,$P618,Resource_Planning!AA$49:AA$356))/AA413-1)</f>
        <v>0</v>
      </c>
      <c r="AB618" s="166" t="n">
        <f aca="false">IF(AB413=0,0,(SUMIF(Resource_Planning!$P$49:$P$356,$P618,Resource_Planning!AB$49:AB$356))/AB413-1)</f>
        <v>0</v>
      </c>
      <c r="AC618" s="166" t="n">
        <f aca="false">IF(AC413=0,0,(SUMIF(Resource_Planning!$P$49:$P$356,$P618,Resource_Planning!AC$49:AC$356))/AC413-1)</f>
        <v>0</v>
      </c>
      <c r="AD618" s="166" t="n">
        <f aca="false">IF(AD413=0,0,(SUMIF(Resource_Planning!$P$49:$P$356,$P618,Resource_Planning!AD$49:AD$356))/AD413-1)</f>
        <v>0</v>
      </c>
      <c r="AE618" s="166" t="n">
        <f aca="false">IF(AE413=0,0,(SUMIF(Resource_Planning!$P$49:$P$356,$P618,Resource_Planning!AE$49:AE$356))/AE413-1)</f>
        <v>0</v>
      </c>
      <c r="AF618" s="166" t="n">
        <f aca="false">IF(AF413=0,0,(SUMIF(Resource_Planning!$P$49:$P$356,$P618,Resource_Planning!AF$49:AF$356))/AF413-1)</f>
        <v>0</v>
      </c>
      <c r="AG618" s="166" t="n">
        <f aca="false">IF(AG413=0,0,(SUMIF(Resource_Planning!$P$49:$P$356,$P618,Resource_Planning!AG$49:AG$356))/AG413-1)</f>
        <v>0</v>
      </c>
      <c r="AH618" s="166" t="n">
        <f aca="false">IF(AH413=0,0,(SUMIF(Resource_Planning!$P$49:$P$356,$P618,Resource_Planning!AH$49:AH$356))/AH413-1)</f>
        <v>0</v>
      </c>
      <c r="AI618" s="166" t="n">
        <f aca="false">IF(AI413=0,0,(SUMIF(Resource_Planning!$P$49:$P$356,$P618,Resource_Planning!AI$49:AI$356))/AI413-1)</f>
        <v>0</v>
      </c>
      <c r="AJ618" s="166" t="n">
        <f aca="false">IF(AJ413=0,0,(SUMIF(Resource_Planning!$P$49:$P$356,$P618,Resource_Planning!AJ$49:AJ$356))/AJ413-1)</f>
        <v>0</v>
      </c>
      <c r="AK618" s="166" t="n">
        <f aca="false">IF(AK413=0,0,(SUMIF(Resource_Planning!$P$49:$P$356,$P618,Resource_Planning!AK$49:AK$356))/AK413-1)</f>
        <v>0</v>
      </c>
      <c r="AL618" s="166" t="n">
        <f aca="false">IF(AL413=0,0,(SUMIF(Resource_Planning!$P$49:$P$356,$P618,Resource_Planning!AL$49:AL$356))/AL413-1)</f>
        <v>0</v>
      </c>
      <c r="AM618" s="166" t="n">
        <f aca="false">IF(AM413=0,0,(SUMIF(Resource_Planning!$P$49:$P$356,$P618,Resource_Planning!AM$49:AM$356))/AM413-1)</f>
        <v>0</v>
      </c>
      <c r="AN618" s="166" t="n">
        <f aca="false">IF(AN413=0,0,(SUMIF(Resource_Planning!$P$49:$P$356,$P618,Resource_Planning!AN$49:AN$356))/AN413-1)</f>
        <v>0</v>
      </c>
      <c r="AO618" s="166" t="n">
        <f aca="false">IF(AO413=0,0,(SUMIF(Resource_Planning!$P$49:$P$356,$P618,Resource_Planning!AO$49:AO$356))/AO413-1)</f>
        <v>0</v>
      </c>
      <c r="AP618" s="166" t="n">
        <f aca="false">IF(AP413=0,0,(SUMIF(Resource_Planning!$P$49:$P$356,$P618,Resource_Planning!AP$49:AP$356))/AP413-1)</f>
        <v>0</v>
      </c>
      <c r="AQ618" s="166" t="n">
        <f aca="false">IF(AQ413=0,0,(SUMIF(Resource_Planning!$P$49:$P$356,$P618,Resource_Planning!AQ$49:AQ$356))/AQ413-1)</f>
        <v>0</v>
      </c>
      <c r="AR618" s="166" t="n">
        <f aca="false">IF(AR413=0,0,(SUMIF(Resource_Planning!$P$49:$P$356,$P618,Resource_Planning!AR$49:AR$356))/AR413-1)</f>
        <v>0</v>
      </c>
      <c r="AS618" s="166" t="n">
        <f aca="false">IF(AS413=0,0,(SUMIF(Resource_Planning!$P$49:$P$356,$P618,Resource_Planning!AS$49:AS$356))/AS413-1)</f>
        <v>0</v>
      </c>
      <c r="AT618" s="166" t="n">
        <f aca="false">IF(AT413=0,0,(SUMIF(Resource_Planning!$P$49:$P$356,$P618,Resource_Planning!AT$49:AT$356))/AT413-1)</f>
        <v>0</v>
      </c>
      <c r="AU618" s="166" t="n">
        <f aca="false">IF(AU413=0,0,(SUMIF(Resource_Planning!$P$49:$P$356,$P618,Resource_Planning!AU$49:AU$356))/AU413-1)</f>
        <v>0</v>
      </c>
      <c r="AV618" s="166" t="n">
        <f aca="false">IF(AV413=0,0,(SUMIF(Resource_Planning!$P$49:$P$356,$P618,Resource_Planning!AV$49:AV$356))/AV413-1)</f>
        <v>0</v>
      </c>
      <c r="AW618" s="166" t="n">
        <f aca="false">IF(AW413=0,0,(SUMIF(Resource_Planning!$P$49:$P$356,$P618,Resource_Planning!AW$49:AW$356))/AW413-1)</f>
        <v>0</v>
      </c>
      <c r="AX618" s="166" t="n">
        <f aca="false">IF(AX413=0,0,(SUMIF(Resource_Planning!$P$49:$P$356,$P618,Resource_Planning!AX$49:AX$356))/AX413-1)</f>
        <v>0</v>
      </c>
      <c r="AY618" s="166" t="n">
        <f aca="false">IF(AY413=0,0,(SUMIF(Resource_Planning!$P$49:$P$356,$P618,Resource_Planning!AY$49:AY$356))/AY413-1)</f>
        <v>0</v>
      </c>
      <c r="AZ618" s="166" t="n">
        <f aca="false">IF(AZ413=0,0,(SUMIF(Resource_Planning!$P$49:$P$356,$P618,Resource_Planning!AZ$49:AZ$356))/AZ413-1)</f>
        <v>0</v>
      </c>
      <c r="BA618" s="166" t="n">
        <f aca="false">IF(BA413=0,0,(SUMIF(Resource_Planning!$P$49:$P$356,$P618,Resource_Planning!BA$49:BA$356))/BA413-1)</f>
        <v>0</v>
      </c>
      <c r="BB618" s="166" t="n">
        <f aca="false">IF(BB413=0,0,(SUMIF(Resource_Planning!$P$49:$P$356,$P618,Resource_Planning!BB$49:BB$356))/BB413-1)</f>
        <v>0</v>
      </c>
    </row>
    <row r="619" s="173" customFormat="true" ht="15" hidden="true" customHeight="false" outlineLevel="1" collapsed="false">
      <c r="E619" s="40"/>
      <c r="K619" s="40"/>
      <c r="L619" s="40"/>
      <c r="M619" s="40"/>
      <c r="N619" s="40"/>
      <c r="P619" s="177" t="n">
        <f aca="false">P277</f>
        <v>0</v>
      </c>
      <c r="Q619" s="40"/>
      <c r="R619" s="178"/>
      <c r="S619" s="166" t="n">
        <f aca="false">IF(S414=0,0,(SUMIF(Resource_Planning!$P$49:$P$356,$P619,Resource_Planning!S$49:S$356))/S414-1)</f>
        <v>0</v>
      </c>
      <c r="T619" s="166" t="n">
        <f aca="false">IF(T414=0,0,(SUMIF(Resource_Planning!$P$49:$P$356,$P619,Resource_Planning!T$49:T$356))/T414-1)</f>
        <v>0</v>
      </c>
      <c r="U619" s="166" t="n">
        <f aca="false">IF(U414=0,0,(SUMIF(Resource_Planning!$P$49:$P$356,$P619,Resource_Planning!U$49:U$356))/U414-1)</f>
        <v>0</v>
      </c>
      <c r="V619" s="166" t="n">
        <f aca="false">IF(V414=0,0,(SUMIF(Resource_Planning!$P$49:$P$356,$P619,Resource_Planning!V$49:V$356))/V414-1)</f>
        <v>0</v>
      </c>
      <c r="W619" s="166" t="n">
        <f aca="false">IF(W414=0,0,(SUMIF(Resource_Planning!$P$49:$P$356,$P619,Resource_Planning!W$49:W$356))/W414-1)</f>
        <v>0</v>
      </c>
      <c r="X619" s="166" t="n">
        <f aca="false">IF(X414=0,0,(SUMIF(Resource_Planning!$P$49:$P$356,$P619,Resource_Planning!X$49:X$356))/X414-1)</f>
        <v>0</v>
      </c>
      <c r="Y619" s="166" t="n">
        <f aca="false">IF(Y414=0,0,(SUMIF(Resource_Planning!$P$49:$P$356,$P619,Resource_Planning!Y$49:Y$356))/Y414-1)</f>
        <v>0</v>
      </c>
      <c r="Z619" s="166" t="n">
        <f aca="false">IF(Z414=0,0,(SUMIF(Resource_Planning!$P$49:$P$356,$P619,Resource_Planning!Z$49:Z$356))/Z414-1)</f>
        <v>0</v>
      </c>
      <c r="AA619" s="166" t="n">
        <f aca="false">IF(AA414=0,0,(SUMIF(Resource_Planning!$P$49:$P$356,$P619,Resource_Planning!AA$49:AA$356))/AA414-1)</f>
        <v>0</v>
      </c>
      <c r="AB619" s="166" t="n">
        <f aca="false">IF(AB414=0,0,(SUMIF(Resource_Planning!$P$49:$P$356,$P619,Resource_Planning!AB$49:AB$356))/AB414-1)</f>
        <v>0</v>
      </c>
      <c r="AC619" s="166" t="n">
        <f aca="false">IF(AC414=0,0,(SUMIF(Resource_Planning!$P$49:$P$356,$P619,Resource_Planning!AC$49:AC$356))/AC414-1)</f>
        <v>0</v>
      </c>
      <c r="AD619" s="166" t="n">
        <f aca="false">IF(AD414=0,0,(SUMIF(Resource_Planning!$P$49:$P$356,$P619,Resource_Planning!AD$49:AD$356))/AD414-1)</f>
        <v>0</v>
      </c>
      <c r="AE619" s="166" t="n">
        <f aca="false">IF(AE414=0,0,(SUMIF(Resource_Planning!$P$49:$P$356,$P619,Resource_Planning!AE$49:AE$356))/AE414-1)</f>
        <v>0</v>
      </c>
      <c r="AF619" s="166" t="n">
        <f aca="false">IF(AF414=0,0,(SUMIF(Resource_Planning!$P$49:$P$356,$P619,Resource_Planning!AF$49:AF$356))/AF414-1)</f>
        <v>0</v>
      </c>
      <c r="AG619" s="166" t="n">
        <f aca="false">IF(AG414=0,0,(SUMIF(Resource_Planning!$P$49:$P$356,$P619,Resource_Planning!AG$49:AG$356))/AG414-1)</f>
        <v>0</v>
      </c>
      <c r="AH619" s="166" t="n">
        <f aca="false">IF(AH414=0,0,(SUMIF(Resource_Planning!$P$49:$P$356,$P619,Resource_Planning!AH$49:AH$356))/AH414-1)</f>
        <v>0</v>
      </c>
      <c r="AI619" s="166" t="n">
        <f aca="false">IF(AI414=0,0,(SUMIF(Resource_Planning!$P$49:$P$356,$P619,Resource_Planning!AI$49:AI$356))/AI414-1)</f>
        <v>0</v>
      </c>
      <c r="AJ619" s="166" t="n">
        <f aca="false">IF(AJ414=0,0,(SUMIF(Resource_Planning!$P$49:$P$356,$P619,Resource_Planning!AJ$49:AJ$356))/AJ414-1)</f>
        <v>0</v>
      </c>
      <c r="AK619" s="166" t="n">
        <f aca="false">IF(AK414=0,0,(SUMIF(Resource_Planning!$P$49:$P$356,$P619,Resource_Planning!AK$49:AK$356))/AK414-1)</f>
        <v>0</v>
      </c>
      <c r="AL619" s="166" t="n">
        <f aca="false">IF(AL414=0,0,(SUMIF(Resource_Planning!$P$49:$P$356,$P619,Resource_Planning!AL$49:AL$356))/AL414-1)</f>
        <v>0</v>
      </c>
      <c r="AM619" s="166" t="n">
        <f aca="false">IF(AM414=0,0,(SUMIF(Resource_Planning!$P$49:$P$356,$P619,Resource_Planning!AM$49:AM$356))/AM414-1)</f>
        <v>0</v>
      </c>
      <c r="AN619" s="166" t="n">
        <f aca="false">IF(AN414=0,0,(SUMIF(Resource_Planning!$P$49:$P$356,$P619,Resource_Planning!AN$49:AN$356))/AN414-1)</f>
        <v>0</v>
      </c>
      <c r="AO619" s="166" t="n">
        <f aca="false">IF(AO414=0,0,(SUMIF(Resource_Planning!$P$49:$P$356,$P619,Resource_Planning!AO$49:AO$356))/AO414-1)</f>
        <v>0</v>
      </c>
      <c r="AP619" s="166" t="n">
        <f aca="false">IF(AP414=0,0,(SUMIF(Resource_Planning!$P$49:$P$356,$P619,Resource_Planning!AP$49:AP$356))/AP414-1)</f>
        <v>0</v>
      </c>
      <c r="AQ619" s="166" t="n">
        <f aca="false">IF(AQ414=0,0,(SUMIF(Resource_Planning!$P$49:$P$356,$P619,Resource_Planning!AQ$49:AQ$356))/AQ414-1)</f>
        <v>0</v>
      </c>
      <c r="AR619" s="166" t="n">
        <f aca="false">IF(AR414=0,0,(SUMIF(Resource_Planning!$P$49:$P$356,$P619,Resource_Planning!AR$49:AR$356))/AR414-1)</f>
        <v>0</v>
      </c>
      <c r="AS619" s="166" t="n">
        <f aca="false">IF(AS414=0,0,(SUMIF(Resource_Planning!$P$49:$P$356,$P619,Resource_Planning!AS$49:AS$356))/AS414-1)</f>
        <v>0</v>
      </c>
      <c r="AT619" s="166" t="n">
        <f aca="false">IF(AT414=0,0,(SUMIF(Resource_Planning!$P$49:$P$356,$P619,Resource_Planning!AT$49:AT$356))/AT414-1)</f>
        <v>0</v>
      </c>
      <c r="AU619" s="166" t="n">
        <f aca="false">IF(AU414=0,0,(SUMIF(Resource_Planning!$P$49:$P$356,$P619,Resource_Planning!AU$49:AU$356))/AU414-1)</f>
        <v>0</v>
      </c>
      <c r="AV619" s="166" t="n">
        <f aca="false">IF(AV414=0,0,(SUMIF(Resource_Planning!$P$49:$P$356,$P619,Resource_Planning!AV$49:AV$356))/AV414-1)</f>
        <v>0</v>
      </c>
      <c r="AW619" s="166" t="n">
        <f aca="false">IF(AW414=0,0,(SUMIF(Resource_Planning!$P$49:$P$356,$P619,Resource_Planning!AW$49:AW$356))/AW414-1)</f>
        <v>0</v>
      </c>
      <c r="AX619" s="166" t="n">
        <f aca="false">IF(AX414=0,0,(SUMIF(Resource_Planning!$P$49:$P$356,$P619,Resource_Planning!AX$49:AX$356))/AX414-1)</f>
        <v>0</v>
      </c>
      <c r="AY619" s="166" t="n">
        <f aca="false">IF(AY414=0,0,(SUMIF(Resource_Planning!$P$49:$P$356,$P619,Resource_Planning!AY$49:AY$356))/AY414-1)</f>
        <v>0</v>
      </c>
      <c r="AZ619" s="166" t="n">
        <f aca="false">IF(AZ414=0,0,(SUMIF(Resource_Planning!$P$49:$P$356,$P619,Resource_Planning!AZ$49:AZ$356))/AZ414-1)</f>
        <v>0</v>
      </c>
      <c r="BA619" s="166" t="n">
        <f aca="false">IF(BA414=0,0,(SUMIF(Resource_Planning!$P$49:$P$356,$P619,Resource_Planning!BA$49:BA$356))/BA414-1)</f>
        <v>0</v>
      </c>
      <c r="BB619" s="166" t="n">
        <f aca="false">IF(BB414=0,0,(SUMIF(Resource_Planning!$P$49:$P$356,$P619,Resource_Planning!BB$49:BB$356))/BB414-1)</f>
        <v>0</v>
      </c>
    </row>
    <row r="620" s="173" customFormat="true" ht="15" hidden="true" customHeight="false" outlineLevel="1" collapsed="false">
      <c r="E620" s="40"/>
      <c r="K620" s="40"/>
      <c r="L620" s="40"/>
      <c r="M620" s="40"/>
      <c r="N620" s="40"/>
      <c r="P620" s="177" t="n">
        <f aca="false">P278</f>
        <v>0</v>
      </c>
      <c r="Q620" s="40"/>
      <c r="R620" s="178"/>
      <c r="S620" s="166" t="n">
        <f aca="false">IF(S415=0,0,(SUMIF(Resource_Planning!$P$49:$P$356,$P620,Resource_Planning!S$49:S$356))/S415-1)</f>
        <v>0</v>
      </c>
      <c r="T620" s="166" t="n">
        <f aca="false">IF(T415=0,0,(SUMIF(Resource_Planning!$P$49:$P$356,$P620,Resource_Planning!T$49:T$356))/T415-1)</f>
        <v>0</v>
      </c>
      <c r="U620" s="166" t="n">
        <f aca="false">IF(U415=0,0,(SUMIF(Resource_Planning!$P$49:$P$356,$P620,Resource_Planning!U$49:U$356))/U415-1)</f>
        <v>0</v>
      </c>
      <c r="V620" s="166" t="n">
        <f aca="false">IF(V415=0,0,(SUMIF(Resource_Planning!$P$49:$P$356,$P620,Resource_Planning!V$49:V$356))/V415-1)</f>
        <v>0</v>
      </c>
      <c r="W620" s="166" t="n">
        <f aca="false">IF(W415=0,0,(SUMIF(Resource_Planning!$P$49:$P$356,$P620,Resource_Planning!W$49:W$356))/W415-1)</f>
        <v>0</v>
      </c>
      <c r="X620" s="166" t="n">
        <f aca="false">IF(X415=0,0,(SUMIF(Resource_Planning!$P$49:$P$356,$P620,Resource_Planning!X$49:X$356))/X415-1)</f>
        <v>0</v>
      </c>
      <c r="Y620" s="166" t="n">
        <f aca="false">IF(Y415=0,0,(SUMIF(Resource_Planning!$P$49:$P$356,$P620,Resource_Planning!Y$49:Y$356))/Y415-1)</f>
        <v>0</v>
      </c>
      <c r="Z620" s="166" t="n">
        <f aca="false">IF(Z415=0,0,(SUMIF(Resource_Planning!$P$49:$P$356,$P620,Resource_Planning!Z$49:Z$356))/Z415-1)</f>
        <v>0</v>
      </c>
      <c r="AA620" s="166" t="n">
        <f aca="false">IF(AA415=0,0,(SUMIF(Resource_Planning!$P$49:$P$356,$P620,Resource_Planning!AA$49:AA$356))/AA415-1)</f>
        <v>0</v>
      </c>
      <c r="AB620" s="166" t="n">
        <f aca="false">IF(AB415=0,0,(SUMIF(Resource_Planning!$P$49:$P$356,$P620,Resource_Planning!AB$49:AB$356))/AB415-1)</f>
        <v>0</v>
      </c>
      <c r="AC620" s="166" t="n">
        <f aca="false">IF(AC415=0,0,(SUMIF(Resource_Planning!$P$49:$P$356,$P620,Resource_Planning!AC$49:AC$356))/AC415-1)</f>
        <v>0</v>
      </c>
      <c r="AD620" s="166" t="n">
        <f aca="false">IF(AD415=0,0,(SUMIF(Resource_Planning!$P$49:$P$356,$P620,Resource_Planning!AD$49:AD$356))/AD415-1)</f>
        <v>0</v>
      </c>
      <c r="AE620" s="166" t="n">
        <f aca="false">IF(AE415=0,0,(SUMIF(Resource_Planning!$P$49:$P$356,$P620,Resource_Planning!AE$49:AE$356))/AE415-1)</f>
        <v>0</v>
      </c>
      <c r="AF620" s="166" t="n">
        <f aca="false">IF(AF415=0,0,(SUMIF(Resource_Planning!$P$49:$P$356,$P620,Resource_Planning!AF$49:AF$356))/AF415-1)</f>
        <v>0</v>
      </c>
      <c r="AG620" s="166" t="n">
        <f aca="false">IF(AG415=0,0,(SUMIF(Resource_Planning!$P$49:$P$356,$P620,Resource_Planning!AG$49:AG$356))/AG415-1)</f>
        <v>0</v>
      </c>
      <c r="AH620" s="166" t="n">
        <f aca="false">IF(AH415=0,0,(SUMIF(Resource_Planning!$P$49:$P$356,$P620,Resource_Planning!AH$49:AH$356))/AH415-1)</f>
        <v>0</v>
      </c>
      <c r="AI620" s="166" t="n">
        <f aca="false">IF(AI415=0,0,(SUMIF(Resource_Planning!$P$49:$P$356,$P620,Resource_Planning!AI$49:AI$356))/AI415-1)</f>
        <v>0</v>
      </c>
      <c r="AJ620" s="166" t="n">
        <f aca="false">IF(AJ415=0,0,(SUMIF(Resource_Planning!$P$49:$P$356,$P620,Resource_Planning!AJ$49:AJ$356))/AJ415-1)</f>
        <v>0</v>
      </c>
      <c r="AK620" s="166" t="n">
        <f aca="false">IF(AK415=0,0,(SUMIF(Resource_Planning!$P$49:$P$356,$P620,Resource_Planning!AK$49:AK$356))/AK415-1)</f>
        <v>0</v>
      </c>
      <c r="AL620" s="166" t="n">
        <f aca="false">IF(AL415=0,0,(SUMIF(Resource_Planning!$P$49:$P$356,$P620,Resource_Planning!AL$49:AL$356))/AL415-1)</f>
        <v>0</v>
      </c>
      <c r="AM620" s="166" t="n">
        <f aca="false">IF(AM415=0,0,(SUMIF(Resource_Planning!$P$49:$P$356,$P620,Resource_Planning!AM$49:AM$356))/AM415-1)</f>
        <v>0</v>
      </c>
      <c r="AN620" s="166" t="n">
        <f aca="false">IF(AN415=0,0,(SUMIF(Resource_Planning!$P$49:$P$356,$P620,Resource_Planning!AN$49:AN$356))/AN415-1)</f>
        <v>0</v>
      </c>
      <c r="AO620" s="166" t="n">
        <f aca="false">IF(AO415=0,0,(SUMIF(Resource_Planning!$P$49:$P$356,$P620,Resource_Planning!AO$49:AO$356))/AO415-1)</f>
        <v>0</v>
      </c>
      <c r="AP620" s="166" t="n">
        <f aca="false">IF(AP415=0,0,(SUMIF(Resource_Planning!$P$49:$P$356,$P620,Resource_Planning!AP$49:AP$356))/AP415-1)</f>
        <v>0</v>
      </c>
      <c r="AQ620" s="166" t="n">
        <f aca="false">IF(AQ415=0,0,(SUMIF(Resource_Planning!$P$49:$P$356,$P620,Resource_Planning!AQ$49:AQ$356))/AQ415-1)</f>
        <v>0</v>
      </c>
      <c r="AR620" s="166" t="n">
        <f aca="false">IF(AR415=0,0,(SUMIF(Resource_Planning!$P$49:$P$356,$P620,Resource_Planning!AR$49:AR$356))/AR415-1)</f>
        <v>0</v>
      </c>
      <c r="AS620" s="166" t="n">
        <f aca="false">IF(AS415=0,0,(SUMIF(Resource_Planning!$P$49:$P$356,$P620,Resource_Planning!AS$49:AS$356))/AS415-1)</f>
        <v>0</v>
      </c>
      <c r="AT620" s="166" t="n">
        <f aca="false">IF(AT415=0,0,(SUMIF(Resource_Planning!$P$49:$P$356,$P620,Resource_Planning!AT$49:AT$356))/AT415-1)</f>
        <v>0</v>
      </c>
      <c r="AU620" s="166" t="n">
        <f aca="false">IF(AU415=0,0,(SUMIF(Resource_Planning!$P$49:$P$356,$P620,Resource_Planning!AU$49:AU$356))/AU415-1)</f>
        <v>0</v>
      </c>
      <c r="AV620" s="166" t="n">
        <f aca="false">IF(AV415=0,0,(SUMIF(Resource_Planning!$P$49:$P$356,$P620,Resource_Planning!AV$49:AV$356))/AV415-1)</f>
        <v>0</v>
      </c>
      <c r="AW620" s="166" t="n">
        <f aca="false">IF(AW415=0,0,(SUMIF(Resource_Planning!$P$49:$P$356,$P620,Resource_Planning!AW$49:AW$356))/AW415-1)</f>
        <v>0</v>
      </c>
      <c r="AX620" s="166" t="n">
        <f aca="false">IF(AX415=0,0,(SUMIF(Resource_Planning!$P$49:$P$356,$P620,Resource_Planning!AX$49:AX$356))/AX415-1)</f>
        <v>0</v>
      </c>
      <c r="AY620" s="166" t="n">
        <f aca="false">IF(AY415=0,0,(SUMIF(Resource_Planning!$P$49:$P$356,$P620,Resource_Planning!AY$49:AY$356))/AY415-1)</f>
        <v>0</v>
      </c>
      <c r="AZ620" s="166" t="n">
        <f aca="false">IF(AZ415=0,0,(SUMIF(Resource_Planning!$P$49:$P$356,$P620,Resource_Planning!AZ$49:AZ$356))/AZ415-1)</f>
        <v>0</v>
      </c>
      <c r="BA620" s="166" t="n">
        <f aca="false">IF(BA415=0,0,(SUMIF(Resource_Planning!$P$49:$P$356,$P620,Resource_Planning!BA$49:BA$356))/BA415-1)</f>
        <v>0</v>
      </c>
      <c r="BB620" s="166" t="n">
        <f aca="false">IF(BB415=0,0,(SUMIF(Resource_Planning!$P$49:$P$356,$P620,Resource_Planning!BB$49:BB$356))/BB415-1)</f>
        <v>0</v>
      </c>
    </row>
    <row r="621" s="173" customFormat="true" ht="15" hidden="true" customHeight="false" outlineLevel="1" collapsed="false">
      <c r="E621" s="40"/>
      <c r="K621" s="40"/>
      <c r="L621" s="40"/>
      <c r="M621" s="40"/>
      <c r="N621" s="40"/>
      <c r="P621" s="177" t="n">
        <f aca="false">P279</f>
        <v>0</v>
      </c>
      <c r="Q621" s="40"/>
      <c r="R621" s="178"/>
      <c r="S621" s="166" t="n">
        <f aca="false">IF(S416=0,0,(SUMIF(Resource_Planning!$P$49:$P$356,$P621,Resource_Planning!S$49:S$356))/S416-1)</f>
        <v>0</v>
      </c>
      <c r="T621" s="166" t="n">
        <f aca="false">IF(T416=0,0,(SUMIF(Resource_Planning!$P$49:$P$356,$P621,Resource_Planning!T$49:T$356))/T416-1)</f>
        <v>0</v>
      </c>
      <c r="U621" s="166" t="n">
        <f aca="false">IF(U416=0,0,(SUMIF(Resource_Planning!$P$49:$P$356,$P621,Resource_Planning!U$49:U$356))/U416-1)</f>
        <v>0</v>
      </c>
      <c r="V621" s="166" t="n">
        <f aca="false">IF(V416=0,0,(SUMIF(Resource_Planning!$P$49:$P$356,$P621,Resource_Planning!V$49:V$356))/V416-1)</f>
        <v>0</v>
      </c>
      <c r="W621" s="166" t="n">
        <f aca="false">IF(W416=0,0,(SUMIF(Resource_Planning!$P$49:$P$356,$P621,Resource_Planning!W$49:W$356))/W416-1)</f>
        <v>0</v>
      </c>
      <c r="X621" s="166" t="n">
        <f aca="false">IF(X416=0,0,(SUMIF(Resource_Planning!$P$49:$P$356,$P621,Resource_Planning!X$49:X$356))/X416-1)</f>
        <v>0</v>
      </c>
      <c r="Y621" s="166" t="n">
        <f aca="false">IF(Y416=0,0,(SUMIF(Resource_Planning!$P$49:$P$356,$P621,Resource_Planning!Y$49:Y$356))/Y416-1)</f>
        <v>0</v>
      </c>
      <c r="Z621" s="166" t="n">
        <f aca="false">IF(Z416=0,0,(SUMIF(Resource_Planning!$P$49:$P$356,$P621,Resource_Planning!Z$49:Z$356))/Z416-1)</f>
        <v>0</v>
      </c>
      <c r="AA621" s="166" t="n">
        <f aca="false">IF(AA416=0,0,(SUMIF(Resource_Planning!$P$49:$P$356,$P621,Resource_Planning!AA$49:AA$356))/AA416-1)</f>
        <v>0</v>
      </c>
      <c r="AB621" s="166" t="n">
        <f aca="false">IF(AB416=0,0,(SUMIF(Resource_Planning!$P$49:$P$356,$P621,Resource_Planning!AB$49:AB$356))/AB416-1)</f>
        <v>0</v>
      </c>
      <c r="AC621" s="166" t="n">
        <f aca="false">IF(AC416=0,0,(SUMIF(Resource_Planning!$P$49:$P$356,$P621,Resource_Planning!AC$49:AC$356))/AC416-1)</f>
        <v>0</v>
      </c>
      <c r="AD621" s="166" t="n">
        <f aca="false">IF(AD416=0,0,(SUMIF(Resource_Planning!$P$49:$P$356,$P621,Resource_Planning!AD$49:AD$356))/AD416-1)</f>
        <v>0</v>
      </c>
      <c r="AE621" s="166" t="n">
        <f aca="false">IF(AE416=0,0,(SUMIF(Resource_Planning!$P$49:$P$356,$P621,Resource_Planning!AE$49:AE$356))/AE416-1)</f>
        <v>0</v>
      </c>
      <c r="AF621" s="166" t="n">
        <f aca="false">IF(AF416=0,0,(SUMIF(Resource_Planning!$P$49:$P$356,$P621,Resource_Planning!AF$49:AF$356))/AF416-1)</f>
        <v>0</v>
      </c>
      <c r="AG621" s="166" t="n">
        <f aca="false">IF(AG416=0,0,(SUMIF(Resource_Planning!$P$49:$P$356,$P621,Resource_Planning!AG$49:AG$356))/AG416-1)</f>
        <v>0</v>
      </c>
      <c r="AH621" s="166" t="n">
        <f aca="false">IF(AH416=0,0,(SUMIF(Resource_Planning!$P$49:$P$356,$P621,Resource_Planning!AH$49:AH$356))/AH416-1)</f>
        <v>0</v>
      </c>
      <c r="AI621" s="166" t="n">
        <f aca="false">IF(AI416=0,0,(SUMIF(Resource_Planning!$P$49:$P$356,$P621,Resource_Planning!AI$49:AI$356))/AI416-1)</f>
        <v>0</v>
      </c>
      <c r="AJ621" s="166" t="n">
        <f aca="false">IF(AJ416=0,0,(SUMIF(Resource_Planning!$P$49:$P$356,$P621,Resource_Planning!AJ$49:AJ$356))/AJ416-1)</f>
        <v>0</v>
      </c>
      <c r="AK621" s="166" t="n">
        <f aca="false">IF(AK416=0,0,(SUMIF(Resource_Planning!$P$49:$P$356,$P621,Resource_Planning!AK$49:AK$356))/AK416-1)</f>
        <v>0</v>
      </c>
      <c r="AL621" s="166" t="n">
        <f aca="false">IF(AL416=0,0,(SUMIF(Resource_Planning!$P$49:$P$356,$P621,Resource_Planning!AL$49:AL$356))/AL416-1)</f>
        <v>0</v>
      </c>
      <c r="AM621" s="166" t="n">
        <f aca="false">IF(AM416=0,0,(SUMIF(Resource_Planning!$P$49:$P$356,$P621,Resource_Planning!AM$49:AM$356))/AM416-1)</f>
        <v>0</v>
      </c>
      <c r="AN621" s="166" t="n">
        <f aca="false">IF(AN416=0,0,(SUMIF(Resource_Planning!$P$49:$P$356,$P621,Resource_Planning!AN$49:AN$356))/AN416-1)</f>
        <v>0</v>
      </c>
      <c r="AO621" s="166" t="n">
        <f aca="false">IF(AO416=0,0,(SUMIF(Resource_Planning!$P$49:$P$356,$P621,Resource_Planning!AO$49:AO$356))/AO416-1)</f>
        <v>0</v>
      </c>
      <c r="AP621" s="166" t="n">
        <f aca="false">IF(AP416=0,0,(SUMIF(Resource_Planning!$P$49:$P$356,$P621,Resource_Planning!AP$49:AP$356))/AP416-1)</f>
        <v>0</v>
      </c>
      <c r="AQ621" s="166" t="n">
        <f aca="false">IF(AQ416=0,0,(SUMIF(Resource_Planning!$P$49:$P$356,$P621,Resource_Planning!AQ$49:AQ$356))/AQ416-1)</f>
        <v>0</v>
      </c>
      <c r="AR621" s="166" t="n">
        <f aca="false">IF(AR416=0,0,(SUMIF(Resource_Planning!$P$49:$P$356,$P621,Resource_Planning!AR$49:AR$356))/AR416-1)</f>
        <v>0</v>
      </c>
      <c r="AS621" s="166" t="n">
        <f aca="false">IF(AS416=0,0,(SUMIF(Resource_Planning!$P$49:$P$356,$P621,Resource_Planning!AS$49:AS$356))/AS416-1)</f>
        <v>0</v>
      </c>
      <c r="AT621" s="166" t="n">
        <f aca="false">IF(AT416=0,0,(SUMIF(Resource_Planning!$P$49:$P$356,$P621,Resource_Planning!AT$49:AT$356))/AT416-1)</f>
        <v>0</v>
      </c>
      <c r="AU621" s="166" t="n">
        <f aca="false">IF(AU416=0,0,(SUMIF(Resource_Planning!$P$49:$P$356,$P621,Resource_Planning!AU$49:AU$356))/AU416-1)</f>
        <v>0</v>
      </c>
      <c r="AV621" s="166" t="n">
        <f aca="false">IF(AV416=0,0,(SUMIF(Resource_Planning!$P$49:$P$356,$P621,Resource_Planning!AV$49:AV$356))/AV416-1)</f>
        <v>0</v>
      </c>
      <c r="AW621" s="166" t="n">
        <f aca="false">IF(AW416=0,0,(SUMIF(Resource_Planning!$P$49:$P$356,$P621,Resource_Planning!AW$49:AW$356))/AW416-1)</f>
        <v>0</v>
      </c>
      <c r="AX621" s="166" t="n">
        <f aca="false">IF(AX416=0,0,(SUMIF(Resource_Planning!$P$49:$P$356,$P621,Resource_Planning!AX$49:AX$356))/AX416-1)</f>
        <v>0</v>
      </c>
      <c r="AY621" s="166" t="n">
        <f aca="false">IF(AY416=0,0,(SUMIF(Resource_Planning!$P$49:$P$356,$P621,Resource_Planning!AY$49:AY$356))/AY416-1)</f>
        <v>0</v>
      </c>
      <c r="AZ621" s="166" t="n">
        <f aca="false">IF(AZ416=0,0,(SUMIF(Resource_Planning!$P$49:$P$356,$P621,Resource_Planning!AZ$49:AZ$356))/AZ416-1)</f>
        <v>0</v>
      </c>
      <c r="BA621" s="166" t="n">
        <f aca="false">IF(BA416=0,0,(SUMIF(Resource_Planning!$P$49:$P$356,$P621,Resource_Planning!BA$49:BA$356))/BA416-1)</f>
        <v>0</v>
      </c>
      <c r="BB621" s="166" t="n">
        <f aca="false">IF(BB416=0,0,(SUMIF(Resource_Planning!$P$49:$P$356,$P621,Resource_Planning!BB$49:BB$356))/BB416-1)</f>
        <v>0</v>
      </c>
    </row>
    <row r="622" s="173" customFormat="true" ht="15" hidden="true" customHeight="false" outlineLevel="1" collapsed="false">
      <c r="E622" s="40"/>
      <c r="K622" s="40"/>
      <c r="L622" s="40"/>
      <c r="M622" s="40"/>
      <c r="N622" s="40"/>
      <c r="P622" s="177" t="n">
        <f aca="false">P280</f>
        <v>0</v>
      </c>
      <c r="Q622" s="40"/>
      <c r="R622" s="178"/>
      <c r="S622" s="166" t="n">
        <f aca="false">IF(S417=0,0,(SUMIF(Resource_Planning!$P$49:$P$356,$P622,Resource_Planning!S$49:S$356))/S417-1)</f>
        <v>0</v>
      </c>
      <c r="T622" s="166" t="n">
        <f aca="false">IF(T417=0,0,(SUMIF(Resource_Planning!$P$49:$P$356,$P622,Resource_Planning!T$49:T$356))/T417-1)</f>
        <v>0</v>
      </c>
      <c r="U622" s="166" t="n">
        <f aca="false">IF(U417=0,0,(SUMIF(Resource_Planning!$P$49:$P$356,$P622,Resource_Planning!U$49:U$356))/U417-1)</f>
        <v>0</v>
      </c>
      <c r="V622" s="166" t="n">
        <f aca="false">IF(V417=0,0,(SUMIF(Resource_Planning!$P$49:$P$356,$P622,Resource_Planning!V$49:V$356))/V417-1)</f>
        <v>0</v>
      </c>
      <c r="W622" s="166" t="n">
        <f aca="false">IF(W417=0,0,(SUMIF(Resource_Planning!$P$49:$P$356,$P622,Resource_Planning!W$49:W$356))/W417-1)</f>
        <v>0</v>
      </c>
      <c r="X622" s="166" t="n">
        <f aca="false">IF(X417=0,0,(SUMIF(Resource_Planning!$P$49:$P$356,$P622,Resource_Planning!X$49:X$356))/X417-1)</f>
        <v>0</v>
      </c>
      <c r="Y622" s="166" t="n">
        <f aca="false">IF(Y417=0,0,(SUMIF(Resource_Planning!$P$49:$P$356,$P622,Resource_Planning!Y$49:Y$356))/Y417-1)</f>
        <v>0</v>
      </c>
      <c r="Z622" s="166" t="n">
        <f aca="false">IF(Z417=0,0,(SUMIF(Resource_Planning!$P$49:$P$356,$P622,Resource_Planning!Z$49:Z$356))/Z417-1)</f>
        <v>0</v>
      </c>
      <c r="AA622" s="166" t="n">
        <f aca="false">IF(AA417=0,0,(SUMIF(Resource_Planning!$P$49:$P$356,$P622,Resource_Planning!AA$49:AA$356))/AA417-1)</f>
        <v>0</v>
      </c>
      <c r="AB622" s="166" t="n">
        <f aca="false">IF(AB417=0,0,(SUMIF(Resource_Planning!$P$49:$P$356,$P622,Resource_Planning!AB$49:AB$356))/AB417-1)</f>
        <v>0</v>
      </c>
      <c r="AC622" s="166" t="n">
        <f aca="false">IF(AC417=0,0,(SUMIF(Resource_Planning!$P$49:$P$356,$P622,Resource_Planning!AC$49:AC$356))/AC417-1)</f>
        <v>0</v>
      </c>
      <c r="AD622" s="166" t="n">
        <f aca="false">IF(AD417=0,0,(SUMIF(Resource_Planning!$P$49:$P$356,$P622,Resource_Planning!AD$49:AD$356))/AD417-1)</f>
        <v>0</v>
      </c>
      <c r="AE622" s="166" t="n">
        <f aca="false">IF(AE417=0,0,(SUMIF(Resource_Planning!$P$49:$P$356,$P622,Resource_Planning!AE$49:AE$356))/AE417-1)</f>
        <v>0</v>
      </c>
      <c r="AF622" s="166" t="n">
        <f aca="false">IF(AF417=0,0,(SUMIF(Resource_Planning!$P$49:$P$356,$P622,Resource_Planning!AF$49:AF$356))/AF417-1)</f>
        <v>0</v>
      </c>
      <c r="AG622" s="166" t="n">
        <f aca="false">IF(AG417=0,0,(SUMIF(Resource_Planning!$P$49:$P$356,$P622,Resource_Planning!AG$49:AG$356))/AG417-1)</f>
        <v>0</v>
      </c>
      <c r="AH622" s="166" t="n">
        <f aca="false">IF(AH417=0,0,(SUMIF(Resource_Planning!$P$49:$P$356,$P622,Resource_Planning!AH$49:AH$356))/AH417-1)</f>
        <v>0</v>
      </c>
      <c r="AI622" s="166" t="n">
        <f aca="false">IF(AI417=0,0,(SUMIF(Resource_Planning!$P$49:$P$356,$P622,Resource_Planning!AI$49:AI$356))/AI417-1)</f>
        <v>0</v>
      </c>
      <c r="AJ622" s="166" t="n">
        <f aca="false">IF(AJ417=0,0,(SUMIF(Resource_Planning!$P$49:$P$356,$P622,Resource_Planning!AJ$49:AJ$356))/AJ417-1)</f>
        <v>0</v>
      </c>
      <c r="AK622" s="166" t="n">
        <f aca="false">IF(AK417=0,0,(SUMIF(Resource_Planning!$P$49:$P$356,$P622,Resource_Planning!AK$49:AK$356))/AK417-1)</f>
        <v>0</v>
      </c>
      <c r="AL622" s="166" t="n">
        <f aca="false">IF(AL417=0,0,(SUMIF(Resource_Planning!$P$49:$P$356,$P622,Resource_Planning!AL$49:AL$356))/AL417-1)</f>
        <v>0</v>
      </c>
      <c r="AM622" s="166" t="n">
        <f aca="false">IF(AM417=0,0,(SUMIF(Resource_Planning!$P$49:$P$356,$P622,Resource_Planning!AM$49:AM$356))/AM417-1)</f>
        <v>0</v>
      </c>
      <c r="AN622" s="166" t="n">
        <f aca="false">IF(AN417=0,0,(SUMIF(Resource_Planning!$P$49:$P$356,$P622,Resource_Planning!AN$49:AN$356))/AN417-1)</f>
        <v>0</v>
      </c>
      <c r="AO622" s="166" t="n">
        <f aca="false">IF(AO417=0,0,(SUMIF(Resource_Planning!$P$49:$P$356,$P622,Resource_Planning!AO$49:AO$356))/AO417-1)</f>
        <v>0</v>
      </c>
      <c r="AP622" s="166" t="n">
        <f aca="false">IF(AP417=0,0,(SUMIF(Resource_Planning!$P$49:$P$356,$P622,Resource_Planning!AP$49:AP$356))/AP417-1)</f>
        <v>0</v>
      </c>
      <c r="AQ622" s="166" t="n">
        <f aca="false">IF(AQ417=0,0,(SUMIF(Resource_Planning!$P$49:$P$356,$P622,Resource_Planning!AQ$49:AQ$356))/AQ417-1)</f>
        <v>0</v>
      </c>
      <c r="AR622" s="166" t="n">
        <f aca="false">IF(AR417=0,0,(SUMIF(Resource_Planning!$P$49:$P$356,$P622,Resource_Planning!AR$49:AR$356))/AR417-1)</f>
        <v>0</v>
      </c>
      <c r="AS622" s="166" t="n">
        <f aca="false">IF(AS417=0,0,(SUMIF(Resource_Planning!$P$49:$P$356,$P622,Resource_Planning!AS$49:AS$356))/AS417-1)</f>
        <v>0</v>
      </c>
      <c r="AT622" s="166" t="n">
        <f aca="false">IF(AT417=0,0,(SUMIF(Resource_Planning!$P$49:$P$356,$P622,Resource_Planning!AT$49:AT$356))/AT417-1)</f>
        <v>0</v>
      </c>
      <c r="AU622" s="166" t="n">
        <f aca="false">IF(AU417=0,0,(SUMIF(Resource_Planning!$P$49:$P$356,$P622,Resource_Planning!AU$49:AU$356))/AU417-1)</f>
        <v>0</v>
      </c>
      <c r="AV622" s="166" t="n">
        <f aca="false">IF(AV417=0,0,(SUMIF(Resource_Planning!$P$49:$P$356,$P622,Resource_Planning!AV$49:AV$356))/AV417-1)</f>
        <v>0</v>
      </c>
      <c r="AW622" s="166" t="n">
        <f aca="false">IF(AW417=0,0,(SUMIF(Resource_Planning!$P$49:$P$356,$P622,Resource_Planning!AW$49:AW$356))/AW417-1)</f>
        <v>0</v>
      </c>
      <c r="AX622" s="166" t="n">
        <f aca="false">IF(AX417=0,0,(SUMIF(Resource_Planning!$P$49:$P$356,$P622,Resource_Planning!AX$49:AX$356))/AX417-1)</f>
        <v>0</v>
      </c>
      <c r="AY622" s="166" t="n">
        <f aca="false">IF(AY417=0,0,(SUMIF(Resource_Planning!$P$49:$P$356,$P622,Resource_Planning!AY$49:AY$356))/AY417-1)</f>
        <v>0</v>
      </c>
      <c r="AZ622" s="166" t="n">
        <f aca="false">IF(AZ417=0,0,(SUMIF(Resource_Planning!$P$49:$P$356,$P622,Resource_Planning!AZ$49:AZ$356))/AZ417-1)</f>
        <v>0</v>
      </c>
      <c r="BA622" s="166" t="n">
        <f aca="false">IF(BA417=0,0,(SUMIF(Resource_Planning!$P$49:$P$356,$P622,Resource_Planning!BA$49:BA$356))/BA417-1)</f>
        <v>0</v>
      </c>
      <c r="BB622" s="166" t="n">
        <f aca="false">IF(BB417=0,0,(SUMIF(Resource_Planning!$P$49:$P$356,$P622,Resource_Planning!BB$49:BB$356))/BB417-1)</f>
        <v>0</v>
      </c>
    </row>
    <row r="623" s="173" customFormat="true" ht="15" hidden="true" customHeight="false" outlineLevel="1" collapsed="false">
      <c r="E623" s="40"/>
      <c r="K623" s="40"/>
      <c r="L623" s="40"/>
      <c r="M623" s="40"/>
      <c r="N623" s="40"/>
      <c r="P623" s="177" t="n">
        <f aca="false">P281</f>
        <v>0</v>
      </c>
      <c r="Q623" s="40"/>
      <c r="R623" s="178"/>
      <c r="S623" s="166" t="n">
        <f aca="false">IF(S418=0,0,(SUMIF(Resource_Planning!$P$49:$P$356,$P623,Resource_Planning!S$49:S$356))/S418-1)</f>
        <v>0</v>
      </c>
      <c r="T623" s="166" t="n">
        <f aca="false">IF(T418=0,0,(SUMIF(Resource_Planning!$P$49:$P$356,$P623,Resource_Planning!T$49:T$356))/T418-1)</f>
        <v>0</v>
      </c>
      <c r="U623" s="166" t="n">
        <f aca="false">IF(U418=0,0,(SUMIF(Resource_Planning!$P$49:$P$356,$P623,Resource_Planning!U$49:U$356))/U418-1)</f>
        <v>0</v>
      </c>
      <c r="V623" s="166" t="n">
        <f aca="false">IF(V418=0,0,(SUMIF(Resource_Planning!$P$49:$P$356,$P623,Resource_Planning!V$49:V$356))/V418-1)</f>
        <v>0</v>
      </c>
      <c r="W623" s="166" t="n">
        <f aca="false">IF(W418=0,0,(SUMIF(Resource_Planning!$P$49:$P$356,$P623,Resource_Planning!W$49:W$356))/W418-1)</f>
        <v>0</v>
      </c>
      <c r="X623" s="166" t="n">
        <f aca="false">IF(X418=0,0,(SUMIF(Resource_Planning!$P$49:$P$356,$P623,Resource_Planning!X$49:X$356))/X418-1)</f>
        <v>0</v>
      </c>
      <c r="Y623" s="166" t="n">
        <f aca="false">IF(Y418=0,0,(SUMIF(Resource_Planning!$P$49:$P$356,$P623,Resource_Planning!Y$49:Y$356))/Y418-1)</f>
        <v>0</v>
      </c>
      <c r="Z623" s="166" t="n">
        <f aca="false">IF(Z418=0,0,(SUMIF(Resource_Planning!$P$49:$P$356,$P623,Resource_Planning!Z$49:Z$356))/Z418-1)</f>
        <v>0</v>
      </c>
      <c r="AA623" s="166" t="n">
        <f aca="false">IF(AA418=0,0,(SUMIF(Resource_Planning!$P$49:$P$356,$P623,Resource_Planning!AA$49:AA$356))/AA418-1)</f>
        <v>0</v>
      </c>
      <c r="AB623" s="166" t="n">
        <f aca="false">IF(AB418=0,0,(SUMIF(Resource_Planning!$P$49:$P$356,$P623,Resource_Planning!AB$49:AB$356))/AB418-1)</f>
        <v>0</v>
      </c>
      <c r="AC623" s="166" t="n">
        <f aca="false">IF(AC418=0,0,(SUMIF(Resource_Planning!$P$49:$P$356,$P623,Resource_Planning!AC$49:AC$356))/AC418-1)</f>
        <v>0</v>
      </c>
      <c r="AD623" s="166" t="n">
        <f aca="false">IF(AD418=0,0,(SUMIF(Resource_Planning!$P$49:$P$356,$P623,Resource_Planning!AD$49:AD$356))/AD418-1)</f>
        <v>0</v>
      </c>
      <c r="AE623" s="166" t="n">
        <f aca="false">IF(AE418=0,0,(SUMIF(Resource_Planning!$P$49:$P$356,$P623,Resource_Planning!AE$49:AE$356))/AE418-1)</f>
        <v>0</v>
      </c>
      <c r="AF623" s="166" t="n">
        <f aca="false">IF(AF418=0,0,(SUMIF(Resource_Planning!$P$49:$P$356,$P623,Resource_Planning!AF$49:AF$356))/AF418-1)</f>
        <v>0</v>
      </c>
      <c r="AG623" s="166" t="n">
        <f aca="false">IF(AG418=0,0,(SUMIF(Resource_Planning!$P$49:$P$356,$P623,Resource_Planning!AG$49:AG$356))/AG418-1)</f>
        <v>0</v>
      </c>
      <c r="AH623" s="166" t="n">
        <f aca="false">IF(AH418=0,0,(SUMIF(Resource_Planning!$P$49:$P$356,$P623,Resource_Planning!AH$49:AH$356))/AH418-1)</f>
        <v>0</v>
      </c>
      <c r="AI623" s="166" t="n">
        <f aca="false">IF(AI418=0,0,(SUMIF(Resource_Planning!$P$49:$P$356,$P623,Resource_Planning!AI$49:AI$356))/AI418-1)</f>
        <v>0</v>
      </c>
      <c r="AJ623" s="166" t="n">
        <f aca="false">IF(AJ418=0,0,(SUMIF(Resource_Planning!$P$49:$P$356,$P623,Resource_Planning!AJ$49:AJ$356))/AJ418-1)</f>
        <v>0</v>
      </c>
      <c r="AK623" s="166" t="n">
        <f aca="false">IF(AK418=0,0,(SUMIF(Resource_Planning!$P$49:$P$356,$P623,Resource_Planning!AK$49:AK$356))/AK418-1)</f>
        <v>0</v>
      </c>
      <c r="AL623" s="166" t="n">
        <f aca="false">IF(AL418=0,0,(SUMIF(Resource_Planning!$P$49:$P$356,$P623,Resource_Planning!AL$49:AL$356))/AL418-1)</f>
        <v>0</v>
      </c>
      <c r="AM623" s="166" t="n">
        <f aca="false">IF(AM418=0,0,(SUMIF(Resource_Planning!$P$49:$P$356,$P623,Resource_Planning!AM$49:AM$356))/AM418-1)</f>
        <v>0</v>
      </c>
      <c r="AN623" s="166" t="n">
        <f aca="false">IF(AN418=0,0,(SUMIF(Resource_Planning!$P$49:$P$356,$P623,Resource_Planning!AN$49:AN$356))/AN418-1)</f>
        <v>0</v>
      </c>
      <c r="AO623" s="166" t="n">
        <f aca="false">IF(AO418=0,0,(SUMIF(Resource_Planning!$P$49:$P$356,$P623,Resource_Planning!AO$49:AO$356))/AO418-1)</f>
        <v>0</v>
      </c>
      <c r="AP623" s="166" t="n">
        <f aca="false">IF(AP418=0,0,(SUMIF(Resource_Planning!$P$49:$P$356,$P623,Resource_Planning!AP$49:AP$356))/AP418-1)</f>
        <v>0</v>
      </c>
      <c r="AQ623" s="166" t="n">
        <f aca="false">IF(AQ418=0,0,(SUMIF(Resource_Planning!$P$49:$P$356,$P623,Resource_Planning!AQ$49:AQ$356))/AQ418-1)</f>
        <v>0</v>
      </c>
      <c r="AR623" s="166" t="n">
        <f aca="false">IF(AR418=0,0,(SUMIF(Resource_Planning!$P$49:$P$356,$P623,Resource_Planning!AR$49:AR$356))/AR418-1)</f>
        <v>0</v>
      </c>
      <c r="AS623" s="166" t="n">
        <f aca="false">IF(AS418=0,0,(SUMIF(Resource_Planning!$P$49:$P$356,$P623,Resource_Planning!AS$49:AS$356))/AS418-1)</f>
        <v>0</v>
      </c>
      <c r="AT623" s="166" t="n">
        <f aca="false">IF(AT418=0,0,(SUMIF(Resource_Planning!$P$49:$P$356,$P623,Resource_Planning!AT$49:AT$356))/AT418-1)</f>
        <v>0</v>
      </c>
      <c r="AU623" s="166" t="n">
        <f aca="false">IF(AU418=0,0,(SUMIF(Resource_Planning!$P$49:$P$356,$P623,Resource_Planning!AU$49:AU$356))/AU418-1)</f>
        <v>0</v>
      </c>
      <c r="AV623" s="166" t="n">
        <f aca="false">IF(AV418=0,0,(SUMIF(Resource_Planning!$P$49:$P$356,$P623,Resource_Planning!AV$49:AV$356))/AV418-1)</f>
        <v>0</v>
      </c>
      <c r="AW623" s="166" t="n">
        <f aca="false">IF(AW418=0,0,(SUMIF(Resource_Planning!$P$49:$P$356,$P623,Resource_Planning!AW$49:AW$356))/AW418-1)</f>
        <v>0</v>
      </c>
      <c r="AX623" s="166" t="n">
        <f aca="false">IF(AX418=0,0,(SUMIF(Resource_Planning!$P$49:$P$356,$P623,Resource_Planning!AX$49:AX$356))/AX418-1)</f>
        <v>0</v>
      </c>
      <c r="AY623" s="166" t="n">
        <f aca="false">IF(AY418=0,0,(SUMIF(Resource_Planning!$P$49:$P$356,$P623,Resource_Planning!AY$49:AY$356))/AY418-1)</f>
        <v>0</v>
      </c>
      <c r="AZ623" s="166" t="n">
        <f aca="false">IF(AZ418=0,0,(SUMIF(Resource_Planning!$P$49:$P$356,$P623,Resource_Planning!AZ$49:AZ$356))/AZ418-1)</f>
        <v>0</v>
      </c>
      <c r="BA623" s="166" t="n">
        <f aca="false">IF(BA418=0,0,(SUMIF(Resource_Planning!$P$49:$P$356,$P623,Resource_Planning!BA$49:BA$356))/BA418-1)</f>
        <v>0</v>
      </c>
      <c r="BB623" s="166" t="n">
        <f aca="false">IF(BB418=0,0,(SUMIF(Resource_Planning!$P$49:$P$356,$P623,Resource_Planning!BB$49:BB$356))/BB418-1)</f>
        <v>0</v>
      </c>
    </row>
    <row r="624" s="173" customFormat="true" ht="15" hidden="true" customHeight="false" outlineLevel="1" collapsed="false">
      <c r="E624" s="40"/>
      <c r="K624" s="40"/>
      <c r="L624" s="40"/>
      <c r="M624" s="40"/>
      <c r="N624" s="40"/>
      <c r="P624" s="177" t="n">
        <f aca="false">P282</f>
        <v>0</v>
      </c>
      <c r="Q624" s="40"/>
      <c r="R624" s="178"/>
      <c r="S624" s="166" t="n">
        <f aca="false">IF(S419=0,0,(SUMIF(Resource_Planning!$P$49:$P$356,$P624,Resource_Planning!S$49:S$356))/S419-1)</f>
        <v>0</v>
      </c>
      <c r="T624" s="166" t="n">
        <f aca="false">IF(T419=0,0,(SUMIF(Resource_Planning!$P$49:$P$356,$P624,Resource_Planning!T$49:T$356))/T419-1)</f>
        <v>0</v>
      </c>
      <c r="U624" s="166" t="n">
        <f aca="false">IF(U419=0,0,(SUMIF(Resource_Planning!$P$49:$P$356,$P624,Resource_Planning!U$49:U$356))/U419-1)</f>
        <v>0</v>
      </c>
      <c r="V624" s="166" t="n">
        <f aca="false">IF(V419=0,0,(SUMIF(Resource_Planning!$P$49:$P$356,$P624,Resource_Planning!V$49:V$356))/V419-1)</f>
        <v>0</v>
      </c>
      <c r="W624" s="166" t="n">
        <f aca="false">IF(W419=0,0,(SUMIF(Resource_Planning!$P$49:$P$356,$P624,Resource_Planning!W$49:W$356))/W419-1)</f>
        <v>0</v>
      </c>
      <c r="X624" s="166" t="n">
        <f aca="false">IF(X419=0,0,(SUMIF(Resource_Planning!$P$49:$P$356,$P624,Resource_Planning!X$49:X$356))/X419-1)</f>
        <v>0</v>
      </c>
      <c r="Y624" s="166" t="n">
        <f aca="false">IF(Y419=0,0,(SUMIF(Resource_Planning!$P$49:$P$356,$P624,Resource_Planning!Y$49:Y$356))/Y419-1)</f>
        <v>0</v>
      </c>
      <c r="Z624" s="166" t="n">
        <f aca="false">IF(Z419=0,0,(SUMIF(Resource_Planning!$P$49:$P$356,$P624,Resource_Planning!Z$49:Z$356))/Z419-1)</f>
        <v>0</v>
      </c>
      <c r="AA624" s="166" t="n">
        <f aca="false">IF(AA419=0,0,(SUMIF(Resource_Planning!$P$49:$P$356,$P624,Resource_Planning!AA$49:AA$356))/AA419-1)</f>
        <v>0</v>
      </c>
      <c r="AB624" s="166" t="n">
        <f aca="false">IF(AB419=0,0,(SUMIF(Resource_Planning!$P$49:$P$356,$P624,Resource_Planning!AB$49:AB$356))/AB419-1)</f>
        <v>0</v>
      </c>
      <c r="AC624" s="166" t="n">
        <f aca="false">IF(AC419=0,0,(SUMIF(Resource_Planning!$P$49:$P$356,$P624,Resource_Planning!AC$49:AC$356))/AC419-1)</f>
        <v>0</v>
      </c>
      <c r="AD624" s="166" t="n">
        <f aca="false">IF(AD419=0,0,(SUMIF(Resource_Planning!$P$49:$P$356,$P624,Resource_Planning!AD$49:AD$356))/AD419-1)</f>
        <v>0</v>
      </c>
      <c r="AE624" s="166" t="n">
        <f aca="false">IF(AE419=0,0,(SUMIF(Resource_Planning!$P$49:$P$356,$P624,Resource_Planning!AE$49:AE$356))/AE419-1)</f>
        <v>0</v>
      </c>
      <c r="AF624" s="166" t="n">
        <f aca="false">IF(AF419=0,0,(SUMIF(Resource_Planning!$P$49:$P$356,$P624,Resource_Planning!AF$49:AF$356))/AF419-1)</f>
        <v>0</v>
      </c>
      <c r="AG624" s="166" t="n">
        <f aca="false">IF(AG419=0,0,(SUMIF(Resource_Planning!$P$49:$P$356,$P624,Resource_Planning!AG$49:AG$356))/AG419-1)</f>
        <v>0</v>
      </c>
      <c r="AH624" s="166" t="n">
        <f aca="false">IF(AH419=0,0,(SUMIF(Resource_Planning!$P$49:$P$356,$P624,Resource_Planning!AH$49:AH$356))/AH419-1)</f>
        <v>0</v>
      </c>
      <c r="AI624" s="166" t="n">
        <f aca="false">IF(AI419=0,0,(SUMIF(Resource_Planning!$P$49:$P$356,$P624,Resource_Planning!AI$49:AI$356))/AI419-1)</f>
        <v>0</v>
      </c>
      <c r="AJ624" s="166" t="n">
        <f aca="false">IF(AJ419=0,0,(SUMIF(Resource_Planning!$P$49:$P$356,$P624,Resource_Planning!AJ$49:AJ$356))/AJ419-1)</f>
        <v>0</v>
      </c>
      <c r="AK624" s="166" t="n">
        <f aca="false">IF(AK419=0,0,(SUMIF(Resource_Planning!$P$49:$P$356,$P624,Resource_Planning!AK$49:AK$356))/AK419-1)</f>
        <v>0</v>
      </c>
      <c r="AL624" s="166" t="n">
        <f aca="false">IF(AL419=0,0,(SUMIF(Resource_Planning!$P$49:$P$356,$P624,Resource_Planning!AL$49:AL$356))/AL419-1)</f>
        <v>0</v>
      </c>
      <c r="AM624" s="166" t="n">
        <f aca="false">IF(AM419=0,0,(SUMIF(Resource_Planning!$P$49:$P$356,$P624,Resource_Planning!AM$49:AM$356))/AM419-1)</f>
        <v>0</v>
      </c>
      <c r="AN624" s="166" t="n">
        <f aca="false">IF(AN419=0,0,(SUMIF(Resource_Planning!$P$49:$P$356,$P624,Resource_Planning!AN$49:AN$356))/AN419-1)</f>
        <v>0</v>
      </c>
      <c r="AO624" s="166" t="n">
        <f aca="false">IF(AO419=0,0,(SUMIF(Resource_Planning!$P$49:$P$356,$P624,Resource_Planning!AO$49:AO$356))/AO419-1)</f>
        <v>0</v>
      </c>
      <c r="AP624" s="166" t="n">
        <f aca="false">IF(AP419=0,0,(SUMIF(Resource_Planning!$P$49:$P$356,$P624,Resource_Planning!AP$49:AP$356))/AP419-1)</f>
        <v>0</v>
      </c>
      <c r="AQ624" s="166" t="n">
        <f aca="false">IF(AQ419=0,0,(SUMIF(Resource_Planning!$P$49:$P$356,$P624,Resource_Planning!AQ$49:AQ$356))/AQ419-1)</f>
        <v>0</v>
      </c>
      <c r="AR624" s="166" t="n">
        <f aca="false">IF(AR419=0,0,(SUMIF(Resource_Planning!$P$49:$P$356,$P624,Resource_Planning!AR$49:AR$356))/AR419-1)</f>
        <v>0</v>
      </c>
      <c r="AS624" s="166" t="n">
        <f aca="false">IF(AS419=0,0,(SUMIF(Resource_Planning!$P$49:$P$356,$P624,Resource_Planning!AS$49:AS$356))/AS419-1)</f>
        <v>0</v>
      </c>
      <c r="AT624" s="166" t="n">
        <f aca="false">IF(AT419=0,0,(SUMIF(Resource_Planning!$P$49:$P$356,$P624,Resource_Planning!AT$49:AT$356))/AT419-1)</f>
        <v>0</v>
      </c>
      <c r="AU624" s="166" t="n">
        <f aca="false">IF(AU419=0,0,(SUMIF(Resource_Planning!$P$49:$P$356,$P624,Resource_Planning!AU$49:AU$356))/AU419-1)</f>
        <v>0</v>
      </c>
      <c r="AV624" s="166" t="n">
        <f aca="false">IF(AV419=0,0,(SUMIF(Resource_Planning!$P$49:$P$356,$P624,Resource_Planning!AV$49:AV$356))/AV419-1)</f>
        <v>0</v>
      </c>
      <c r="AW624" s="166" t="n">
        <f aca="false">IF(AW419=0,0,(SUMIF(Resource_Planning!$P$49:$P$356,$P624,Resource_Planning!AW$49:AW$356))/AW419-1)</f>
        <v>0</v>
      </c>
      <c r="AX624" s="166" t="n">
        <f aca="false">IF(AX419=0,0,(SUMIF(Resource_Planning!$P$49:$P$356,$P624,Resource_Planning!AX$49:AX$356))/AX419-1)</f>
        <v>0</v>
      </c>
      <c r="AY624" s="166" t="n">
        <f aca="false">IF(AY419=0,0,(SUMIF(Resource_Planning!$P$49:$P$356,$P624,Resource_Planning!AY$49:AY$356))/AY419-1)</f>
        <v>0</v>
      </c>
      <c r="AZ624" s="166" t="n">
        <f aca="false">IF(AZ419=0,0,(SUMIF(Resource_Planning!$P$49:$P$356,$P624,Resource_Planning!AZ$49:AZ$356))/AZ419-1)</f>
        <v>0</v>
      </c>
      <c r="BA624" s="166" t="n">
        <f aca="false">IF(BA419=0,0,(SUMIF(Resource_Planning!$P$49:$P$356,$P624,Resource_Planning!BA$49:BA$356))/BA419-1)</f>
        <v>0</v>
      </c>
      <c r="BB624" s="166" t="n">
        <f aca="false">IF(BB419=0,0,(SUMIF(Resource_Planning!$P$49:$P$356,$P624,Resource_Planning!BB$49:BB$356))/BB419-1)</f>
        <v>0</v>
      </c>
    </row>
    <row r="625" s="173" customFormat="true" ht="15" hidden="true" customHeight="false" outlineLevel="1" collapsed="false">
      <c r="E625" s="40"/>
      <c r="K625" s="40"/>
      <c r="L625" s="40"/>
      <c r="M625" s="40"/>
      <c r="N625" s="40"/>
      <c r="P625" s="177" t="n">
        <f aca="false">P283</f>
        <v>0</v>
      </c>
      <c r="Q625" s="40"/>
      <c r="R625" s="178"/>
      <c r="S625" s="166" t="n">
        <f aca="false">IF(S420=0,0,(SUMIF(Resource_Planning!$P$49:$P$356,$P625,Resource_Planning!S$49:S$356))/S420-1)</f>
        <v>0</v>
      </c>
      <c r="T625" s="166" t="n">
        <f aca="false">IF(T420=0,0,(SUMIF(Resource_Planning!$P$49:$P$356,$P625,Resource_Planning!T$49:T$356))/T420-1)</f>
        <v>0</v>
      </c>
      <c r="U625" s="166" t="n">
        <f aca="false">IF(U420=0,0,(SUMIF(Resource_Planning!$P$49:$P$356,$P625,Resource_Planning!U$49:U$356))/U420-1)</f>
        <v>0</v>
      </c>
      <c r="V625" s="166" t="n">
        <f aca="false">IF(V420=0,0,(SUMIF(Resource_Planning!$P$49:$P$356,$P625,Resource_Planning!V$49:V$356))/V420-1)</f>
        <v>0</v>
      </c>
      <c r="W625" s="166" t="n">
        <f aca="false">IF(W420=0,0,(SUMIF(Resource_Planning!$P$49:$P$356,$P625,Resource_Planning!W$49:W$356))/W420-1)</f>
        <v>0</v>
      </c>
      <c r="X625" s="166" t="n">
        <f aca="false">IF(X420=0,0,(SUMIF(Resource_Planning!$P$49:$P$356,$P625,Resource_Planning!X$49:X$356))/X420-1)</f>
        <v>0</v>
      </c>
      <c r="Y625" s="166" t="n">
        <f aca="false">IF(Y420=0,0,(SUMIF(Resource_Planning!$P$49:$P$356,$P625,Resource_Planning!Y$49:Y$356))/Y420-1)</f>
        <v>0</v>
      </c>
      <c r="Z625" s="166" t="n">
        <f aca="false">IF(Z420=0,0,(SUMIF(Resource_Planning!$P$49:$P$356,$P625,Resource_Planning!Z$49:Z$356))/Z420-1)</f>
        <v>0</v>
      </c>
      <c r="AA625" s="166" t="n">
        <f aca="false">IF(AA420=0,0,(SUMIF(Resource_Planning!$P$49:$P$356,$P625,Resource_Planning!AA$49:AA$356))/AA420-1)</f>
        <v>0</v>
      </c>
      <c r="AB625" s="166" t="n">
        <f aca="false">IF(AB420=0,0,(SUMIF(Resource_Planning!$P$49:$P$356,$P625,Resource_Planning!AB$49:AB$356))/AB420-1)</f>
        <v>0</v>
      </c>
      <c r="AC625" s="166" t="n">
        <f aca="false">IF(AC420=0,0,(SUMIF(Resource_Planning!$P$49:$P$356,$P625,Resource_Planning!AC$49:AC$356))/AC420-1)</f>
        <v>0</v>
      </c>
      <c r="AD625" s="166" t="n">
        <f aca="false">IF(AD420=0,0,(SUMIF(Resource_Planning!$P$49:$P$356,$P625,Resource_Planning!AD$49:AD$356))/AD420-1)</f>
        <v>0</v>
      </c>
      <c r="AE625" s="166" t="n">
        <f aca="false">IF(AE420=0,0,(SUMIF(Resource_Planning!$P$49:$P$356,$P625,Resource_Planning!AE$49:AE$356))/AE420-1)</f>
        <v>0</v>
      </c>
      <c r="AF625" s="166" t="n">
        <f aca="false">IF(AF420=0,0,(SUMIF(Resource_Planning!$P$49:$P$356,$P625,Resource_Planning!AF$49:AF$356))/AF420-1)</f>
        <v>0</v>
      </c>
      <c r="AG625" s="166" t="n">
        <f aca="false">IF(AG420=0,0,(SUMIF(Resource_Planning!$P$49:$P$356,$P625,Resource_Planning!AG$49:AG$356))/AG420-1)</f>
        <v>0</v>
      </c>
      <c r="AH625" s="166" t="n">
        <f aca="false">IF(AH420=0,0,(SUMIF(Resource_Planning!$P$49:$P$356,$P625,Resource_Planning!AH$49:AH$356))/AH420-1)</f>
        <v>0</v>
      </c>
      <c r="AI625" s="166" t="n">
        <f aca="false">IF(AI420=0,0,(SUMIF(Resource_Planning!$P$49:$P$356,$P625,Resource_Planning!AI$49:AI$356))/AI420-1)</f>
        <v>0</v>
      </c>
      <c r="AJ625" s="166" t="n">
        <f aca="false">IF(AJ420=0,0,(SUMIF(Resource_Planning!$P$49:$P$356,$P625,Resource_Planning!AJ$49:AJ$356))/AJ420-1)</f>
        <v>0</v>
      </c>
      <c r="AK625" s="166" t="n">
        <f aca="false">IF(AK420=0,0,(SUMIF(Resource_Planning!$P$49:$P$356,$P625,Resource_Planning!AK$49:AK$356))/AK420-1)</f>
        <v>0</v>
      </c>
      <c r="AL625" s="166" t="n">
        <f aca="false">IF(AL420=0,0,(SUMIF(Resource_Planning!$P$49:$P$356,$P625,Resource_Planning!AL$49:AL$356))/AL420-1)</f>
        <v>0</v>
      </c>
      <c r="AM625" s="166" t="n">
        <f aca="false">IF(AM420=0,0,(SUMIF(Resource_Planning!$P$49:$P$356,$P625,Resource_Planning!AM$49:AM$356))/AM420-1)</f>
        <v>0</v>
      </c>
      <c r="AN625" s="166" t="n">
        <f aca="false">IF(AN420=0,0,(SUMIF(Resource_Planning!$P$49:$P$356,$P625,Resource_Planning!AN$49:AN$356))/AN420-1)</f>
        <v>0</v>
      </c>
      <c r="AO625" s="166" t="n">
        <f aca="false">IF(AO420=0,0,(SUMIF(Resource_Planning!$P$49:$P$356,$P625,Resource_Planning!AO$49:AO$356))/AO420-1)</f>
        <v>0</v>
      </c>
      <c r="AP625" s="166" t="n">
        <f aca="false">IF(AP420=0,0,(SUMIF(Resource_Planning!$P$49:$P$356,$P625,Resource_Planning!AP$49:AP$356))/AP420-1)</f>
        <v>0</v>
      </c>
      <c r="AQ625" s="166" t="n">
        <f aca="false">IF(AQ420=0,0,(SUMIF(Resource_Planning!$P$49:$P$356,$P625,Resource_Planning!AQ$49:AQ$356))/AQ420-1)</f>
        <v>0</v>
      </c>
      <c r="AR625" s="166" t="n">
        <f aca="false">IF(AR420=0,0,(SUMIF(Resource_Planning!$P$49:$P$356,$P625,Resource_Planning!AR$49:AR$356))/AR420-1)</f>
        <v>0</v>
      </c>
      <c r="AS625" s="166" t="n">
        <f aca="false">IF(AS420=0,0,(SUMIF(Resource_Planning!$P$49:$P$356,$P625,Resource_Planning!AS$49:AS$356))/AS420-1)</f>
        <v>0</v>
      </c>
      <c r="AT625" s="166" t="n">
        <f aca="false">IF(AT420=0,0,(SUMIF(Resource_Planning!$P$49:$P$356,$P625,Resource_Planning!AT$49:AT$356))/AT420-1)</f>
        <v>0</v>
      </c>
      <c r="AU625" s="166" t="n">
        <f aca="false">IF(AU420=0,0,(SUMIF(Resource_Planning!$P$49:$P$356,$P625,Resource_Planning!AU$49:AU$356))/AU420-1)</f>
        <v>0</v>
      </c>
      <c r="AV625" s="166" t="n">
        <f aca="false">IF(AV420=0,0,(SUMIF(Resource_Planning!$P$49:$P$356,$P625,Resource_Planning!AV$49:AV$356))/AV420-1)</f>
        <v>0</v>
      </c>
      <c r="AW625" s="166" t="n">
        <f aca="false">IF(AW420=0,0,(SUMIF(Resource_Planning!$P$49:$P$356,$P625,Resource_Planning!AW$49:AW$356))/AW420-1)</f>
        <v>0</v>
      </c>
      <c r="AX625" s="166" t="n">
        <f aca="false">IF(AX420=0,0,(SUMIF(Resource_Planning!$P$49:$P$356,$P625,Resource_Planning!AX$49:AX$356))/AX420-1)</f>
        <v>0</v>
      </c>
      <c r="AY625" s="166" t="n">
        <f aca="false">IF(AY420=0,0,(SUMIF(Resource_Planning!$P$49:$P$356,$P625,Resource_Planning!AY$49:AY$356))/AY420-1)</f>
        <v>0</v>
      </c>
      <c r="AZ625" s="166" t="n">
        <f aca="false">IF(AZ420=0,0,(SUMIF(Resource_Planning!$P$49:$P$356,$P625,Resource_Planning!AZ$49:AZ$356))/AZ420-1)</f>
        <v>0</v>
      </c>
      <c r="BA625" s="166" t="n">
        <f aca="false">IF(BA420=0,0,(SUMIF(Resource_Planning!$P$49:$P$356,$P625,Resource_Planning!BA$49:BA$356))/BA420-1)</f>
        <v>0</v>
      </c>
      <c r="BB625" s="166" t="n">
        <f aca="false">IF(BB420=0,0,(SUMIF(Resource_Planning!$P$49:$P$356,$P625,Resource_Planning!BB$49:BB$356))/BB420-1)</f>
        <v>0</v>
      </c>
    </row>
    <row r="626" s="173" customFormat="true" ht="15" hidden="true" customHeight="false" outlineLevel="1" collapsed="false">
      <c r="E626" s="40"/>
      <c r="K626" s="40"/>
      <c r="L626" s="40"/>
      <c r="M626" s="40"/>
      <c r="N626" s="40"/>
      <c r="P626" s="177" t="n">
        <f aca="false">P284</f>
        <v>0</v>
      </c>
      <c r="Q626" s="40"/>
      <c r="R626" s="178"/>
      <c r="S626" s="166" t="n">
        <f aca="false">IF(S421=0,0,(SUMIF(Resource_Planning!$P$49:$P$356,$P626,Resource_Planning!S$49:S$356))/S421-1)</f>
        <v>0</v>
      </c>
      <c r="T626" s="166" t="n">
        <f aca="false">IF(T421=0,0,(SUMIF(Resource_Planning!$P$49:$P$356,$P626,Resource_Planning!T$49:T$356))/T421-1)</f>
        <v>0</v>
      </c>
      <c r="U626" s="166" t="n">
        <f aca="false">IF(U421=0,0,(SUMIF(Resource_Planning!$P$49:$P$356,$P626,Resource_Planning!U$49:U$356))/U421-1)</f>
        <v>0</v>
      </c>
      <c r="V626" s="166" t="n">
        <f aca="false">IF(V421=0,0,(SUMIF(Resource_Planning!$P$49:$P$356,$P626,Resource_Planning!V$49:V$356))/V421-1)</f>
        <v>0</v>
      </c>
      <c r="W626" s="166" t="n">
        <f aca="false">IF(W421=0,0,(SUMIF(Resource_Planning!$P$49:$P$356,$P626,Resource_Planning!W$49:W$356))/W421-1)</f>
        <v>0</v>
      </c>
      <c r="X626" s="166" t="n">
        <f aca="false">IF(X421=0,0,(SUMIF(Resource_Planning!$P$49:$P$356,$P626,Resource_Planning!X$49:X$356))/X421-1)</f>
        <v>0</v>
      </c>
      <c r="Y626" s="166" t="n">
        <f aca="false">IF(Y421=0,0,(SUMIF(Resource_Planning!$P$49:$P$356,$P626,Resource_Planning!Y$49:Y$356))/Y421-1)</f>
        <v>0</v>
      </c>
      <c r="Z626" s="166" t="n">
        <f aca="false">IF(Z421=0,0,(SUMIF(Resource_Planning!$P$49:$P$356,$P626,Resource_Planning!Z$49:Z$356))/Z421-1)</f>
        <v>0</v>
      </c>
      <c r="AA626" s="166" t="n">
        <f aca="false">IF(AA421=0,0,(SUMIF(Resource_Planning!$P$49:$P$356,$P626,Resource_Planning!AA$49:AA$356))/AA421-1)</f>
        <v>0</v>
      </c>
      <c r="AB626" s="166" t="n">
        <f aca="false">IF(AB421=0,0,(SUMIF(Resource_Planning!$P$49:$P$356,$P626,Resource_Planning!AB$49:AB$356))/AB421-1)</f>
        <v>0</v>
      </c>
      <c r="AC626" s="166" t="n">
        <f aca="false">IF(AC421=0,0,(SUMIF(Resource_Planning!$P$49:$P$356,$P626,Resource_Planning!AC$49:AC$356))/AC421-1)</f>
        <v>0</v>
      </c>
      <c r="AD626" s="166" t="n">
        <f aca="false">IF(AD421=0,0,(SUMIF(Resource_Planning!$P$49:$P$356,$P626,Resource_Planning!AD$49:AD$356))/AD421-1)</f>
        <v>0</v>
      </c>
      <c r="AE626" s="166" t="n">
        <f aca="false">IF(AE421=0,0,(SUMIF(Resource_Planning!$P$49:$P$356,$P626,Resource_Planning!AE$49:AE$356))/AE421-1)</f>
        <v>0</v>
      </c>
      <c r="AF626" s="166" t="n">
        <f aca="false">IF(AF421=0,0,(SUMIF(Resource_Planning!$P$49:$P$356,$P626,Resource_Planning!AF$49:AF$356))/AF421-1)</f>
        <v>0</v>
      </c>
      <c r="AG626" s="166" t="n">
        <f aca="false">IF(AG421=0,0,(SUMIF(Resource_Planning!$P$49:$P$356,$P626,Resource_Planning!AG$49:AG$356))/AG421-1)</f>
        <v>0</v>
      </c>
      <c r="AH626" s="166" t="n">
        <f aca="false">IF(AH421=0,0,(SUMIF(Resource_Planning!$P$49:$P$356,$P626,Resource_Planning!AH$49:AH$356))/AH421-1)</f>
        <v>0</v>
      </c>
      <c r="AI626" s="166" t="n">
        <f aca="false">IF(AI421=0,0,(SUMIF(Resource_Planning!$P$49:$P$356,$P626,Resource_Planning!AI$49:AI$356))/AI421-1)</f>
        <v>0</v>
      </c>
      <c r="AJ626" s="166" t="n">
        <f aca="false">IF(AJ421=0,0,(SUMIF(Resource_Planning!$P$49:$P$356,$P626,Resource_Planning!AJ$49:AJ$356))/AJ421-1)</f>
        <v>0</v>
      </c>
      <c r="AK626" s="166" t="n">
        <f aca="false">IF(AK421=0,0,(SUMIF(Resource_Planning!$P$49:$P$356,$P626,Resource_Planning!AK$49:AK$356))/AK421-1)</f>
        <v>0</v>
      </c>
      <c r="AL626" s="166" t="n">
        <f aca="false">IF(AL421=0,0,(SUMIF(Resource_Planning!$P$49:$P$356,$P626,Resource_Planning!AL$49:AL$356))/AL421-1)</f>
        <v>0</v>
      </c>
      <c r="AM626" s="166" t="n">
        <f aca="false">IF(AM421=0,0,(SUMIF(Resource_Planning!$P$49:$P$356,$P626,Resource_Planning!AM$49:AM$356))/AM421-1)</f>
        <v>0</v>
      </c>
      <c r="AN626" s="166" t="n">
        <f aca="false">IF(AN421=0,0,(SUMIF(Resource_Planning!$P$49:$P$356,$P626,Resource_Planning!AN$49:AN$356))/AN421-1)</f>
        <v>0</v>
      </c>
      <c r="AO626" s="166" t="n">
        <f aca="false">IF(AO421=0,0,(SUMIF(Resource_Planning!$P$49:$P$356,$P626,Resource_Planning!AO$49:AO$356))/AO421-1)</f>
        <v>0</v>
      </c>
      <c r="AP626" s="166" t="n">
        <f aca="false">IF(AP421=0,0,(SUMIF(Resource_Planning!$P$49:$P$356,$P626,Resource_Planning!AP$49:AP$356))/AP421-1)</f>
        <v>0</v>
      </c>
      <c r="AQ626" s="166" t="n">
        <f aca="false">IF(AQ421=0,0,(SUMIF(Resource_Planning!$P$49:$P$356,$P626,Resource_Planning!AQ$49:AQ$356))/AQ421-1)</f>
        <v>0</v>
      </c>
      <c r="AR626" s="166" t="n">
        <f aca="false">IF(AR421=0,0,(SUMIF(Resource_Planning!$P$49:$P$356,$P626,Resource_Planning!AR$49:AR$356))/AR421-1)</f>
        <v>0</v>
      </c>
      <c r="AS626" s="166" t="n">
        <f aca="false">IF(AS421=0,0,(SUMIF(Resource_Planning!$P$49:$P$356,$P626,Resource_Planning!AS$49:AS$356))/AS421-1)</f>
        <v>0</v>
      </c>
      <c r="AT626" s="166" t="n">
        <f aca="false">IF(AT421=0,0,(SUMIF(Resource_Planning!$P$49:$P$356,$P626,Resource_Planning!AT$49:AT$356))/AT421-1)</f>
        <v>0</v>
      </c>
      <c r="AU626" s="166" t="n">
        <f aca="false">IF(AU421=0,0,(SUMIF(Resource_Planning!$P$49:$P$356,$P626,Resource_Planning!AU$49:AU$356))/AU421-1)</f>
        <v>0</v>
      </c>
      <c r="AV626" s="166" t="n">
        <f aca="false">IF(AV421=0,0,(SUMIF(Resource_Planning!$P$49:$P$356,$P626,Resource_Planning!AV$49:AV$356))/AV421-1)</f>
        <v>0</v>
      </c>
      <c r="AW626" s="166" t="n">
        <f aca="false">IF(AW421=0,0,(SUMIF(Resource_Planning!$P$49:$P$356,$P626,Resource_Planning!AW$49:AW$356))/AW421-1)</f>
        <v>0</v>
      </c>
      <c r="AX626" s="166" t="n">
        <f aca="false">IF(AX421=0,0,(SUMIF(Resource_Planning!$P$49:$P$356,$P626,Resource_Planning!AX$49:AX$356))/AX421-1)</f>
        <v>0</v>
      </c>
      <c r="AY626" s="166" t="n">
        <f aca="false">IF(AY421=0,0,(SUMIF(Resource_Planning!$P$49:$P$356,$P626,Resource_Planning!AY$49:AY$356))/AY421-1)</f>
        <v>0</v>
      </c>
      <c r="AZ626" s="166" t="n">
        <f aca="false">IF(AZ421=0,0,(SUMIF(Resource_Planning!$P$49:$P$356,$P626,Resource_Planning!AZ$49:AZ$356))/AZ421-1)</f>
        <v>0</v>
      </c>
      <c r="BA626" s="166" t="n">
        <f aca="false">IF(BA421=0,0,(SUMIF(Resource_Planning!$P$49:$P$356,$P626,Resource_Planning!BA$49:BA$356))/BA421-1)</f>
        <v>0</v>
      </c>
      <c r="BB626" s="166" t="n">
        <f aca="false">IF(BB421=0,0,(SUMIF(Resource_Planning!$P$49:$P$356,$P626,Resource_Planning!BB$49:BB$356))/BB421-1)</f>
        <v>0</v>
      </c>
    </row>
    <row r="627" s="173" customFormat="true" ht="15" hidden="true" customHeight="false" outlineLevel="1" collapsed="false">
      <c r="E627" s="40"/>
      <c r="K627" s="40"/>
      <c r="L627" s="40"/>
      <c r="M627" s="40"/>
      <c r="N627" s="40"/>
      <c r="P627" s="177" t="n">
        <f aca="false">P285</f>
        <v>0</v>
      </c>
      <c r="Q627" s="40"/>
      <c r="R627" s="178"/>
      <c r="S627" s="166" t="n">
        <f aca="false">IF(S422=0,0,(SUMIF(Resource_Planning!$P$49:$P$356,$P627,Resource_Planning!S$49:S$356))/S422-1)</f>
        <v>0</v>
      </c>
      <c r="T627" s="166" t="n">
        <f aca="false">IF(T422=0,0,(SUMIF(Resource_Planning!$P$49:$P$356,$P627,Resource_Planning!T$49:T$356))/T422-1)</f>
        <v>0</v>
      </c>
      <c r="U627" s="166" t="n">
        <f aca="false">IF(U422=0,0,(SUMIF(Resource_Planning!$P$49:$P$356,$P627,Resource_Planning!U$49:U$356))/U422-1)</f>
        <v>0</v>
      </c>
      <c r="V627" s="166" t="n">
        <f aca="false">IF(V422=0,0,(SUMIF(Resource_Planning!$P$49:$P$356,$P627,Resource_Planning!V$49:V$356))/V422-1)</f>
        <v>0</v>
      </c>
      <c r="W627" s="166" t="n">
        <f aca="false">IF(W422=0,0,(SUMIF(Resource_Planning!$P$49:$P$356,$P627,Resource_Planning!W$49:W$356))/W422-1)</f>
        <v>0</v>
      </c>
      <c r="X627" s="166" t="n">
        <f aca="false">IF(X422=0,0,(SUMIF(Resource_Planning!$P$49:$P$356,$P627,Resource_Planning!X$49:X$356))/X422-1)</f>
        <v>0</v>
      </c>
      <c r="Y627" s="166" t="n">
        <f aca="false">IF(Y422=0,0,(SUMIF(Resource_Planning!$P$49:$P$356,$P627,Resource_Planning!Y$49:Y$356))/Y422-1)</f>
        <v>0</v>
      </c>
      <c r="Z627" s="166" t="n">
        <f aca="false">IF(Z422=0,0,(SUMIF(Resource_Planning!$P$49:$P$356,$P627,Resource_Planning!Z$49:Z$356))/Z422-1)</f>
        <v>0</v>
      </c>
      <c r="AA627" s="166" t="n">
        <f aca="false">IF(AA422=0,0,(SUMIF(Resource_Planning!$P$49:$P$356,$P627,Resource_Planning!AA$49:AA$356))/AA422-1)</f>
        <v>0</v>
      </c>
      <c r="AB627" s="166" t="n">
        <f aca="false">IF(AB422=0,0,(SUMIF(Resource_Planning!$P$49:$P$356,$P627,Resource_Planning!AB$49:AB$356))/AB422-1)</f>
        <v>0</v>
      </c>
      <c r="AC627" s="166" t="n">
        <f aca="false">IF(AC422=0,0,(SUMIF(Resource_Planning!$P$49:$P$356,$P627,Resource_Planning!AC$49:AC$356))/AC422-1)</f>
        <v>0</v>
      </c>
      <c r="AD627" s="166" t="n">
        <f aca="false">IF(AD422=0,0,(SUMIF(Resource_Planning!$P$49:$P$356,$P627,Resource_Planning!AD$49:AD$356))/AD422-1)</f>
        <v>0</v>
      </c>
      <c r="AE627" s="166" t="n">
        <f aca="false">IF(AE422=0,0,(SUMIF(Resource_Planning!$P$49:$P$356,$P627,Resource_Planning!AE$49:AE$356))/AE422-1)</f>
        <v>0</v>
      </c>
      <c r="AF627" s="166" t="n">
        <f aca="false">IF(AF422=0,0,(SUMIF(Resource_Planning!$P$49:$P$356,$P627,Resource_Planning!AF$49:AF$356))/AF422-1)</f>
        <v>0</v>
      </c>
      <c r="AG627" s="166" t="n">
        <f aca="false">IF(AG422=0,0,(SUMIF(Resource_Planning!$P$49:$P$356,$P627,Resource_Planning!AG$49:AG$356))/AG422-1)</f>
        <v>0</v>
      </c>
      <c r="AH627" s="166" t="n">
        <f aca="false">IF(AH422=0,0,(SUMIF(Resource_Planning!$P$49:$P$356,$P627,Resource_Planning!AH$49:AH$356))/AH422-1)</f>
        <v>0</v>
      </c>
      <c r="AI627" s="166" t="n">
        <f aca="false">IF(AI422=0,0,(SUMIF(Resource_Planning!$P$49:$P$356,$P627,Resource_Planning!AI$49:AI$356))/AI422-1)</f>
        <v>0</v>
      </c>
      <c r="AJ627" s="166" t="n">
        <f aca="false">IF(AJ422=0,0,(SUMIF(Resource_Planning!$P$49:$P$356,$P627,Resource_Planning!AJ$49:AJ$356))/AJ422-1)</f>
        <v>0</v>
      </c>
      <c r="AK627" s="166" t="n">
        <f aca="false">IF(AK422=0,0,(SUMIF(Resource_Planning!$P$49:$P$356,$P627,Resource_Planning!AK$49:AK$356))/AK422-1)</f>
        <v>0</v>
      </c>
      <c r="AL627" s="166" t="n">
        <f aca="false">IF(AL422=0,0,(SUMIF(Resource_Planning!$P$49:$P$356,$P627,Resource_Planning!AL$49:AL$356))/AL422-1)</f>
        <v>0</v>
      </c>
      <c r="AM627" s="166" t="n">
        <f aca="false">IF(AM422=0,0,(SUMIF(Resource_Planning!$P$49:$P$356,$P627,Resource_Planning!AM$49:AM$356))/AM422-1)</f>
        <v>0</v>
      </c>
      <c r="AN627" s="166" t="n">
        <f aca="false">IF(AN422=0,0,(SUMIF(Resource_Planning!$P$49:$P$356,$P627,Resource_Planning!AN$49:AN$356))/AN422-1)</f>
        <v>0</v>
      </c>
      <c r="AO627" s="166" t="n">
        <f aca="false">IF(AO422=0,0,(SUMIF(Resource_Planning!$P$49:$P$356,$P627,Resource_Planning!AO$49:AO$356))/AO422-1)</f>
        <v>0</v>
      </c>
      <c r="AP627" s="166" t="n">
        <f aca="false">IF(AP422=0,0,(SUMIF(Resource_Planning!$P$49:$P$356,$P627,Resource_Planning!AP$49:AP$356))/AP422-1)</f>
        <v>0</v>
      </c>
      <c r="AQ627" s="166" t="n">
        <f aca="false">IF(AQ422=0,0,(SUMIF(Resource_Planning!$P$49:$P$356,$P627,Resource_Planning!AQ$49:AQ$356))/AQ422-1)</f>
        <v>0</v>
      </c>
      <c r="AR627" s="166" t="n">
        <f aca="false">IF(AR422=0,0,(SUMIF(Resource_Planning!$P$49:$P$356,$P627,Resource_Planning!AR$49:AR$356))/AR422-1)</f>
        <v>0</v>
      </c>
      <c r="AS627" s="166" t="n">
        <f aca="false">IF(AS422=0,0,(SUMIF(Resource_Planning!$P$49:$P$356,$P627,Resource_Planning!AS$49:AS$356))/AS422-1)</f>
        <v>0</v>
      </c>
      <c r="AT627" s="166" t="n">
        <f aca="false">IF(AT422=0,0,(SUMIF(Resource_Planning!$P$49:$P$356,$P627,Resource_Planning!AT$49:AT$356))/AT422-1)</f>
        <v>0</v>
      </c>
      <c r="AU627" s="166" t="n">
        <f aca="false">IF(AU422=0,0,(SUMIF(Resource_Planning!$P$49:$P$356,$P627,Resource_Planning!AU$49:AU$356))/AU422-1)</f>
        <v>0</v>
      </c>
      <c r="AV627" s="166" t="n">
        <f aca="false">IF(AV422=0,0,(SUMIF(Resource_Planning!$P$49:$P$356,$P627,Resource_Planning!AV$49:AV$356))/AV422-1)</f>
        <v>0</v>
      </c>
      <c r="AW627" s="166" t="n">
        <f aca="false">IF(AW422=0,0,(SUMIF(Resource_Planning!$P$49:$P$356,$P627,Resource_Planning!AW$49:AW$356))/AW422-1)</f>
        <v>0</v>
      </c>
      <c r="AX627" s="166" t="n">
        <f aca="false">IF(AX422=0,0,(SUMIF(Resource_Planning!$P$49:$P$356,$P627,Resource_Planning!AX$49:AX$356))/AX422-1)</f>
        <v>0</v>
      </c>
      <c r="AY627" s="166" t="n">
        <f aca="false">IF(AY422=0,0,(SUMIF(Resource_Planning!$P$49:$P$356,$P627,Resource_Planning!AY$49:AY$356))/AY422-1)</f>
        <v>0</v>
      </c>
      <c r="AZ627" s="166" t="n">
        <f aca="false">IF(AZ422=0,0,(SUMIF(Resource_Planning!$P$49:$P$356,$P627,Resource_Planning!AZ$49:AZ$356))/AZ422-1)</f>
        <v>0</v>
      </c>
      <c r="BA627" s="166" t="n">
        <f aca="false">IF(BA422=0,0,(SUMIF(Resource_Planning!$P$49:$P$356,$P627,Resource_Planning!BA$49:BA$356))/BA422-1)</f>
        <v>0</v>
      </c>
      <c r="BB627" s="166" t="n">
        <f aca="false">IF(BB422=0,0,(SUMIF(Resource_Planning!$P$49:$P$356,$P627,Resource_Planning!BB$49:BB$356))/BB422-1)</f>
        <v>0</v>
      </c>
    </row>
    <row r="628" s="173" customFormat="true" ht="15" hidden="true" customHeight="false" outlineLevel="1" collapsed="false">
      <c r="E628" s="40"/>
      <c r="K628" s="40"/>
      <c r="L628" s="40"/>
      <c r="M628" s="40"/>
      <c r="N628" s="40"/>
      <c r="P628" s="177" t="n">
        <f aca="false">P286</f>
        <v>0</v>
      </c>
      <c r="Q628" s="40"/>
      <c r="R628" s="178"/>
      <c r="S628" s="166" t="n">
        <f aca="false">IF(S423=0,0,(SUMIF(Resource_Planning!$P$49:$P$356,$P628,Resource_Planning!S$49:S$356))/S423-1)</f>
        <v>0</v>
      </c>
      <c r="T628" s="166" t="n">
        <f aca="false">IF(T423=0,0,(SUMIF(Resource_Planning!$P$49:$P$356,$P628,Resource_Planning!T$49:T$356))/T423-1)</f>
        <v>0</v>
      </c>
      <c r="U628" s="166" t="n">
        <f aca="false">IF(U423=0,0,(SUMIF(Resource_Planning!$P$49:$P$356,$P628,Resource_Planning!U$49:U$356))/U423-1)</f>
        <v>0</v>
      </c>
      <c r="V628" s="166" t="n">
        <f aca="false">IF(V423=0,0,(SUMIF(Resource_Planning!$P$49:$P$356,$P628,Resource_Planning!V$49:V$356))/V423-1)</f>
        <v>0</v>
      </c>
      <c r="W628" s="166" t="n">
        <f aca="false">IF(W423=0,0,(SUMIF(Resource_Planning!$P$49:$P$356,$P628,Resource_Planning!W$49:W$356))/W423-1)</f>
        <v>0</v>
      </c>
      <c r="X628" s="166" t="n">
        <f aca="false">IF(X423=0,0,(SUMIF(Resource_Planning!$P$49:$P$356,$P628,Resource_Planning!X$49:X$356))/X423-1)</f>
        <v>0</v>
      </c>
      <c r="Y628" s="166" t="n">
        <f aca="false">IF(Y423=0,0,(SUMIF(Resource_Planning!$P$49:$P$356,$P628,Resource_Planning!Y$49:Y$356))/Y423-1)</f>
        <v>0</v>
      </c>
      <c r="Z628" s="166" t="n">
        <f aca="false">IF(Z423=0,0,(SUMIF(Resource_Planning!$P$49:$P$356,$P628,Resource_Planning!Z$49:Z$356))/Z423-1)</f>
        <v>0</v>
      </c>
      <c r="AA628" s="166" t="n">
        <f aca="false">IF(AA423=0,0,(SUMIF(Resource_Planning!$P$49:$P$356,$P628,Resource_Planning!AA$49:AA$356))/AA423-1)</f>
        <v>0</v>
      </c>
      <c r="AB628" s="166" t="n">
        <f aca="false">IF(AB423=0,0,(SUMIF(Resource_Planning!$P$49:$P$356,$P628,Resource_Planning!AB$49:AB$356))/AB423-1)</f>
        <v>0</v>
      </c>
      <c r="AC628" s="166" t="n">
        <f aca="false">IF(AC423=0,0,(SUMIF(Resource_Planning!$P$49:$P$356,$P628,Resource_Planning!AC$49:AC$356))/AC423-1)</f>
        <v>0</v>
      </c>
      <c r="AD628" s="166" t="n">
        <f aca="false">IF(AD423=0,0,(SUMIF(Resource_Planning!$P$49:$P$356,$P628,Resource_Planning!AD$49:AD$356))/AD423-1)</f>
        <v>0</v>
      </c>
      <c r="AE628" s="166" t="n">
        <f aca="false">IF(AE423=0,0,(SUMIF(Resource_Planning!$P$49:$P$356,$P628,Resource_Planning!AE$49:AE$356))/AE423-1)</f>
        <v>0</v>
      </c>
      <c r="AF628" s="166" t="n">
        <f aca="false">IF(AF423=0,0,(SUMIF(Resource_Planning!$P$49:$P$356,$P628,Resource_Planning!AF$49:AF$356))/AF423-1)</f>
        <v>0</v>
      </c>
      <c r="AG628" s="166" t="n">
        <f aca="false">IF(AG423=0,0,(SUMIF(Resource_Planning!$P$49:$P$356,$P628,Resource_Planning!AG$49:AG$356))/AG423-1)</f>
        <v>0</v>
      </c>
      <c r="AH628" s="166" t="n">
        <f aca="false">IF(AH423=0,0,(SUMIF(Resource_Planning!$P$49:$P$356,$P628,Resource_Planning!AH$49:AH$356))/AH423-1)</f>
        <v>0</v>
      </c>
      <c r="AI628" s="166" t="n">
        <f aca="false">IF(AI423=0,0,(SUMIF(Resource_Planning!$P$49:$P$356,$P628,Resource_Planning!AI$49:AI$356))/AI423-1)</f>
        <v>0</v>
      </c>
      <c r="AJ628" s="166" t="n">
        <f aca="false">IF(AJ423=0,0,(SUMIF(Resource_Planning!$P$49:$P$356,$P628,Resource_Planning!AJ$49:AJ$356))/AJ423-1)</f>
        <v>0</v>
      </c>
      <c r="AK628" s="166" t="n">
        <f aca="false">IF(AK423=0,0,(SUMIF(Resource_Planning!$P$49:$P$356,$P628,Resource_Planning!AK$49:AK$356))/AK423-1)</f>
        <v>0</v>
      </c>
      <c r="AL628" s="166" t="n">
        <f aca="false">IF(AL423=0,0,(SUMIF(Resource_Planning!$P$49:$P$356,$P628,Resource_Planning!AL$49:AL$356))/AL423-1)</f>
        <v>0</v>
      </c>
      <c r="AM628" s="166" t="n">
        <f aca="false">IF(AM423=0,0,(SUMIF(Resource_Planning!$P$49:$P$356,$P628,Resource_Planning!AM$49:AM$356))/AM423-1)</f>
        <v>0</v>
      </c>
      <c r="AN628" s="166" t="n">
        <f aca="false">IF(AN423=0,0,(SUMIF(Resource_Planning!$P$49:$P$356,$P628,Resource_Planning!AN$49:AN$356))/AN423-1)</f>
        <v>0</v>
      </c>
      <c r="AO628" s="166" t="n">
        <f aca="false">IF(AO423=0,0,(SUMIF(Resource_Planning!$P$49:$P$356,$P628,Resource_Planning!AO$49:AO$356))/AO423-1)</f>
        <v>0</v>
      </c>
      <c r="AP628" s="166" t="n">
        <f aca="false">IF(AP423=0,0,(SUMIF(Resource_Planning!$P$49:$P$356,$P628,Resource_Planning!AP$49:AP$356))/AP423-1)</f>
        <v>0</v>
      </c>
      <c r="AQ628" s="166" t="n">
        <f aca="false">IF(AQ423=0,0,(SUMIF(Resource_Planning!$P$49:$P$356,$P628,Resource_Planning!AQ$49:AQ$356))/AQ423-1)</f>
        <v>0</v>
      </c>
      <c r="AR628" s="166" t="n">
        <f aca="false">IF(AR423=0,0,(SUMIF(Resource_Planning!$P$49:$P$356,$P628,Resource_Planning!AR$49:AR$356))/AR423-1)</f>
        <v>0</v>
      </c>
      <c r="AS628" s="166" t="n">
        <f aca="false">IF(AS423=0,0,(SUMIF(Resource_Planning!$P$49:$P$356,$P628,Resource_Planning!AS$49:AS$356))/AS423-1)</f>
        <v>0</v>
      </c>
      <c r="AT628" s="166" t="n">
        <f aca="false">IF(AT423=0,0,(SUMIF(Resource_Planning!$P$49:$P$356,$P628,Resource_Planning!AT$49:AT$356))/AT423-1)</f>
        <v>0</v>
      </c>
      <c r="AU628" s="166" t="n">
        <f aca="false">IF(AU423=0,0,(SUMIF(Resource_Planning!$P$49:$P$356,$P628,Resource_Planning!AU$49:AU$356))/AU423-1)</f>
        <v>0</v>
      </c>
      <c r="AV628" s="166" t="n">
        <f aca="false">IF(AV423=0,0,(SUMIF(Resource_Planning!$P$49:$P$356,$P628,Resource_Planning!AV$49:AV$356))/AV423-1)</f>
        <v>0</v>
      </c>
      <c r="AW628" s="166" t="n">
        <f aca="false">IF(AW423=0,0,(SUMIF(Resource_Planning!$P$49:$P$356,$P628,Resource_Planning!AW$49:AW$356))/AW423-1)</f>
        <v>0</v>
      </c>
      <c r="AX628" s="166" t="n">
        <f aca="false">IF(AX423=0,0,(SUMIF(Resource_Planning!$P$49:$P$356,$P628,Resource_Planning!AX$49:AX$356))/AX423-1)</f>
        <v>0</v>
      </c>
      <c r="AY628" s="166" t="n">
        <f aca="false">IF(AY423=0,0,(SUMIF(Resource_Planning!$P$49:$P$356,$P628,Resource_Planning!AY$49:AY$356))/AY423-1)</f>
        <v>0</v>
      </c>
      <c r="AZ628" s="166" t="n">
        <f aca="false">IF(AZ423=0,0,(SUMIF(Resource_Planning!$P$49:$P$356,$P628,Resource_Planning!AZ$49:AZ$356))/AZ423-1)</f>
        <v>0</v>
      </c>
      <c r="BA628" s="166" t="n">
        <f aca="false">IF(BA423=0,0,(SUMIF(Resource_Planning!$P$49:$P$356,$P628,Resource_Planning!BA$49:BA$356))/BA423-1)</f>
        <v>0</v>
      </c>
      <c r="BB628" s="166" t="n">
        <f aca="false">IF(BB423=0,0,(SUMIF(Resource_Planning!$P$49:$P$356,$P628,Resource_Planning!BB$49:BB$356))/BB423-1)</f>
        <v>0</v>
      </c>
    </row>
    <row r="629" s="173" customFormat="true" ht="15" hidden="true" customHeight="false" outlineLevel="1" collapsed="false">
      <c r="E629" s="40"/>
      <c r="K629" s="40"/>
      <c r="L629" s="40"/>
      <c r="M629" s="40"/>
      <c r="N629" s="40"/>
      <c r="P629" s="177" t="n">
        <f aca="false">P287</f>
        <v>0</v>
      </c>
      <c r="Q629" s="40"/>
      <c r="R629" s="178"/>
      <c r="S629" s="166" t="n">
        <f aca="false">IF(S424=0,0,(SUMIF(Resource_Planning!$P$49:$P$356,$P629,Resource_Planning!S$49:S$356))/S424-1)</f>
        <v>0</v>
      </c>
      <c r="T629" s="166" t="n">
        <f aca="false">IF(T424=0,0,(SUMIF(Resource_Planning!$P$49:$P$356,$P629,Resource_Planning!T$49:T$356))/T424-1)</f>
        <v>0</v>
      </c>
      <c r="U629" s="166" t="n">
        <f aca="false">IF(U424=0,0,(SUMIF(Resource_Planning!$P$49:$P$356,$P629,Resource_Planning!U$49:U$356))/U424-1)</f>
        <v>0</v>
      </c>
      <c r="V629" s="166" t="n">
        <f aca="false">IF(V424=0,0,(SUMIF(Resource_Planning!$P$49:$P$356,$P629,Resource_Planning!V$49:V$356))/V424-1)</f>
        <v>0</v>
      </c>
      <c r="W629" s="166" t="n">
        <f aca="false">IF(W424=0,0,(SUMIF(Resource_Planning!$P$49:$P$356,$P629,Resource_Planning!W$49:W$356))/W424-1)</f>
        <v>0</v>
      </c>
      <c r="X629" s="166" t="n">
        <f aca="false">IF(X424=0,0,(SUMIF(Resource_Planning!$P$49:$P$356,$P629,Resource_Planning!X$49:X$356))/X424-1)</f>
        <v>0</v>
      </c>
      <c r="Y629" s="166" t="n">
        <f aca="false">IF(Y424=0,0,(SUMIF(Resource_Planning!$P$49:$P$356,$P629,Resource_Planning!Y$49:Y$356))/Y424-1)</f>
        <v>0</v>
      </c>
      <c r="Z629" s="166" t="n">
        <f aca="false">IF(Z424=0,0,(SUMIF(Resource_Planning!$P$49:$P$356,$P629,Resource_Planning!Z$49:Z$356))/Z424-1)</f>
        <v>0</v>
      </c>
      <c r="AA629" s="166" t="n">
        <f aca="false">IF(AA424=0,0,(SUMIF(Resource_Planning!$P$49:$P$356,$P629,Resource_Planning!AA$49:AA$356))/AA424-1)</f>
        <v>0</v>
      </c>
      <c r="AB629" s="166" t="n">
        <f aca="false">IF(AB424=0,0,(SUMIF(Resource_Planning!$P$49:$P$356,$P629,Resource_Planning!AB$49:AB$356))/AB424-1)</f>
        <v>0</v>
      </c>
      <c r="AC629" s="166" t="n">
        <f aca="false">IF(AC424=0,0,(SUMIF(Resource_Planning!$P$49:$P$356,$P629,Resource_Planning!AC$49:AC$356))/AC424-1)</f>
        <v>0</v>
      </c>
      <c r="AD629" s="166" t="n">
        <f aca="false">IF(AD424=0,0,(SUMIF(Resource_Planning!$P$49:$P$356,$P629,Resource_Planning!AD$49:AD$356))/AD424-1)</f>
        <v>0</v>
      </c>
      <c r="AE629" s="166" t="n">
        <f aca="false">IF(AE424=0,0,(SUMIF(Resource_Planning!$P$49:$P$356,$P629,Resource_Planning!AE$49:AE$356))/AE424-1)</f>
        <v>0</v>
      </c>
      <c r="AF629" s="166" t="n">
        <f aca="false">IF(AF424=0,0,(SUMIF(Resource_Planning!$P$49:$P$356,$P629,Resource_Planning!AF$49:AF$356))/AF424-1)</f>
        <v>0</v>
      </c>
      <c r="AG629" s="166" t="n">
        <f aca="false">IF(AG424=0,0,(SUMIF(Resource_Planning!$P$49:$P$356,$P629,Resource_Planning!AG$49:AG$356))/AG424-1)</f>
        <v>0</v>
      </c>
      <c r="AH629" s="166" t="n">
        <f aca="false">IF(AH424=0,0,(SUMIF(Resource_Planning!$P$49:$P$356,$P629,Resource_Planning!AH$49:AH$356))/AH424-1)</f>
        <v>0</v>
      </c>
      <c r="AI629" s="166" t="n">
        <f aca="false">IF(AI424=0,0,(SUMIF(Resource_Planning!$P$49:$P$356,$P629,Resource_Planning!AI$49:AI$356))/AI424-1)</f>
        <v>0</v>
      </c>
      <c r="AJ629" s="166" t="n">
        <f aca="false">IF(AJ424=0,0,(SUMIF(Resource_Planning!$P$49:$P$356,$P629,Resource_Planning!AJ$49:AJ$356))/AJ424-1)</f>
        <v>0</v>
      </c>
      <c r="AK629" s="166" t="n">
        <f aca="false">IF(AK424=0,0,(SUMIF(Resource_Planning!$P$49:$P$356,$P629,Resource_Planning!AK$49:AK$356))/AK424-1)</f>
        <v>0</v>
      </c>
      <c r="AL629" s="166" t="n">
        <f aca="false">IF(AL424=0,0,(SUMIF(Resource_Planning!$P$49:$P$356,$P629,Resource_Planning!AL$49:AL$356))/AL424-1)</f>
        <v>0</v>
      </c>
      <c r="AM629" s="166" t="n">
        <f aca="false">IF(AM424=0,0,(SUMIF(Resource_Planning!$P$49:$P$356,$P629,Resource_Planning!AM$49:AM$356))/AM424-1)</f>
        <v>0</v>
      </c>
      <c r="AN629" s="166" t="n">
        <f aca="false">IF(AN424=0,0,(SUMIF(Resource_Planning!$P$49:$P$356,$P629,Resource_Planning!AN$49:AN$356))/AN424-1)</f>
        <v>0</v>
      </c>
      <c r="AO629" s="166" t="n">
        <f aca="false">IF(AO424=0,0,(SUMIF(Resource_Planning!$P$49:$P$356,$P629,Resource_Planning!AO$49:AO$356))/AO424-1)</f>
        <v>0</v>
      </c>
      <c r="AP629" s="166" t="n">
        <f aca="false">IF(AP424=0,0,(SUMIF(Resource_Planning!$P$49:$P$356,$P629,Resource_Planning!AP$49:AP$356))/AP424-1)</f>
        <v>0</v>
      </c>
      <c r="AQ629" s="166" t="n">
        <f aca="false">IF(AQ424=0,0,(SUMIF(Resource_Planning!$P$49:$P$356,$P629,Resource_Planning!AQ$49:AQ$356))/AQ424-1)</f>
        <v>0</v>
      </c>
      <c r="AR629" s="166" t="n">
        <f aca="false">IF(AR424=0,0,(SUMIF(Resource_Planning!$P$49:$P$356,$P629,Resource_Planning!AR$49:AR$356))/AR424-1)</f>
        <v>0</v>
      </c>
      <c r="AS629" s="166" t="n">
        <f aca="false">IF(AS424=0,0,(SUMIF(Resource_Planning!$P$49:$P$356,$P629,Resource_Planning!AS$49:AS$356))/AS424-1)</f>
        <v>0</v>
      </c>
      <c r="AT629" s="166" t="n">
        <f aca="false">IF(AT424=0,0,(SUMIF(Resource_Planning!$P$49:$P$356,$P629,Resource_Planning!AT$49:AT$356))/AT424-1)</f>
        <v>0</v>
      </c>
      <c r="AU629" s="166" t="n">
        <f aca="false">IF(AU424=0,0,(SUMIF(Resource_Planning!$P$49:$P$356,$P629,Resource_Planning!AU$49:AU$356))/AU424-1)</f>
        <v>0</v>
      </c>
      <c r="AV629" s="166" t="n">
        <f aca="false">IF(AV424=0,0,(SUMIF(Resource_Planning!$P$49:$P$356,$P629,Resource_Planning!AV$49:AV$356))/AV424-1)</f>
        <v>0</v>
      </c>
      <c r="AW629" s="166" t="n">
        <f aca="false">IF(AW424=0,0,(SUMIF(Resource_Planning!$P$49:$P$356,$P629,Resource_Planning!AW$49:AW$356))/AW424-1)</f>
        <v>0</v>
      </c>
      <c r="AX629" s="166" t="n">
        <f aca="false">IF(AX424=0,0,(SUMIF(Resource_Planning!$P$49:$P$356,$P629,Resource_Planning!AX$49:AX$356))/AX424-1)</f>
        <v>0</v>
      </c>
      <c r="AY629" s="166" t="n">
        <f aca="false">IF(AY424=0,0,(SUMIF(Resource_Planning!$P$49:$P$356,$P629,Resource_Planning!AY$49:AY$356))/AY424-1)</f>
        <v>0</v>
      </c>
      <c r="AZ629" s="166" t="n">
        <f aca="false">IF(AZ424=0,0,(SUMIF(Resource_Planning!$P$49:$P$356,$P629,Resource_Planning!AZ$49:AZ$356))/AZ424-1)</f>
        <v>0</v>
      </c>
      <c r="BA629" s="166" t="n">
        <f aca="false">IF(BA424=0,0,(SUMIF(Resource_Planning!$P$49:$P$356,$P629,Resource_Planning!BA$49:BA$356))/BA424-1)</f>
        <v>0</v>
      </c>
      <c r="BB629" s="166" t="n">
        <f aca="false">IF(BB424=0,0,(SUMIF(Resource_Planning!$P$49:$P$356,$P629,Resource_Planning!BB$49:BB$356))/BB424-1)</f>
        <v>0</v>
      </c>
    </row>
    <row r="630" s="173" customFormat="true" ht="15" hidden="true" customHeight="false" outlineLevel="1" collapsed="false">
      <c r="E630" s="40"/>
      <c r="K630" s="40"/>
      <c r="L630" s="40"/>
      <c r="M630" s="40"/>
      <c r="N630" s="40"/>
      <c r="P630" s="177" t="n">
        <f aca="false">P288</f>
        <v>0</v>
      </c>
      <c r="Q630" s="40"/>
      <c r="R630" s="178"/>
      <c r="S630" s="166" t="n">
        <f aca="false">IF(S425=0,0,(SUMIF(Resource_Planning!$P$49:$P$356,$P630,Resource_Planning!S$49:S$356))/S425-1)</f>
        <v>0</v>
      </c>
      <c r="T630" s="166" t="n">
        <f aca="false">IF(T425=0,0,(SUMIF(Resource_Planning!$P$49:$P$356,$P630,Resource_Planning!T$49:T$356))/T425-1)</f>
        <v>0</v>
      </c>
      <c r="U630" s="166" t="n">
        <f aca="false">IF(U425=0,0,(SUMIF(Resource_Planning!$P$49:$P$356,$P630,Resource_Planning!U$49:U$356))/U425-1)</f>
        <v>0</v>
      </c>
      <c r="V630" s="166" t="n">
        <f aca="false">IF(V425=0,0,(SUMIF(Resource_Planning!$P$49:$P$356,$P630,Resource_Planning!V$49:V$356))/V425-1)</f>
        <v>0</v>
      </c>
      <c r="W630" s="166" t="n">
        <f aca="false">IF(W425=0,0,(SUMIF(Resource_Planning!$P$49:$P$356,$P630,Resource_Planning!W$49:W$356))/W425-1)</f>
        <v>0</v>
      </c>
      <c r="X630" s="166" t="n">
        <f aca="false">IF(X425=0,0,(SUMIF(Resource_Planning!$P$49:$P$356,$P630,Resource_Planning!X$49:X$356))/X425-1)</f>
        <v>0</v>
      </c>
      <c r="Y630" s="166" t="n">
        <f aca="false">IF(Y425=0,0,(SUMIF(Resource_Planning!$P$49:$P$356,$P630,Resource_Planning!Y$49:Y$356))/Y425-1)</f>
        <v>0</v>
      </c>
      <c r="Z630" s="166" t="n">
        <f aca="false">IF(Z425=0,0,(SUMIF(Resource_Planning!$P$49:$P$356,$P630,Resource_Planning!Z$49:Z$356))/Z425-1)</f>
        <v>0</v>
      </c>
      <c r="AA630" s="166" t="n">
        <f aca="false">IF(AA425=0,0,(SUMIF(Resource_Planning!$P$49:$P$356,$P630,Resource_Planning!AA$49:AA$356))/AA425-1)</f>
        <v>0</v>
      </c>
      <c r="AB630" s="166" t="n">
        <f aca="false">IF(AB425=0,0,(SUMIF(Resource_Planning!$P$49:$P$356,$P630,Resource_Planning!AB$49:AB$356))/AB425-1)</f>
        <v>0</v>
      </c>
      <c r="AC630" s="166" t="n">
        <f aca="false">IF(AC425=0,0,(SUMIF(Resource_Planning!$P$49:$P$356,$P630,Resource_Planning!AC$49:AC$356))/AC425-1)</f>
        <v>0</v>
      </c>
      <c r="AD630" s="166" t="n">
        <f aca="false">IF(AD425=0,0,(SUMIF(Resource_Planning!$P$49:$P$356,$P630,Resource_Planning!AD$49:AD$356))/AD425-1)</f>
        <v>0</v>
      </c>
      <c r="AE630" s="166" t="n">
        <f aca="false">IF(AE425=0,0,(SUMIF(Resource_Planning!$P$49:$P$356,$P630,Resource_Planning!AE$49:AE$356))/AE425-1)</f>
        <v>0</v>
      </c>
      <c r="AF630" s="166" t="n">
        <f aca="false">IF(AF425=0,0,(SUMIF(Resource_Planning!$P$49:$P$356,$P630,Resource_Planning!AF$49:AF$356))/AF425-1)</f>
        <v>0</v>
      </c>
      <c r="AG630" s="166" t="n">
        <f aca="false">IF(AG425=0,0,(SUMIF(Resource_Planning!$P$49:$P$356,$P630,Resource_Planning!AG$49:AG$356))/AG425-1)</f>
        <v>0</v>
      </c>
      <c r="AH630" s="166" t="n">
        <f aca="false">IF(AH425=0,0,(SUMIF(Resource_Planning!$P$49:$P$356,$P630,Resource_Planning!AH$49:AH$356))/AH425-1)</f>
        <v>0</v>
      </c>
      <c r="AI630" s="166" t="n">
        <f aca="false">IF(AI425=0,0,(SUMIF(Resource_Planning!$P$49:$P$356,$P630,Resource_Planning!AI$49:AI$356))/AI425-1)</f>
        <v>0</v>
      </c>
      <c r="AJ630" s="166" t="n">
        <f aca="false">IF(AJ425=0,0,(SUMIF(Resource_Planning!$P$49:$P$356,$P630,Resource_Planning!AJ$49:AJ$356))/AJ425-1)</f>
        <v>0</v>
      </c>
      <c r="AK630" s="166" t="n">
        <f aca="false">IF(AK425=0,0,(SUMIF(Resource_Planning!$P$49:$P$356,$P630,Resource_Planning!AK$49:AK$356))/AK425-1)</f>
        <v>0</v>
      </c>
      <c r="AL630" s="166" t="n">
        <f aca="false">IF(AL425=0,0,(SUMIF(Resource_Planning!$P$49:$P$356,$P630,Resource_Planning!AL$49:AL$356))/AL425-1)</f>
        <v>0</v>
      </c>
      <c r="AM630" s="166" t="n">
        <f aca="false">IF(AM425=0,0,(SUMIF(Resource_Planning!$P$49:$P$356,$P630,Resource_Planning!AM$49:AM$356))/AM425-1)</f>
        <v>0</v>
      </c>
      <c r="AN630" s="166" t="n">
        <f aca="false">IF(AN425=0,0,(SUMIF(Resource_Planning!$P$49:$P$356,$P630,Resource_Planning!AN$49:AN$356))/AN425-1)</f>
        <v>0</v>
      </c>
      <c r="AO630" s="166" t="n">
        <f aca="false">IF(AO425=0,0,(SUMIF(Resource_Planning!$P$49:$P$356,$P630,Resource_Planning!AO$49:AO$356))/AO425-1)</f>
        <v>0</v>
      </c>
      <c r="AP630" s="166" t="n">
        <f aca="false">IF(AP425=0,0,(SUMIF(Resource_Planning!$P$49:$P$356,$P630,Resource_Planning!AP$49:AP$356))/AP425-1)</f>
        <v>0</v>
      </c>
      <c r="AQ630" s="166" t="n">
        <f aca="false">IF(AQ425=0,0,(SUMIF(Resource_Planning!$P$49:$P$356,$P630,Resource_Planning!AQ$49:AQ$356))/AQ425-1)</f>
        <v>0</v>
      </c>
      <c r="AR630" s="166" t="n">
        <f aca="false">IF(AR425=0,0,(SUMIF(Resource_Planning!$P$49:$P$356,$P630,Resource_Planning!AR$49:AR$356))/AR425-1)</f>
        <v>0</v>
      </c>
      <c r="AS630" s="166" t="n">
        <f aca="false">IF(AS425=0,0,(SUMIF(Resource_Planning!$P$49:$P$356,$P630,Resource_Planning!AS$49:AS$356))/AS425-1)</f>
        <v>0</v>
      </c>
      <c r="AT630" s="166" t="n">
        <f aca="false">IF(AT425=0,0,(SUMIF(Resource_Planning!$P$49:$P$356,$P630,Resource_Planning!AT$49:AT$356))/AT425-1)</f>
        <v>0</v>
      </c>
      <c r="AU630" s="166" t="n">
        <f aca="false">IF(AU425=0,0,(SUMIF(Resource_Planning!$P$49:$P$356,$P630,Resource_Planning!AU$49:AU$356))/AU425-1)</f>
        <v>0</v>
      </c>
      <c r="AV630" s="166" t="n">
        <f aca="false">IF(AV425=0,0,(SUMIF(Resource_Planning!$P$49:$P$356,$P630,Resource_Planning!AV$49:AV$356))/AV425-1)</f>
        <v>0</v>
      </c>
      <c r="AW630" s="166" t="n">
        <f aca="false">IF(AW425=0,0,(SUMIF(Resource_Planning!$P$49:$P$356,$P630,Resource_Planning!AW$49:AW$356))/AW425-1)</f>
        <v>0</v>
      </c>
      <c r="AX630" s="166" t="n">
        <f aca="false">IF(AX425=0,0,(SUMIF(Resource_Planning!$P$49:$P$356,$P630,Resource_Planning!AX$49:AX$356))/AX425-1)</f>
        <v>0</v>
      </c>
      <c r="AY630" s="166" t="n">
        <f aca="false">IF(AY425=0,0,(SUMIF(Resource_Planning!$P$49:$P$356,$P630,Resource_Planning!AY$49:AY$356))/AY425-1)</f>
        <v>0</v>
      </c>
      <c r="AZ630" s="166" t="n">
        <f aca="false">IF(AZ425=0,0,(SUMIF(Resource_Planning!$P$49:$P$356,$P630,Resource_Planning!AZ$49:AZ$356))/AZ425-1)</f>
        <v>0</v>
      </c>
      <c r="BA630" s="166" t="n">
        <f aca="false">IF(BA425=0,0,(SUMIF(Resource_Planning!$P$49:$P$356,$P630,Resource_Planning!BA$49:BA$356))/BA425-1)</f>
        <v>0</v>
      </c>
      <c r="BB630" s="166" t="n">
        <f aca="false">IF(BB425=0,0,(SUMIF(Resource_Planning!$P$49:$P$356,$P630,Resource_Planning!BB$49:BB$356))/BB425-1)</f>
        <v>0</v>
      </c>
    </row>
    <row r="631" s="173" customFormat="true" ht="15" hidden="true" customHeight="false" outlineLevel="1" collapsed="false">
      <c r="E631" s="40"/>
      <c r="K631" s="40"/>
      <c r="L631" s="40"/>
      <c r="M631" s="40"/>
      <c r="N631" s="40"/>
      <c r="P631" s="177" t="n">
        <f aca="false">P289</f>
        <v>0</v>
      </c>
      <c r="Q631" s="40"/>
      <c r="R631" s="178"/>
      <c r="S631" s="166" t="n">
        <f aca="false">IF(S426=0,0,(SUMIF(Resource_Planning!$P$49:$P$356,$P631,Resource_Planning!S$49:S$356))/S426-1)</f>
        <v>0</v>
      </c>
      <c r="T631" s="166" t="n">
        <f aca="false">IF(T426=0,0,(SUMIF(Resource_Planning!$P$49:$P$356,$P631,Resource_Planning!T$49:T$356))/T426-1)</f>
        <v>0</v>
      </c>
      <c r="U631" s="166" t="n">
        <f aca="false">IF(U426=0,0,(SUMIF(Resource_Planning!$P$49:$P$356,$P631,Resource_Planning!U$49:U$356))/U426-1)</f>
        <v>0</v>
      </c>
      <c r="V631" s="166" t="n">
        <f aca="false">IF(V426=0,0,(SUMIF(Resource_Planning!$P$49:$P$356,$P631,Resource_Planning!V$49:V$356))/V426-1)</f>
        <v>0</v>
      </c>
      <c r="W631" s="166" t="n">
        <f aca="false">IF(W426=0,0,(SUMIF(Resource_Planning!$P$49:$P$356,$P631,Resource_Planning!W$49:W$356))/W426-1)</f>
        <v>0</v>
      </c>
      <c r="X631" s="166" t="n">
        <f aca="false">IF(X426=0,0,(SUMIF(Resource_Planning!$P$49:$P$356,$P631,Resource_Planning!X$49:X$356))/X426-1)</f>
        <v>0</v>
      </c>
      <c r="Y631" s="166" t="n">
        <f aca="false">IF(Y426=0,0,(SUMIF(Resource_Planning!$P$49:$P$356,$P631,Resource_Planning!Y$49:Y$356))/Y426-1)</f>
        <v>0</v>
      </c>
      <c r="Z631" s="166" t="n">
        <f aca="false">IF(Z426=0,0,(SUMIF(Resource_Planning!$P$49:$P$356,$P631,Resource_Planning!Z$49:Z$356))/Z426-1)</f>
        <v>0</v>
      </c>
      <c r="AA631" s="166" t="n">
        <f aca="false">IF(AA426=0,0,(SUMIF(Resource_Planning!$P$49:$P$356,$P631,Resource_Planning!AA$49:AA$356))/AA426-1)</f>
        <v>0</v>
      </c>
      <c r="AB631" s="166" t="n">
        <f aca="false">IF(AB426=0,0,(SUMIF(Resource_Planning!$P$49:$P$356,$P631,Resource_Planning!AB$49:AB$356))/AB426-1)</f>
        <v>0</v>
      </c>
      <c r="AC631" s="166" t="n">
        <f aca="false">IF(AC426=0,0,(SUMIF(Resource_Planning!$P$49:$P$356,$P631,Resource_Planning!AC$49:AC$356))/AC426-1)</f>
        <v>0</v>
      </c>
      <c r="AD631" s="166" t="n">
        <f aca="false">IF(AD426=0,0,(SUMIF(Resource_Planning!$P$49:$P$356,$P631,Resource_Planning!AD$49:AD$356))/AD426-1)</f>
        <v>0</v>
      </c>
      <c r="AE631" s="166" t="n">
        <f aca="false">IF(AE426=0,0,(SUMIF(Resource_Planning!$P$49:$P$356,$P631,Resource_Planning!AE$49:AE$356))/AE426-1)</f>
        <v>0</v>
      </c>
      <c r="AF631" s="166" t="n">
        <f aca="false">IF(AF426=0,0,(SUMIF(Resource_Planning!$P$49:$P$356,$P631,Resource_Planning!AF$49:AF$356))/AF426-1)</f>
        <v>0</v>
      </c>
      <c r="AG631" s="166" t="n">
        <f aca="false">IF(AG426=0,0,(SUMIF(Resource_Planning!$P$49:$P$356,$P631,Resource_Planning!AG$49:AG$356))/AG426-1)</f>
        <v>0</v>
      </c>
      <c r="AH631" s="166" t="n">
        <f aca="false">IF(AH426=0,0,(SUMIF(Resource_Planning!$P$49:$P$356,$P631,Resource_Planning!AH$49:AH$356))/AH426-1)</f>
        <v>0</v>
      </c>
      <c r="AI631" s="166" t="n">
        <f aca="false">IF(AI426=0,0,(SUMIF(Resource_Planning!$P$49:$P$356,$P631,Resource_Planning!AI$49:AI$356))/AI426-1)</f>
        <v>0</v>
      </c>
      <c r="AJ631" s="166" t="n">
        <f aca="false">IF(AJ426=0,0,(SUMIF(Resource_Planning!$P$49:$P$356,$P631,Resource_Planning!AJ$49:AJ$356))/AJ426-1)</f>
        <v>0</v>
      </c>
      <c r="AK631" s="166" t="n">
        <f aca="false">IF(AK426=0,0,(SUMIF(Resource_Planning!$P$49:$P$356,$P631,Resource_Planning!AK$49:AK$356))/AK426-1)</f>
        <v>0</v>
      </c>
      <c r="AL631" s="166" t="n">
        <f aca="false">IF(AL426=0,0,(SUMIF(Resource_Planning!$P$49:$P$356,$P631,Resource_Planning!AL$49:AL$356))/AL426-1)</f>
        <v>0</v>
      </c>
      <c r="AM631" s="166" t="n">
        <f aca="false">IF(AM426=0,0,(SUMIF(Resource_Planning!$P$49:$P$356,$P631,Resource_Planning!AM$49:AM$356))/AM426-1)</f>
        <v>0</v>
      </c>
      <c r="AN631" s="166" t="n">
        <f aca="false">IF(AN426=0,0,(SUMIF(Resource_Planning!$P$49:$P$356,$P631,Resource_Planning!AN$49:AN$356))/AN426-1)</f>
        <v>0</v>
      </c>
      <c r="AO631" s="166" t="n">
        <f aca="false">IF(AO426=0,0,(SUMIF(Resource_Planning!$P$49:$P$356,$P631,Resource_Planning!AO$49:AO$356))/AO426-1)</f>
        <v>0</v>
      </c>
      <c r="AP631" s="166" t="n">
        <f aca="false">IF(AP426=0,0,(SUMIF(Resource_Planning!$P$49:$P$356,$P631,Resource_Planning!AP$49:AP$356))/AP426-1)</f>
        <v>0</v>
      </c>
      <c r="AQ631" s="166" t="n">
        <f aca="false">IF(AQ426=0,0,(SUMIF(Resource_Planning!$P$49:$P$356,$P631,Resource_Planning!AQ$49:AQ$356))/AQ426-1)</f>
        <v>0</v>
      </c>
      <c r="AR631" s="166" t="n">
        <f aca="false">IF(AR426=0,0,(SUMIF(Resource_Planning!$P$49:$P$356,$P631,Resource_Planning!AR$49:AR$356))/AR426-1)</f>
        <v>0</v>
      </c>
      <c r="AS631" s="166" t="n">
        <f aca="false">IF(AS426=0,0,(SUMIF(Resource_Planning!$P$49:$P$356,$P631,Resource_Planning!AS$49:AS$356))/AS426-1)</f>
        <v>0</v>
      </c>
      <c r="AT631" s="166" t="n">
        <f aca="false">IF(AT426=0,0,(SUMIF(Resource_Planning!$P$49:$P$356,$P631,Resource_Planning!AT$49:AT$356))/AT426-1)</f>
        <v>0</v>
      </c>
      <c r="AU631" s="166" t="n">
        <f aca="false">IF(AU426=0,0,(SUMIF(Resource_Planning!$P$49:$P$356,$P631,Resource_Planning!AU$49:AU$356))/AU426-1)</f>
        <v>0</v>
      </c>
      <c r="AV631" s="166" t="n">
        <f aca="false">IF(AV426=0,0,(SUMIF(Resource_Planning!$P$49:$P$356,$P631,Resource_Planning!AV$49:AV$356))/AV426-1)</f>
        <v>0</v>
      </c>
      <c r="AW631" s="166" t="n">
        <f aca="false">IF(AW426=0,0,(SUMIF(Resource_Planning!$P$49:$P$356,$P631,Resource_Planning!AW$49:AW$356))/AW426-1)</f>
        <v>0</v>
      </c>
      <c r="AX631" s="166" t="n">
        <f aca="false">IF(AX426=0,0,(SUMIF(Resource_Planning!$P$49:$P$356,$P631,Resource_Planning!AX$49:AX$356))/AX426-1)</f>
        <v>0</v>
      </c>
      <c r="AY631" s="166" t="n">
        <f aca="false">IF(AY426=0,0,(SUMIF(Resource_Planning!$P$49:$P$356,$P631,Resource_Planning!AY$49:AY$356))/AY426-1)</f>
        <v>0</v>
      </c>
      <c r="AZ631" s="166" t="n">
        <f aca="false">IF(AZ426=0,0,(SUMIF(Resource_Planning!$P$49:$P$356,$P631,Resource_Planning!AZ$49:AZ$356))/AZ426-1)</f>
        <v>0</v>
      </c>
      <c r="BA631" s="166" t="n">
        <f aca="false">IF(BA426=0,0,(SUMIF(Resource_Planning!$P$49:$P$356,$P631,Resource_Planning!BA$49:BA$356))/BA426-1)</f>
        <v>0</v>
      </c>
      <c r="BB631" s="166" t="n">
        <f aca="false">IF(BB426=0,0,(SUMIF(Resource_Planning!$P$49:$P$356,$P631,Resource_Planning!BB$49:BB$356))/BB426-1)</f>
        <v>0</v>
      </c>
    </row>
    <row r="632" s="173" customFormat="true" ht="15" hidden="true" customHeight="false" outlineLevel="1" collapsed="false">
      <c r="E632" s="40"/>
      <c r="K632" s="40"/>
      <c r="L632" s="40"/>
      <c r="M632" s="40"/>
      <c r="N632" s="40"/>
      <c r="P632" s="177" t="n">
        <f aca="false">P290</f>
        <v>0</v>
      </c>
      <c r="Q632" s="40"/>
      <c r="R632" s="178"/>
      <c r="S632" s="166" t="n">
        <f aca="false">IF(S427=0,0,(SUMIF(Resource_Planning!$P$49:$P$356,$P632,Resource_Planning!S$49:S$356))/S427-1)</f>
        <v>0</v>
      </c>
      <c r="T632" s="166" t="n">
        <f aca="false">IF(T427=0,0,(SUMIF(Resource_Planning!$P$49:$P$356,$P632,Resource_Planning!T$49:T$356))/T427-1)</f>
        <v>0</v>
      </c>
      <c r="U632" s="166" t="n">
        <f aca="false">IF(U427=0,0,(SUMIF(Resource_Planning!$P$49:$P$356,$P632,Resource_Planning!U$49:U$356))/U427-1)</f>
        <v>0</v>
      </c>
      <c r="V632" s="166" t="n">
        <f aca="false">IF(V427=0,0,(SUMIF(Resource_Planning!$P$49:$P$356,$P632,Resource_Planning!V$49:V$356))/V427-1)</f>
        <v>0</v>
      </c>
      <c r="W632" s="166" t="n">
        <f aca="false">IF(W427=0,0,(SUMIF(Resource_Planning!$P$49:$P$356,$P632,Resource_Planning!W$49:W$356))/W427-1)</f>
        <v>0</v>
      </c>
      <c r="X632" s="166" t="n">
        <f aca="false">IF(X427=0,0,(SUMIF(Resource_Planning!$P$49:$P$356,$P632,Resource_Planning!X$49:X$356))/X427-1)</f>
        <v>0</v>
      </c>
      <c r="Y632" s="166" t="n">
        <f aca="false">IF(Y427=0,0,(SUMIF(Resource_Planning!$P$49:$P$356,$P632,Resource_Planning!Y$49:Y$356))/Y427-1)</f>
        <v>0</v>
      </c>
      <c r="Z632" s="166" t="n">
        <f aca="false">IF(Z427=0,0,(SUMIF(Resource_Planning!$P$49:$P$356,$P632,Resource_Planning!Z$49:Z$356))/Z427-1)</f>
        <v>0</v>
      </c>
      <c r="AA632" s="166" t="n">
        <f aca="false">IF(AA427=0,0,(SUMIF(Resource_Planning!$P$49:$P$356,$P632,Resource_Planning!AA$49:AA$356))/AA427-1)</f>
        <v>0</v>
      </c>
      <c r="AB632" s="166" t="n">
        <f aca="false">IF(AB427=0,0,(SUMIF(Resource_Planning!$P$49:$P$356,$P632,Resource_Planning!AB$49:AB$356))/AB427-1)</f>
        <v>0</v>
      </c>
      <c r="AC632" s="166" t="n">
        <f aca="false">IF(AC427=0,0,(SUMIF(Resource_Planning!$P$49:$P$356,$P632,Resource_Planning!AC$49:AC$356))/AC427-1)</f>
        <v>0</v>
      </c>
      <c r="AD632" s="166" t="n">
        <f aca="false">IF(AD427=0,0,(SUMIF(Resource_Planning!$P$49:$P$356,$P632,Resource_Planning!AD$49:AD$356))/AD427-1)</f>
        <v>0</v>
      </c>
      <c r="AE632" s="166" t="n">
        <f aca="false">IF(AE427=0,0,(SUMIF(Resource_Planning!$P$49:$P$356,$P632,Resource_Planning!AE$49:AE$356))/AE427-1)</f>
        <v>0</v>
      </c>
      <c r="AF632" s="166" t="n">
        <f aca="false">IF(AF427=0,0,(SUMIF(Resource_Planning!$P$49:$P$356,$P632,Resource_Planning!AF$49:AF$356))/AF427-1)</f>
        <v>0</v>
      </c>
      <c r="AG632" s="166" t="n">
        <f aca="false">IF(AG427=0,0,(SUMIF(Resource_Planning!$P$49:$P$356,$P632,Resource_Planning!AG$49:AG$356))/AG427-1)</f>
        <v>0</v>
      </c>
      <c r="AH632" s="166" t="n">
        <f aca="false">IF(AH427=0,0,(SUMIF(Resource_Planning!$P$49:$P$356,$P632,Resource_Planning!AH$49:AH$356))/AH427-1)</f>
        <v>0</v>
      </c>
      <c r="AI632" s="166" t="n">
        <f aca="false">IF(AI427=0,0,(SUMIF(Resource_Planning!$P$49:$P$356,$P632,Resource_Planning!AI$49:AI$356))/AI427-1)</f>
        <v>0</v>
      </c>
      <c r="AJ632" s="166" t="n">
        <f aca="false">IF(AJ427=0,0,(SUMIF(Resource_Planning!$P$49:$P$356,$P632,Resource_Planning!AJ$49:AJ$356))/AJ427-1)</f>
        <v>0</v>
      </c>
      <c r="AK632" s="166" t="n">
        <f aca="false">IF(AK427=0,0,(SUMIF(Resource_Planning!$P$49:$P$356,$P632,Resource_Planning!AK$49:AK$356))/AK427-1)</f>
        <v>0</v>
      </c>
      <c r="AL632" s="166" t="n">
        <f aca="false">IF(AL427=0,0,(SUMIF(Resource_Planning!$P$49:$P$356,$P632,Resource_Planning!AL$49:AL$356))/AL427-1)</f>
        <v>0</v>
      </c>
      <c r="AM632" s="166" t="n">
        <f aca="false">IF(AM427=0,0,(SUMIF(Resource_Planning!$P$49:$P$356,$P632,Resource_Planning!AM$49:AM$356))/AM427-1)</f>
        <v>0</v>
      </c>
      <c r="AN632" s="166" t="n">
        <f aca="false">IF(AN427=0,0,(SUMIF(Resource_Planning!$P$49:$P$356,$P632,Resource_Planning!AN$49:AN$356))/AN427-1)</f>
        <v>0</v>
      </c>
      <c r="AO632" s="166" t="n">
        <f aca="false">IF(AO427=0,0,(SUMIF(Resource_Planning!$P$49:$P$356,$P632,Resource_Planning!AO$49:AO$356))/AO427-1)</f>
        <v>0</v>
      </c>
      <c r="AP632" s="166" t="n">
        <f aca="false">IF(AP427=0,0,(SUMIF(Resource_Planning!$P$49:$P$356,$P632,Resource_Planning!AP$49:AP$356))/AP427-1)</f>
        <v>0</v>
      </c>
      <c r="AQ632" s="166" t="n">
        <f aca="false">IF(AQ427=0,0,(SUMIF(Resource_Planning!$P$49:$P$356,$P632,Resource_Planning!AQ$49:AQ$356))/AQ427-1)</f>
        <v>0</v>
      </c>
      <c r="AR632" s="166" t="n">
        <f aca="false">IF(AR427=0,0,(SUMIF(Resource_Planning!$P$49:$P$356,$P632,Resource_Planning!AR$49:AR$356))/AR427-1)</f>
        <v>0</v>
      </c>
      <c r="AS632" s="166" t="n">
        <f aca="false">IF(AS427=0,0,(SUMIF(Resource_Planning!$P$49:$P$356,$P632,Resource_Planning!AS$49:AS$356))/AS427-1)</f>
        <v>0</v>
      </c>
      <c r="AT632" s="166" t="n">
        <f aca="false">IF(AT427=0,0,(SUMIF(Resource_Planning!$P$49:$P$356,$P632,Resource_Planning!AT$49:AT$356))/AT427-1)</f>
        <v>0</v>
      </c>
      <c r="AU632" s="166" t="n">
        <f aca="false">IF(AU427=0,0,(SUMIF(Resource_Planning!$P$49:$P$356,$P632,Resource_Planning!AU$49:AU$356))/AU427-1)</f>
        <v>0</v>
      </c>
      <c r="AV632" s="166" t="n">
        <f aca="false">IF(AV427=0,0,(SUMIF(Resource_Planning!$P$49:$P$356,$P632,Resource_Planning!AV$49:AV$356))/AV427-1)</f>
        <v>0</v>
      </c>
      <c r="AW632" s="166" t="n">
        <f aca="false">IF(AW427=0,0,(SUMIF(Resource_Planning!$P$49:$P$356,$P632,Resource_Planning!AW$49:AW$356))/AW427-1)</f>
        <v>0</v>
      </c>
      <c r="AX632" s="166" t="n">
        <f aca="false">IF(AX427=0,0,(SUMIF(Resource_Planning!$P$49:$P$356,$P632,Resource_Planning!AX$49:AX$356))/AX427-1)</f>
        <v>0</v>
      </c>
      <c r="AY632" s="166" t="n">
        <f aca="false">IF(AY427=0,0,(SUMIF(Resource_Planning!$P$49:$P$356,$P632,Resource_Planning!AY$49:AY$356))/AY427-1)</f>
        <v>0</v>
      </c>
      <c r="AZ632" s="166" t="n">
        <f aca="false">IF(AZ427=0,0,(SUMIF(Resource_Planning!$P$49:$P$356,$P632,Resource_Planning!AZ$49:AZ$356))/AZ427-1)</f>
        <v>0</v>
      </c>
      <c r="BA632" s="166" t="n">
        <f aca="false">IF(BA427=0,0,(SUMIF(Resource_Planning!$P$49:$P$356,$P632,Resource_Planning!BA$49:BA$356))/BA427-1)</f>
        <v>0</v>
      </c>
      <c r="BB632" s="166" t="n">
        <f aca="false">IF(BB427=0,0,(SUMIF(Resource_Planning!$P$49:$P$356,$P632,Resource_Planning!BB$49:BB$356))/BB427-1)</f>
        <v>0</v>
      </c>
    </row>
    <row r="633" s="173" customFormat="true" ht="15" hidden="true" customHeight="false" outlineLevel="1" collapsed="false">
      <c r="E633" s="40"/>
      <c r="K633" s="40"/>
      <c r="L633" s="40"/>
      <c r="M633" s="40"/>
      <c r="N633" s="40"/>
      <c r="P633" s="177" t="n">
        <f aca="false">P291</f>
        <v>0</v>
      </c>
      <c r="Q633" s="40"/>
      <c r="R633" s="178"/>
      <c r="S633" s="166" t="n">
        <f aca="false">IF(S428=0,0,(SUMIF(Resource_Planning!$P$49:$P$356,$P633,Resource_Planning!S$49:S$356))/S428-1)</f>
        <v>0</v>
      </c>
      <c r="T633" s="166" t="n">
        <f aca="false">IF(T428=0,0,(SUMIF(Resource_Planning!$P$49:$P$356,$P633,Resource_Planning!T$49:T$356))/T428-1)</f>
        <v>0</v>
      </c>
      <c r="U633" s="166" t="n">
        <f aca="false">IF(U428=0,0,(SUMIF(Resource_Planning!$P$49:$P$356,$P633,Resource_Planning!U$49:U$356))/U428-1)</f>
        <v>0</v>
      </c>
      <c r="V633" s="166" t="n">
        <f aca="false">IF(V428=0,0,(SUMIF(Resource_Planning!$P$49:$P$356,$P633,Resource_Planning!V$49:V$356))/V428-1)</f>
        <v>0</v>
      </c>
      <c r="W633" s="166" t="n">
        <f aca="false">IF(W428=0,0,(SUMIF(Resource_Planning!$P$49:$P$356,$P633,Resource_Planning!W$49:W$356))/W428-1)</f>
        <v>0</v>
      </c>
      <c r="X633" s="166" t="n">
        <f aca="false">IF(X428=0,0,(SUMIF(Resource_Planning!$P$49:$P$356,$P633,Resource_Planning!X$49:X$356))/X428-1)</f>
        <v>0</v>
      </c>
      <c r="Y633" s="166" t="n">
        <f aca="false">IF(Y428=0,0,(SUMIF(Resource_Planning!$P$49:$P$356,$P633,Resource_Planning!Y$49:Y$356))/Y428-1)</f>
        <v>0</v>
      </c>
      <c r="Z633" s="166" t="n">
        <f aca="false">IF(Z428=0,0,(SUMIF(Resource_Planning!$P$49:$P$356,$P633,Resource_Planning!Z$49:Z$356))/Z428-1)</f>
        <v>0</v>
      </c>
      <c r="AA633" s="166" t="n">
        <f aca="false">IF(AA428=0,0,(SUMIF(Resource_Planning!$P$49:$P$356,$P633,Resource_Planning!AA$49:AA$356))/AA428-1)</f>
        <v>0</v>
      </c>
      <c r="AB633" s="166" t="n">
        <f aca="false">IF(AB428=0,0,(SUMIF(Resource_Planning!$P$49:$P$356,$P633,Resource_Planning!AB$49:AB$356))/AB428-1)</f>
        <v>0</v>
      </c>
      <c r="AC633" s="166" t="n">
        <f aca="false">IF(AC428=0,0,(SUMIF(Resource_Planning!$P$49:$P$356,$P633,Resource_Planning!AC$49:AC$356))/AC428-1)</f>
        <v>0</v>
      </c>
      <c r="AD633" s="166" t="n">
        <f aca="false">IF(AD428=0,0,(SUMIF(Resource_Planning!$P$49:$P$356,$P633,Resource_Planning!AD$49:AD$356))/AD428-1)</f>
        <v>0</v>
      </c>
      <c r="AE633" s="166" t="n">
        <f aca="false">IF(AE428=0,0,(SUMIF(Resource_Planning!$P$49:$P$356,$P633,Resource_Planning!AE$49:AE$356))/AE428-1)</f>
        <v>0</v>
      </c>
      <c r="AF633" s="166" t="n">
        <f aca="false">IF(AF428=0,0,(SUMIF(Resource_Planning!$P$49:$P$356,$P633,Resource_Planning!AF$49:AF$356))/AF428-1)</f>
        <v>0</v>
      </c>
      <c r="AG633" s="166" t="n">
        <f aca="false">IF(AG428=0,0,(SUMIF(Resource_Planning!$P$49:$P$356,$P633,Resource_Planning!AG$49:AG$356))/AG428-1)</f>
        <v>0</v>
      </c>
      <c r="AH633" s="166" t="n">
        <f aca="false">IF(AH428=0,0,(SUMIF(Resource_Planning!$P$49:$P$356,$P633,Resource_Planning!AH$49:AH$356))/AH428-1)</f>
        <v>0</v>
      </c>
      <c r="AI633" s="166" t="n">
        <f aca="false">IF(AI428=0,0,(SUMIF(Resource_Planning!$P$49:$P$356,$P633,Resource_Planning!AI$49:AI$356))/AI428-1)</f>
        <v>0</v>
      </c>
      <c r="AJ633" s="166" t="n">
        <f aca="false">IF(AJ428=0,0,(SUMIF(Resource_Planning!$P$49:$P$356,$P633,Resource_Planning!AJ$49:AJ$356))/AJ428-1)</f>
        <v>0</v>
      </c>
      <c r="AK633" s="166" t="n">
        <f aca="false">IF(AK428=0,0,(SUMIF(Resource_Planning!$P$49:$P$356,$P633,Resource_Planning!AK$49:AK$356))/AK428-1)</f>
        <v>0</v>
      </c>
      <c r="AL633" s="166" t="n">
        <f aca="false">IF(AL428=0,0,(SUMIF(Resource_Planning!$P$49:$P$356,$P633,Resource_Planning!AL$49:AL$356))/AL428-1)</f>
        <v>0</v>
      </c>
      <c r="AM633" s="166" t="n">
        <f aca="false">IF(AM428=0,0,(SUMIF(Resource_Planning!$P$49:$P$356,$P633,Resource_Planning!AM$49:AM$356))/AM428-1)</f>
        <v>0</v>
      </c>
      <c r="AN633" s="166" t="n">
        <f aca="false">IF(AN428=0,0,(SUMIF(Resource_Planning!$P$49:$P$356,$P633,Resource_Planning!AN$49:AN$356))/AN428-1)</f>
        <v>0</v>
      </c>
      <c r="AO633" s="166" t="n">
        <f aca="false">IF(AO428=0,0,(SUMIF(Resource_Planning!$P$49:$P$356,$P633,Resource_Planning!AO$49:AO$356))/AO428-1)</f>
        <v>0</v>
      </c>
      <c r="AP633" s="166" t="n">
        <f aca="false">IF(AP428=0,0,(SUMIF(Resource_Planning!$P$49:$P$356,$P633,Resource_Planning!AP$49:AP$356))/AP428-1)</f>
        <v>0</v>
      </c>
      <c r="AQ633" s="166" t="n">
        <f aca="false">IF(AQ428=0,0,(SUMIF(Resource_Planning!$P$49:$P$356,$P633,Resource_Planning!AQ$49:AQ$356))/AQ428-1)</f>
        <v>0</v>
      </c>
      <c r="AR633" s="166" t="n">
        <f aca="false">IF(AR428=0,0,(SUMIF(Resource_Planning!$P$49:$P$356,$P633,Resource_Planning!AR$49:AR$356))/AR428-1)</f>
        <v>0</v>
      </c>
      <c r="AS633" s="166" t="n">
        <f aca="false">IF(AS428=0,0,(SUMIF(Resource_Planning!$P$49:$P$356,$P633,Resource_Planning!AS$49:AS$356))/AS428-1)</f>
        <v>0</v>
      </c>
      <c r="AT633" s="166" t="n">
        <f aca="false">IF(AT428=0,0,(SUMIF(Resource_Planning!$P$49:$P$356,$P633,Resource_Planning!AT$49:AT$356))/AT428-1)</f>
        <v>0</v>
      </c>
      <c r="AU633" s="166" t="n">
        <f aca="false">IF(AU428=0,0,(SUMIF(Resource_Planning!$P$49:$P$356,$P633,Resource_Planning!AU$49:AU$356))/AU428-1)</f>
        <v>0</v>
      </c>
      <c r="AV633" s="166" t="n">
        <f aca="false">IF(AV428=0,0,(SUMIF(Resource_Planning!$P$49:$P$356,$P633,Resource_Planning!AV$49:AV$356))/AV428-1)</f>
        <v>0</v>
      </c>
      <c r="AW633" s="166" t="n">
        <f aca="false">IF(AW428=0,0,(SUMIF(Resource_Planning!$P$49:$P$356,$P633,Resource_Planning!AW$49:AW$356))/AW428-1)</f>
        <v>0</v>
      </c>
      <c r="AX633" s="166" t="n">
        <f aca="false">IF(AX428=0,0,(SUMIF(Resource_Planning!$P$49:$P$356,$P633,Resource_Planning!AX$49:AX$356))/AX428-1)</f>
        <v>0</v>
      </c>
      <c r="AY633" s="166" t="n">
        <f aca="false">IF(AY428=0,0,(SUMIF(Resource_Planning!$P$49:$P$356,$P633,Resource_Planning!AY$49:AY$356))/AY428-1)</f>
        <v>0</v>
      </c>
      <c r="AZ633" s="166" t="n">
        <f aca="false">IF(AZ428=0,0,(SUMIF(Resource_Planning!$P$49:$P$356,$P633,Resource_Planning!AZ$49:AZ$356))/AZ428-1)</f>
        <v>0</v>
      </c>
      <c r="BA633" s="166" t="n">
        <f aca="false">IF(BA428=0,0,(SUMIF(Resource_Planning!$P$49:$P$356,$P633,Resource_Planning!BA$49:BA$356))/BA428-1)</f>
        <v>0</v>
      </c>
      <c r="BB633" s="166" t="n">
        <f aca="false">IF(BB428=0,0,(SUMIF(Resource_Planning!$P$49:$P$356,$P633,Resource_Planning!BB$49:BB$356))/BB428-1)</f>
        <v>0</v>
      </c>
    </row>
    <row r="634" s="173" customFormat="true" ht="15" hidden="true" customHeight="false" outlineLevel="1" collapsed="false">
      <c r="E634" s="40"/>
      <c r="K634" s="40"/>
      <c r="L634" s="40"/>
      <c r="M634" s="40"/>
      <c r="N634" s="40"/>
      <c r="P634" s="177" t="n">
        <f aca="false">P292</f>
        <v>0</v>
      </c>
      <c r="Q634" s="40"/>
      <c r="R634" s="178"/>
      <c r="S634" s="166" t="n">
        <f aca="false">IF(S429=0,0,(SUMIF(Resource_Planning!$P$49:$P$356,$P634,Resource_Planning!S$49:S$356))/S429-1)</f>
        <v>0</v>
      </c>
      <c r="T634" s="166" t="n">
        <f aca="false">IF(T429=0,0,(SUMIF(Resource_Planning!$P$49:$P$356,$P634,Resource_Planning!T$49:T$356))/T429-1)</f>
        <v>0</v>
      </c>
      <c r="U634" s="166" t="n">
        <f aca="false">IF(U429=0,0,(SUMIF(Resource_Planning!$P$49:$P$356,$P634,Resource_Planning!U$49:U$356))/U429-1)</f>
        <v>0</v>
      </c>
      <c r="V634" s="166" t="n">
        <f aca="false">IF(V429=0,0,(SUMIF(Resource_Planning!$P$49:$P$356,$P634,Resource_Planning!V$49:V$356))/V429-1)</f>
        <v>0</v>
      </c>
      <c r="W634" s="166" t="n">
        <f aca="false">IF(W429=0,0,(SUMIF(Resource_Planning!$P$49:$P$356,$P634,Resource_Planning!W$49:W$356))/W429-1)</f>
        <v>0</v>
      </c>
      <c r="X634" s="166" t="n">
        <f aca="false">IF(X429=0,0,(SUMIF(Resource_Planning!$P$49:$P$356,$P634,Resource_Planning!X$49:X$356))/X429-1)</f>
        <v>0</v>
      </c>
      <c r="Y634" s="166" t="n">
        <f aca="false">IF(Y429=0,0,(SUMIF(Resource_Planning!$P$49:$P$356,$P634,Resource_Planning!Y$49:Y$356))/Y429-1)</f>
        <v>0</v>
      </c>
      <c r="Z634" s="166" t="n">
        <f aca="false">IF(Z429=0,0,(SUMIF(Resource_Planning!$P$49:$P$356,$P634,Resource_Planning!Z$49:Z$356))/Z429-1)</f>
        <v>0</v>
      </c>
      <c r="AA634" s="166" t="n">
        <f aca="false">IF(AA429=0,0,(SUMIF(Resource_Planning!$P$49:$P$356,$P634,Resource_Planning!AA$49:AA$356))/AA429-1)</f>
        <v>0</v>
      </c>
      <c r="AB634" s="166" t="n">
        <f aca="false">IF(AB429=0,0,(SUMIF(Resource_Planning!$P$49:$P$356,$P634,Resource_Planning!AB$49:AB$356))/AB429-1)</f>
        <v>0</v>
      </c>
      <c r="AC634" s="166" t="n">
        <f aca="false">IF(AC429=0,0,(SUMIF(Resource_Planning!$P$49:$P$356,$P634,Resource_Planning!AC$49:AC$356))/AC429-1)</f>
        <v>0</v>
      </c>
      <c r="AD634" s="166" t="n">
        <f aca="false">IF(AD429=0,0,(SUMIF(Resource_Planning!$P$49:$P$356,$P634,Resource_Planning!AD$49:AD$356))/AD429-1)</f>
        <v>0</v>
      </c>
      <c r="AE634" s="166" t="n">
        <f aca="false">IF(AE429=0,0,(SUMIF(Resource_Planning!$P$49:$P$356,$P634,Resource_Planning!AE$49:AE$356))/AE429-1)</f>
        <v>0</v>
      </c>
      <c r="AF634" s="166" t="n">
        <f aca="false">IF(AF429=0,0,(SUMIF(Resource_Planning!$P$49:$P$356,$P634,Resource_Planning!AF$49:AF$356))/AF429-1)</f>
        <v>0</v>
      </c>
      <c r="AG634" s="166" t="n">
        <f aca="false">IF(AG429=0,0,(SUMIF(Resource_Planning!$P$49:$P$356,$P634,Resource_Planning!AG$49:AG$356))/AG429-1)</f>
        <v>0</v>
      </c>
      <c r="AH634" s="166" t="n">
        <f aca="false">IF(AH429=0,0,(SUMIF(Resource_Planning!$P$49:$P$356,$P634,Resource_Planning!AH$49:AH$356))/AH429-1)</f>
        <v>0</v>
      </c>
      <c r="AI634" s="166" t="n">
        <f aca="false">IF(AI429=0,0,(SUMIF(Resource_Planning!$P$49:$P$356,$P634,Resource_Planning!AI$49:AI$356))/AI429-1)</f>
        <v>0</v>
      </c>
      <c r="AJ634" s="166" t="n">
        <f aca="false">IF(AJ429=0,0,(SUMIF(Resource_Planning!$P$49:$P$356,$P634,Resource_Planning!AJ$49:AJ$356))/AJ429-1)</f>
        <v>0</v>
      </c>
      <c r="AK634" s="166" t="n">
        <f aca="false">IF(AK429=0,0,(SUMIF(Resource_Planning!$P$49:$P$356,$P634,Resource_Planning!AK$49:AK$356))/AK429-1)</f>
        <v>0</v>
      </c>
      <c r="AL634" s="166" t="n">
        <f aca="false">IF(AL429=0,0,(SUMIF(Resource_Planning!$P$49:$P$356,$P634,Resource_Planning!AL$49:AL$356))/AL429-1)</f>
        <v>0</v>
      </c>
      <c r="AM634" s="166" t="n">
        <f aca="false">IF(AM429=0,0,(SUMIF(Resource_Planning!$P$49:$P$356,$P634,Resource_Planning!AM$49:AM$356))/AM429-1)</f>
        <v>0</v>
      </c>
      <c r="AN634" s="166" t="n">
        <f aca="false">IF(AN429=0,0,(SUMIF(Resource_Planning!$P$49:$P$356,$P634,Resource_Planning!AN$49:AN$356))/AN429-1)</f>
        <v>0</v>
      </c>
      <c r="AO634" s="166" t="n">
        <f aca="false">IF(AO429=0,0,(SUMIF(Resource_Planning!$P$49:$P$356,$P634,Resource_Planning!AO$49:AO$356))/AO429-1)</f>
        <v>0</v>
      </c>
      <c r="AP634" s="166" t="n">
        <f aca="false">IF(AP429=0,0,(SUMIF(Resource_Planning!$P$49:$P$356,$P634,Resource_Planning!AP$49:AP$356))/AP429-1)</f>
        <v>0</v>
      </c>
      <c r="AQ634" s="166" t="n">
        <f aca="false">IF(AQ429=0,0,(SUMIF(Resource_Planning!$P$49:$P$356,$P634,Resource_Planning!AQ$49:AQ$356))/AQ429-1)</f>
        <v>0</v>
      </c>
      <c r="AR634" s="166" t="n">
        <f aca="false">IF(AR429=0,0,(SUMIF(Resource_Planning!$P$49:$P$356,$P634,Resource_Planning!AR$49:AR$356))/AR429-1)</f>
        <v>0</v>
      </c>
      <c r="AS634" s="166" t="n">
        <f aca="false">IF(AS429=0,0,(SUMIF(Resource_Planning!$P$49:$P$356,$P634,Resource_Planning!AS$49:AS$356))/AS429-1)</f>
        <v>0</v>
      </c>
      <c r="AT634" s="166" t="n">
        <f aca="false">IF(AT429=0,0,(SUMIF(Resource_Planning!$P$49:$P$356,$P634,Resource_Planning!AT$49:AT$356))/AT429-1)</f>
        <v>0</v>
      </c>
      <c r="AU634" s="166" t="n">
        <f aca="false">IF(AU429=0,0,(SUMIF(Resource_Planning!$P$49:$P$356,$P634,Resource_Planning!AU$49:AU$356))/AU429-1)</f>
        <v>0</v>
      </c>
      <c r="AV634" s="166" t="n">
        <f aca="false">IF(AV429=0,0,(SUMIF(Resource_Planning!$P$49:$P$356,$P634,Resource_Planning!AV$49:AV$356))/AV429-1)</f>
        <v>0</v>
      </c>
      <c r="AW634" s="166" t="n">
        <f aca="false">IF(AW429=0,0,(SUMIF(Resource_Planning!$P$49:$P$356,$P634,Resource_Planning!AW$49:AW$356))/AW429-1)</f>
        <v>0</v>
      </c>
      <c r="AX634" s="166" t="n">
        <f aca="false">IF(AX429=0,0,(SUMIF(Resource_Planning!$P$49:$P$356,$P634,Resource_Planning!AX$49:AX$356))/AX429-1)</f>
        <v>0</v>
      </c>
      <c r="AY634" s="166" t="n">
        <f aca="false">IF(AY429=0,0,(SUMIF(Resource_Planning!$P$49:$P$356,$P634,Resource_Planning!AY$49:AY$356))/AY429-1)</f>
        <v>0</v>
      </c>
      <c r="AZ634" s="166" t="n">
        <f aca="false">IF(AZ429=0,0,(SUMIF(Resource_Planning!$P$49:$P$356,$P634,Resource_Planning!AZ$49:AZ$356))/AZ429-1)</f>
        <v>0</v>
      </c>
      <c r="BA634" s="166" t="n">
        <f aca="false">IF(BA429=0,0,(SUMIF(Resource_Planning!$P$49:$P$356,$P634,Resource_Planning!BA$49:BA$356))/BA429-1)</f>
        <v>0</v>
      </c>
      <c r="BB634" s="166" t="n">
        <f aca="false">IF(BB429=0,0,(SUMIF(Resource_Planning!$P$49:$P$356,$P634,Resource_Planning!BB$49:BB$356))/BB429-1)</f>
        <v>0</v>
      </c>
    </row>
    <row r="635" s="173" customFormat="true" ht="15" hidden="true" customHeight="false" outlineLevel="1" collapsed="false">
      <c r="E635" s="40"/>
      <c r="K635" s="40"/>
      <c r="L635" s="40"/>
      <c r="M635" s="40"/>
      <c r="N635" s="40"/>
      <c r="P635" s="177" t="n">
        <f aca="false">P293</f>
        <v>0</v>
      </c>
      <c r="Q635" s="40"/>
      <c r="R635" s="178"/>
      <c r="S635" s="166" t="n">
        <f aca="false">IF(S430=0,0,(SUMIF(Resource_Planning!$P$49:$P$356,$P635,Resource_Planning!S$49:S$356))/S430-1)</f>
        <v>0</v>
      </c>
      <c r="T635" s="166" t="n">
        <f aca="false">IF(T430=0,0,(SUMIF(Resource_Planning!$P$49:$P$356,$P635,Resource_Planning!T$49:T$356))/T430-1)</f>
        <v>0</v>
      </c>
      <c r="U635" s="166" t="n">
        <f aca="false">IF(U430=0,0,(SUMIF(Resource_Planning!$P$49:$P$356,$P635,Resource_Planning!U$49:U$356))/U430-1)</f>
        <v>0</v>
      </c>
      <c r="V635" s="166" t="n">
        <f aca="false">IF(V430=0,0,(SUMIF(Resource_Planning!$P$49:$P$356,$P635,Resource_Planning!V$49:V$356))/V430-1)</f>
        <v>0</v>
      </c>
      <c r="W635" s="166" t="n">
        <f aca="false">IF(W430=0,0,(SUMIF(Resource_Planning!$P$49:$P$356,$P635,Resource_Planning!W$49:W$356))/W430-1)</f>
        <v>0</v>
      </c>
      <c r="X635" s="166" t="n">
        <f aca="false">IF(X430=0,0,(SUMIF(Resource_Planning!$P$49:$P$356,$P635,Resource_Planning!X$49:X$356))/X430-1)</f>
        <v>0</v>
      </c>
      <c r="Y635" s="166" t="n">
        <f aca="false">IF(Y430=0,0,(SUMIF(Resource_Planning!$P$49:$P$356,$P635,Resource_Planning!Y$49:Y$356))/Y430-1)</f>
        <v>0</v>
      </c>
      <c r="Z635" s="166" t="n">
        <f aca="false">IF(Z430=0,0,(SUMIF(Resource_Planning!$P$49:$P$356,$P635,Resource_Planning!Z$49:Z$356))/Z430-1)</f>
        <v>0</v>
      </c>
      <c r="AA635" s="166" t="n">
        <f aca="false">IF(AA430=0,0,(SUMIF(Resource_Planning!$P$49:$P$356,$P635,Resource_Planning!AA$49:AA$356))/AA430-1)</f>
        <v>0</v>
      </c>
      <c r="AB635" s="166" t="n">
        <f aca="false">IF(AB430=0,0,(SUMIF(Resource_Planning!$P$49:$P$356,$P635,Resource_Planning!AB$49:AB$356))/AB430-1)</f>
        <v>0</v>
      </c>
      <c r="AC635" s="166" t="n">
        <f aca="false">IF(AC430=0,0,(SUMIF(Resource_Planning!$P$49:$P$356,$P635,Resource_Planning!AC$49:AC$356))/AC430-1)</f>
        <v>0</v>
      </c>
      <c r="AD635" s="166" t="n">
        <f aca="false">IF(AD430=0,0,(SUMIF(Resource_Planning!$P$49:$P$356,$P635,Resource_Planning!AD$49:AD$356))/AD430-1)</f>
        <v>0</v>
      </c>
      <c r="AE635" s="166" t="n">
        <f aca="false">IF(AE430=0,0,(SUMIF(Resource_Planning!$P$49:$P$356,$P635,Resource_Planning!AE$49:AE$356))/AE430-1)</f>
        <v>0</v>
      </c>
      <c r="AF635" s="166" t="n">
        <f aca="false">IF(AF430=0,0,(SUMIF(Resource_Planning!$P$49:$P$356,$P635,Resource_Planning!AF$49:AF$356))/AF430-1)</f>
        <v>0</v>
      </c>
      <c r="AG635" s="166" t="n">
        <f aca="false">IF(AG430=0,0,(SUMIF(Resource_Planning!$P$49:$P$356,$P635,Resource_Planning!AG$49:AG$356))/AG430-1)</f>
        <v>0</v>
      </c>
      <c r="AH635" s="166" t="n">
        <f aca="false">IF(AH430=0,0,(SUMIF(Resource_Planning!$P$49:$P$356,$P635,Resource_Planning!AH$49:AH$356))/AH430-1)</f>
        <v>0</v>
      </c>
      <c r="AI635" s="166" t="n">
        <f aca="false">IF(AI430=0,0,(SUMIF(Resource_Planning!$P$49:$P$356,$P635,Resource_Planning!AI$49:AI$356))/AI430-1)</f>
        <v>0</v>
      </c>
      <c r="AJ635" s="166" t="n">
        <f aca="false">IF(AJ430=0,0,(SUMIF(Resource_Planning!$P$49:$P$356,$P635,Resource_Planning!AJ$49:AJ$356))/AJ430-1)</f>
        <v>0</v>
      </c>
      <c r="AK635" s="166" t="n">
        <f aca="false">IF(AK430=0,0,(SUMIF(Resource_Planning!$P$49:$P$356,$P635,Resource_Planning!AK$49:AK$356))/AK430-1)</f>
        <v>0</v>
      </c>
      <c r="AL635" s="166" t="n">
        <f aca="false">IF(AL430=0,0,(SUMIF(Resource_Planning!$P$49:$P$356,$P635,Resource_Planning!AL$49:AL$356))/AL430-1)</f>
        <v>0</v>
      </c>
      <c r="AM635" s="166" t="n">
        <f aca="false">IF(AM430=0,0,(SUMIF(Resource_Planning!$P$49:$P$356,$P635,Resource_Planning!AM$49:AM$356))/AM430-1)</f>
        <v>0</v>
      </c>
      <c r="AN635" s="166" t="n">
        <f aca="false">IF(AN430=0,0,(SUMIF(Resource_Planning!$P$49:$P$356,$P635,Resource_Planning!AN$49:AN$356))/AN430-1)</f>
        <v>0</v>
      </c>
      <c r="AO635" s="166" t="n">
        <f aca="false">IF(AO430=0,0,(SUMIF(Resource_Planning!$P$49:$P$356,$P635,Resource_Planning!AO$49:AO$356))/AO430-1)</f>
        <v>0</v>
      </c>
      <c r="AP635" s="166" t="n">
        <f aca="false">IF(AP430=0,0,(SUMIF(Resource_Planning!$P$49:$P$356,$P635,Resource_Planning!AP$49:AP$356))/AP430-1)</f>
        <v>0</v>
      </c>
      <c r="AQ635" s="166" t="n">
        <f aca="false">IF(AQ430=0,0,(SUMIF(Resource_Planning!$P$49:$P$356,$P635,Resource_Planning!AQ$49:AQ$356))/AQ430-1)</f>
        <v>0</v>
      </c>
      <c r="AR635" s="166" t="n">
        <f aca="false">IF(AR430=0,0,(SUMIF(Resource_Planning!$P$49:$P$356,$P635,Resource_Planning!AR$49:AR$356))/AR430-1)</f>
        <v>0</v>
      </c>
      <c r="AS635" s="166" t="n">
        <f aca="false">IF(AS430=0,0,(SUMIF(Resource_Planning!$P$49:$P$356,$P635,Resource_Planning!AS$49:AS$356))/AS430-1)</f>
        <v>0</v>
      </c>
      <c r="AT635" s="166" t="n">
        <f aca="false">IF(AT430=0,0,(SUMIF(Resource_Planning!$P$49:$P$356,$P635,Resource_Planning!AT$49:AT$356))/AT430-1)</f>
        <v>0</v>
      </c>
      <c r="AU635" s="166" t="n">
        <f aca="false">IF(AU430=0,0,(SUMIF(Resource_Planning!$P$49:$P$356,$P635,Resource_Planning!AU$49:AU$356))/AU430-1)</f>
        <v>0</v>
      </c>
      <c r="AV635" s="166" t="n">
        <f aca="false">IF(AV430=0,0,(SUMIF(Resource_Planning!$P$49:$P$356,$P635,Resource_Planning!AV$49:AV$356))/AV430-1)</f>
        <v>0</v>
      </c>
      <c r="AW635" s="166" t="n">
        <f aca="false">IF(AW430=0,0,(SUMIF(Resource_Planning!$P$49:$P$356,$P635,Resource_Planning!AW$49:AW$356))/AW430-1)</f>
        <v>0</v>
      </c>
      <c r="AX635" s="166" t="n">
        <f aca="false">IF(AX430=0,0,(SUMIF(Resource_Planning!$P$49:$P$356,$P635,Resource_Planning!AX$49:AX$356))/AX430-1)</f>
        <v>0</v>
      </c>
      <c r="AY635" s="166" t="n">
        <f aca="false">IF(AY430=0,0,(SUMIF(Resource_Planning!$P$49:$P$356,$P635,Resource_Planning!AY$49:AY$356))/AY430-1)</f>
        <v>0</v>
      </c>
      <c r="AZ635" s="166" t="n">
        <f aca="false">IF(AZ430=0,0,(SUMIF(Resource_Planning!$P$49:$P$356,$P635,Resource_Planning!AZ$49:AZ$356))/AZ430-1)</f>
        <v>0</v>
      </c>
      <c r="BA635" s="166" t="n">
        <f aca="false">IF(BA430=0,0,(SUMIF(Resource_Planning!$P$49:$P$356,$P635,Resource_Planning!BA$49:BA$356))/BA430-1)</f>
        <v>0</v>
      </c>
      <c r="BB635" s="166" t="n">
        <f aca="false">IF(BB430=0,0,(SUMIF(Resource_Planning!$P$49:$P$356,$P635,Resource_Planning!BB$49:BB$356))/BB430-1)</f>
        <v>0</v>
      </c>
    </row>
    <row r="636" s="173" customFormat="true" ht="15" hidden="true" customHeight="false" outlineLevel="1" collapsed="false">
      <c r="E636" s="40"/>
      <c r="K636" s="40"/>
      <c r="L636" s="40"/>
      <c r="M636" s="40"/>
      <c r="N636" s="40"/>
      <c r="P636" s="177" t="n">
        <f aca="false">P294</f>
        <v>0</v>
      </c>
      <c r="Q636" s="40"/>
      <c r="R636" s="178"/>
      <c r="S636" s="166" t="n">
        <f aca="false">IF(S431=0,0,(SUMIF(Resource_Planning!$P$49:$P$356,$P636,Resource_Planning!S$49:S$356))/S431-1)</f>
        <v>0</v>
      </c>
      <c r="T636" s="166" t="n">
        <f aca="false">IF(T431=0,0,(SUMIF(Resource_Planning!$P$49:$P$356,$P636,Resource_Planning!T$49:T$356))/T431-1)</f>
        <v>0</v>
      </c>
      <c r="U636" s="166" t="n">
        <f aca="false">IF(U431=0,0,(SUMIF(Resource_Planning!$P$49:$P$356,$P636,Resource_Planning!U$49:U$356))/U431-1)</f>
        <v>0</v>
      </c>
      <c r="V636" s="166" t="n">
        <f aca="false">IF(V431=0,0,(SUMIF(Resource_Planning!$P$49:$P$356,$P636,Resource_Planning!V$49:V$356))/V431-1)</f>
        <v>0</v>
      </c>
      <c r="W636" s="166" t="n">
        <f aca="false">IF(W431=0,0,(SUMIF(Resource_Planning!$P$49:$P$356,$P636,Resource_Planning!W$49:W$356))/W431-1)</f>
        <v>0</v>
      </c>
      <c r="X636" s="166" t="n">
        <f aca="false">IF(X431=0,0,(SUMIF(Resource_Planning!$P$49:$P$356,$P636,Resource_Planning!X$49:X$356))/X431-1)</f>
        <v>0</v>
      </c>
      <c r="Y636" s="166" t="n">
        <f aca="false">IF(Y431=0,0,(SUMIF(Resource_Planning!$P$49:$P$356,$P636,Resource_Planning!Y$49:Y$356))/Y431-1)</f>
        <v>0</v>
      </c>
      <c r="Z636" s="166" t="n">
        <f aca="false">IF(Z431=0,0,(SUMIF(Resource_Planning!$P$49:$P$356,$P636,Resource_Planning!Z$49:Z$356))/Z431-1)</f>
        <v>0</v>
      </c>
      <c r="AA636" s="166" t="n">
        <f aca="false">IF(AA431=0,0,(SUMIF(Resource_Planning!$P$49:$P$356,$P636,Resource_Planning!AA$49:AA$356))/AA431-1)</f>
        <v>0</v>
      </c>
      <c r="AB636" s="166" t="n">
        <f aca="false">IF(AB431=0,0,(SUMIF(Resource_Planning!$P$49:$P$356,$P636,Resource_Planning!AB$49:AB$356))/AB431-1)</f>
        <v>0</v>
      </c>
      <c r="AC636" s="166" t="n">
        <f aca="false">IF(AC431=0,0,(SUMIF(Resource_Planning!$P$49:$P$356,$P636,Resource_Planning!AC$49:AC$356))/AC431-1)</f>
        <v>0</v>
      </c>
      <c r="AD636" s="166" t="n">
        <f aca="false">IF(AD431=0,0,(SUMIF(Resource_Planning!$P$49:$P$356,$P636,Resource_Planning!AD$49:AD$356))/AD431-1)</f>
        <v>0</v>
      </c>
      <c r="AE636" s="166" t="n">
        <f aca="false">IF(AE431=0,0,(SUMIF(Resource_Planning!$P$49:$P$356,$P636,Resource_Planning!AE$49:AE$356))/AE431-1)</f>
        <v>0</v>
      </c>
      <c r="AF636" s="166" t="n">
        <f aca="false">IF(AF431=0,0,(SUMIF(Resource_Planning!$P$49:$P$356,$P636,Resource_Planning!AF$49:AF$356))/AF431-1)</f>
        <v>0</v>
      </c>
      <c r="AG636" s="166" t="n">
        <f aca="false">IF(AG431=0,0,(SUMIF(Resource_Planning!$P$49:$P$356,$P636,Resource_Planning!AG$49:AG$356))/AG431-1)</f>
        <v>0</v>
      </c>
      <c r="AH636" s="166" t="n">
        <f aca="false">IF(AH431=0,0,(SUMIF(Resource_Planning!$P$49:$P$356,$P636,Resource_Planning!AH$49:AH$356))/AH431-1)</f>
        <v>0</v>
      </c>
      <c r="AI636" s="166" t="n">
        <f aca="false">IF(AI431=0,0,(SUMIF(Resource_Planning!$P$49:$P$356,$P636,Resource_Planning!AI$49:AI$356))/AI431-1)</f>
        <v>0</v>
      </c>
      <c r="AJ636" s="166" t="n">
        <f aca="false">IF(AJ431=0,0,(SUMIF(Resource_Planning!$P$49:$P$356,$P636,Resource_Planning!AJ$49:AJ$356))/AJ431-1)</f>
        <v>0</v>
      </c>
      <c r="AK636" s="166" t="n">
        <f aca="false">IF(AK431=0,0,(SUMIF(Resource_Planning!$P$49:$P$356,$P636,Resource_Planning!AK$49:AK$356))/AK431-1)</f>
        <v>0</v>
      </c>
      <c r="AL636" s="166" t="n">
        <f aca="false">IF(AL431=0,0,(SUMIF(Resource_Planning!$P$49:$P$356,$P636,Resource_Planning!AL$49:AL$356))/AL431-1)</f>
        <v>0</v>
      </c>
      <c r="AM636" s="166" t="n">
        <f aca="false">IF(AM431=0,0,(SUMIF(Resource_Planning!$P$49:$P$356,$P636,Resource_Planning!AM$49:AM$356))/AM431-1)</f>
        <v>0</v>
      </c>
      <c r="AN636" s="166" t="n">
        <f aca="false">IF(AN431=0,0,(SUMIF(Resource_Planning!$P$49:$P$356,$P636,Resource_Planning!AN$49:AN$356))/AN431-1)</f>
        <v>0</v>
      </c>
      <c r="AO636" s="166" t="n">
        <f aca="false">IF(AO431=0,0,(SUMIF(Resource_Planning!$P$49:$P$356,$P636,Resource_Planning!AO$49:AO$356))/AO431-1)</f>
        <v>0</v>
      </c>
      <c r="AP636" s="166" t="n">
        <f aca="false">IF(AP431=0,0,(SUMIF(Resource_Planning!$P$49:$P$356,$P636,Resource_Planning!AP$49:AP$356))/AP431-1)</f>
        <v>0</v>
      </c>
      <c r="AQ636" s="166" t="n">
        <f aca="false">IF(AQ431=0,0,(SUMIF(Resource_Planning!$P$49:$P$356,$P636,Resource_Planning!AQ$49:AQ$356))/AQ431-1)</f>
        <v>0</v>
      </c>
      <c r="AR636" s="166" t="n">
        <f aca="false">IF(AR431=0,0,(SUMIF(Resource_Planning!$P$49:$P$356,$P636,Resource_Planning!AR$49:AR$356))/AR431-1)</f>
        <v>0</v>
      </c>
      <c r="AS636" s="166" t="n">
        <f aca="false">IF(AS431=0,0,(SUMIF(Resource_Planning!$P$49:$P$356,$P636,Resource_Planning!AS$49:AS$356))/AS431-1)</f>
        <v>0</v>
      </c>
      <c r="AT636" s="166" t="n">
        <f aca="false">IF(AT431=0,0,(SUMIF(Resource_Planning!$P$49:$P$356,$P636,Resource_Planning!AT$49:AT$356))/AT431-1)</f>
        <v>0</v>
      </c>
      <c r="AU636" s="166" t="n">
        <f aca="false">IF(AU431=0,0,(SUMIF(Resource_Planning!$P$49:$P$356,$P636,Resource_Planning!AU$49:AU$356))/AU431-1)</f>
        <v>0</v>
      </c>
      <c r="AV636" s="166" t="n">
        <f aca="false">IF(AV431=0,0,(SUMIF(Resource_Planning!$P$49:$P$356,$P636,Resource_Planning!AV$49:AV$356))/AV431-1)</f>
        <v>0</v>
      </c>
      <c r="AW636" s="166" t="n">
        <f aca="false">IF(AW431=0,0,(SUMIF(Resource_Planning!$P$49:$P$356,$P636,Resource_Planning!AW$49:AW$356))/AW431-1)</f>
        <v>0</v>
      </c>
      <c r="AX636" s="166" t="n">
        <f aca="false">IF(AX431=0,0,(SUMIF(Resource_Planning!$P$49:$P$356,$P636,Resource_Planning!AX$49:AX$356))/AX431-1)</f>
        <v>0</v>
      </c>
      <c r="AY636" s="166" t="n">
        <f aca="false">IF(AY431=0,0,(SUMIF(Resource_Planning!$P$49:$P$356,$P636,Resource_Planning!AY$49:AY$356))/AY431-1)</f>
        <v>0</v>
      </c>
      <c r="AZ636" s="166" t="n">
        <f aca="false">IF(AZ431=0,0,(SUMIF(Resource_Planning!$P$49:$P$356,$P636,Resource_Planning!AZ$49:AZ$356))/AZ431-1)</f>
        <v>0</v>
      </c>
      <c r="BA636" s="166" t="n">
        <f aca="false">IF(BA431=0,0,(SUMIF(Resource_Planning!$P$49:$P$356,$P636,Resource_Planning!BA$49:BA$356))/BA431-1)</f>
        <v>0</v>
      </c>
      <c r="BB636" s="166" t="n">
        <f aca="false">IF(BB431=0,0,(SUMIF(Resource_Planning!$P$49:$P$356,$P636,Resource_Planning!BB$49:BB$356))/BB431-1)</f>
        <v>0</v>
      </c>
    </row>
    <row r="637" s="173" customFormat="true" ht="15" hidden="true" customHeight="false" outlineLevel="1" collapsed="false">
      <c r="E637" s="40"/>
      <c r="K637" s="40"/>
      <c r="L637" s="40"/>
      <c r="M637" s="40"/>
      <c r="N637" s="40"/>
      <c r="P637" s="177" t="n">
        <f aca="false">P295</f>
        <v>0</v>
      </c>
      <c r="Q637" s="40"/>
      <c r="R637" s="178"/>
      <c r="S637" s="166" t="n">
        <f aca="false">IF(S432=0,0,(SUMIF(Resource_Planning!$P$49:$P$356,$P637,Resource_Planning!S$49:S$356))/S432-1)</f>
        <v>0</v>
      </c>
      <c r="T637" s="166" t="n">
        <f aca="false">IF(T432=0,0,(SUMIF(Resource_Planning!$P$49:$P$356,$P637,Resource_Planning!T$49:T$356))/T432-1)</f>
        <v>0</v>
      </c>
      <c r="U637" s="166" t="n">
        <f aca="false">IF(U432=0,0,(SUMIF(Resource_Planning!$P$49:$P$356,$P637,Resource_Planning!U$49:U$356))/U432-1)</f>
        <v>0</v>
      </c>
      <c r="V637" s="166" t="n">
        <f aca="false">IF(V432=0,0,(SUMIF(Resource_Planning!$P$49:$P$356,$P637,Resource_Planning!V$49:V$356))/V432-1)</f>
        <v>0</v>
      </c>
      <c r="W637" s="166" t="n">
        <f aca="false">IF(W432=0,0,(SUMIF(Resource_Planning!$P$49:$P$356,$P637,Resource_Planning!W$49:W$356))/W432-1)</f>
        <v>0</v>
      </c>
      <c r="X637" s="166" t="n">
        <f aca="false">IF(X432=0,0,(SUMIF(Resource_Planning!$P$49:$P$356,$P637,Resource_Planning!X$49:X$356))/X432-1)</f>
        <v>0</v>
      </c>
      <c r="Y637" s="166" t="n">
        <f aca="false">IF(Y432=0,0,(SUMIF(Resource_Planning!$P$49:$P$356,$P637,Resource_Planning!Y$49:Y$356))/Y432-1)</f>
        <v>0</v>
      </c>
      <c r="Z637" s="166" t="n">
        <f aca="false">IF(Z432=0,0,(SUMIF(Resource_Planning!$P$49:$P$356,$P637,Resource_Planning!Z$49:Z$356))/Z432-1)</f>
        <v>0</v>
      </c>
      <c r="AA637" s="166" t="n">
        <f aca="false">IF(AA432=0,0,(SUMIF(Resource_Planning!$P$49:$P$356,$P637,Resource_Planning!AA$49:AA$356))/AA432-1)</f>
        <v>0</v>
      </c>
      <c r="AB637" s="166" t="n">
        <f aca="false">IF(AB432=0,0,(SUMIF(Resource_Planning!$P$49:$P$356,$P637,Resource_Planning!AB$49:AB$356))/AB432-1)</f>
        <v>0</v>
      </c>
      <c r="AC637" s="166" t="n">
        <f aca="false">IF(AC432=0,0,(SUMIF(Resource_Planning!$P$49:$P$356,$P637,Resource_Planning!AC$49:AC$356))/AC432-1)</f>
        <v>0</v>
      </c>
      <c r="AD637" s="166" t="n">
        <f aca="false">IF(AD432=0,0,(SUMIF(Resource_Planning!$P$49:$P$356,$P637,Resource_Planning!AD$49:AD$356))/AD432-1)</f>
        <v>0</v>
      </c>
      <c r="AE637" s="166" t="n">
        <f aca="false">IF(AE432=0,0,(SUMIF(Resource_Planning!$P$49:$P$356,$P637,Resource_Planning!AE$49:AE$356))/AE432-1)</f>
        <v>0</v>
      </c>
      <c r="AF637" s="166" t="n">
        <f aca="false">IF(AF432=0,0,(SUMIF(Resource_Planning!$P$49:$P$356,$P637,Resource_Planning!AF$49:AF$356))/AF432-1)</f>
        <v>0</v>
      </c>
      <c r="AG637" s="166" t="n">
        <f aca="false">IF(AG432=0,0,(SUMIF(Resource_Planning!$P$49:$P$356,$P637,Resource_Planning!AG$49:AG$356))/AG432-1)</f>
        <v>0</v>
      </c>
      <c r="AH637" s="166" t="n">
        <f aca="false">IF(AH432=0,0,(SUMIF(Resource_Planning!$P$49:$P$356,$P637,Resource_Planning!AH$49:AH$356))/AH432-1)</f>
        <v>0</v>
      </c>
      <c r="AI637" s="166" t="n">
        <f aca="false">IF(AI432=0,0,(SUMIF(Resource_Planning!$P$49:$P$356,$P637,Resource_Planning!AI$49:AI$356))/AI432-1)</f>
        <v>0</v>
      </c>
      <c r="AJ637" s="166" t="n">
        <f aca="false">IF(AJ432=0,0,(SUMIF(Resource_Planning!$P$49:$P$356,$P637,Resource_Planning!AJ$49:AJ$356))/AJ432-1)</f>
        <v>0</v>
      </c>
      <c r="AK637" s="166" t="n">
        <f aca="false">IF(AK432=0,0,(SUMIF(Resource_Planning!$P$49:$P$356,$P637,Resource_Planning!AK$49:AK$356))/AK432-1)</f>
        <v>0</v>
      </c>
      <c r="AL637" s="166" t="n">
        <f aca="false">IF(AL432=0,0,(SUMIF(Resource_Planning!$P$49:$P$356,$P637,Resource_Planning!AL$49:AL$356))/AL432-1)</f>
        <v>0</v>
      </c>
      <c r="AM637" s="166" t="n">
        <f aca="false">IF(AM432=0,0,(SUMIF(Resource_Planning!$P$49:$P$356,$P637,Resource_Planning!AM$49:AM$356))/AM432-1)</f>
        <v>0</v>
      </c>
      <c r="AN637" s="166" t="n">
        <f aca="false">IF(AN432=0,0,(SUMIF(Resource_Planning!$P$49:$P$356,$P637,Resource_Planning!AN$49:AN$356))/AN432-1)</f>
        <v>0</v>
      </c>
      <c r="AO637" s="166" t="n">
        <f aca="false">IF(AO432=0,0,(SUMIF(Resource_Planning!$P$49:$P$356,$P637,Resource_Planning!AO$49:AO$356))/AO432-1)</f>
        <v>0</v>
      </c>
      <c r="AP637" s="166" t="n">
        <f aca="false">IF(AP432=0,0,(SUMIF(Resource_Planning!$P$49:$P$356,$P637,Resource_Planning!AP$49:AP$356))/AP432-1)</f>
        <v>0</v>
      </c>
      <c r="AQ637" s="166" t="n">
        <f aca="false">IF(AQ432=0,0,(SUMIF(Resource_Planning!$P$49:$P$356,$P637,Resource_Planning!AQ$49:AQ$356))/AQ432-1)</f>
        <v>0</v>
      </c>
      <c r="AR637" s="166" t="n">
        <f aca="false">IF(AR432=0,0,(SUMIF(Resource_Planning!$P$49:$P$356,$P637,Resource_Planning!AR$49:AR$356))/AR432-1)</f>
        <v>0</v>
      </c>
      <c r="AS637" s="166" t="n">
        <f aca="false">IF(AS432=0,0,(SUMIF(Resource_Planning!$P$49:$P$356,$P637,Resource_Planning!AS$49:AS$356))/AS432-1)</f>
        <v>0</v>
      </c>
      <c r="AT637" s="166" t="n">
        <f aca="false">IF(AT432=0,0,(SUMIF(Resource_Planning!$P$49:$P$356,$P637,Resource_Planning!AT$49:AT$356))/AT432-1)</f>
        <v>0</v>
      </c>
      <c r="AU637" s="166" t="n">
        <f aca="false">IF(AU432=0,0,(SUMIF(Resource_Planning!$P$49:$P$356,$P637,Resource_Planning!AU$49:AU$356))/AU432-1)</f>
        <v>0</v>
      </c>
      <c r="AV637" s="166" t="n">
        <f aca="false">IF(AV432=0,0,(SUMIF(Resource_Planning!$P$49:$P$356,$P637,Resource_Planning!AV$49:AV$356))/AV432-1)</f>
        <v>0</v>
      </c>
      <c r="AW637" s="166" t="n">
        <f aca="false">IF(AW432=0,0,(SUMIF(Resource_Planning!$P$49:$P$356,$P637,Resource_Planning!AW$49:AW$356))/AW432-1)</f>
        <v>0</v>
      </c>
      <c r="AX637" s="166" t="n">
        <f aca="false">IF(AX432=0,0,(SUMIF(Resource_Planning!$P$49:$P$356,$P637,Resource_Planning!AX$49:AX$356))/AX432-1)</f>
        <v>0</v>
      </c>
      <c r="AY637" s="166" t="n">
        <f aca="false">IF(AY432=0,0,(SUMIF(Resource_Planning!$P$49:$P$356,$P637,Resource_Planning!AY$49:AY$356))/AY432-1)</f>
        <v>0</v>
      </c>
      <c r="AZ637" s="166" t="n">
        <f aca="false">IF(AZ432=0,0,(SUMIF(Resource_Planning!$P$49:$P$356,$P637,Resource_Planning!AZ$49:AZ$356))/AZ432-1)</f>
        <v>0</v>
      </c>
      <c r="BA637" s="166" t="n">
        <f aca="false">IF(BA432=0,0,(SUMIF(Resource_Planning!$P$49:$P$356,$P637,Resource_Planning!BA$49:BA$356))/BA432-1)</f>
        <v>0</v>
      </c>
      <c r="BB637" s="166" t="n">
        <f aca="false">IF(BB432=0,0,(SUMIF(Resource_Planning!$P$49:$P$356,$P637,Resource_Planning!BB$49:BB$356))/BB432-1)</f>
        <v>0</v>
      </c>
    </row>
    <row r="638" s="173" customFormat="true" ht="15" hidden="true" customHeight="false" outlineLevel="1" collapsed="false">
      <c r="E638" s="40"/>
      <c r="K638" s="40"/>
      <c r="L638" s="40"/>
      <c r="M638" s="40"/>
      <c r="N638" s="40"/>
      <c r="P638" s="177" t="n">
        <f aca="false">P296</f>
        <v>0</v>
      </c>
      <c r="Q638" s="40"/>
      <c r="R638" s="178"/>
      <c r="S638" s="166" t="n">
        <f aca="false">IF(S433=0,0,(SUMIF(Resource_Planning!$P$49:$P$356,$P638,Resource_Planning!S$49:S$356))/S433-1)</f>
        <v>0</v>
      </c>
      <c r="T638" s="166" t="n">
        <f aca="false">IF(T433=0,0,(SUMIF(Resource_Planning!$P$49:$P$356,$P638,Resource_Planning!T$49:T$356))/T433-1)</f>
        <v>0</v>
      </c>
      <c r="U638" s="166" t="n">
        <f aca="false">IF(U433=0,0,(SUMIF(Resource_Planning!$P$49:$P$356,$P638,Resource_Planning!U$49:U$356))/U433-1)</f>
        <v>0</v>
      </c>
      <c r="V638" s="166" t="n">
        <f aca="false">IF(V433=0,0,(SUMIF(Resource_Planning!$P$49:$P$356,$P638,Resource_Planning!V$49:V$356))/V433-1)</f>
        <v>0</v>
      </c>
      <c r="W638" s="166" t="n">
        <f aca="false">IF(W433=0,0,(SUMIF(Resource_Planning!$P$49:$P$356,$P638,Resource_Planning!W$49:W$356))/W433-1)</f>
        <v>0</v>
      </c>
      <c r="X638" s="166" t="n">
        <f aca="false">IF(X433=0,0,(SUMIF(Resource_Planning!$P$49:$P$356,$P638,Resource_Planning!X$49:X$356))/X433-1)</f>
        <v>0</v>
      </c>
      <c r="Y638" s="166" t="n">
        <f aca="false">IF(Y433=0,0,(SUMIF(Resource_Planning!$P$49:$P$356,$P638,Resource_Planning!Y$49:Y$356))/Y433-1)</f>
        <v>0</v>
      </c>
      <c r="Z638" s="166" t="n">
        <f aca="false">IF(Z433=0,0,(SUMIF(Resource_Planning!$P$49:$P$356,$P638,Resource_Planning!Z$49:Z$356))/Z433-1)</f>
        <v>0</v>
      </c>
      <c r="AA638" s="166" t="n">
        <f aca="false">IF(AA433=0,0,(SUMIF(Resource_Planning!$P$49:$P$356,$P638,Resource_Planning!AA$49:AA$356))/AA433-1)</f>
        <v>0</v>
      </c>
      <c r="AB638" s="166" t="n">
        <f aca="false">IF(AB433=0,0,(SUMIF(Resource_Planning!$P$49:$P$356,$P638,Resource_Planning!AB$49:AB$356))/AB433-1)</f>
        <v>0</v>
      </c>
      <c r="AC638" s="166" t="n">
        <f aca="false">IF(AC433=0,0,(SUMIF(Resource_Planning!$P$49:$P$356,$P638,Resource_Planning!AC$49:AC$356))/AC433-1)</f>
        <v>0</v>
      </c>
      <c r="AD638" s="166" t="n">
        <f aca="false">IF(AD433=0,0,(SUMIF(Resource_Planning!$P$49:$P$356,$P638,Resource_Planning!AD$49:AD$356))/AD433-1)</f>
        <v>0</v>
      </c>
      <c r="AE638" s="166" t="n">
        <f aca="false">IF(AE433=0,0,(SUMIF(Resource_Planning!$P$49:$P$356,$P638,Resource_Planning!AE$49:AE$356))/AE433-1)</f>
        <v>0</v>
      </c>
      <c r="AF638" s="166" t="n">
        <f aca="false">IF(AF433=0,0,(SUMIF(Resource_Planning!$P$49:$P$356,$P638,Resource_Planning!AF$49:AF$356))/AF433-1)</f>
        <v>0</v>
      </c>
      <c r="AG638" s="166" t="n">
        <f aca="false">IF(AG433=0,0,(SUMIF(Resource_Planning!$P$49:$P$356,$P638,Resource_Planning!AG$49:AG$356))/AG433-1)</f>
        <v>0</v>
      </c>
      <c r="AH638" s="166" t="n">
        <f aca="false">IF(AH433=0,0,(SUMIF(Resource_Planning!$P$49:$P$356,$P638,Resource_Planning!AH$49:AH$356))/AH433-1)</f>
        <v>0</v>
      </c>
      <c r="AI638" s="166" t="n">
        <f aca="false">IF(AI433=0,0,(SUMIF(Resource_Planning!$P$49:$P$356,$P638,Resource_Planning!AI$49:AI$356))/AI433-1)</f>
        <v>0</v>
      </c>
      <c r="AJ638" s="166" t="n">
        <f aca="false">IF(AJ433=0,0,(SUMIF(Resource_Planning!$P$49:$P$356,$P638,Resource_Planning!AJ$49:AJ$356))/AJ433-1)</f>
        <v>0</v>
      </c>
      <c r="AK638" s="166" t="n">
        <f aca="false">IF(AK433=0,0,(SUMIF(Resource_Planning!$P$49:$P$356,$P638,Resource_Planning!AK$49:AK$356))/AK433-1)</f>
        <v>0</v>
      </c>
      <c r="AL638" s="166" t="n">
        <f aca="false">IF(AL433=0,0,(SUMIF(Resource_Planning!$P$49:$P$356,$P638,Resource_Planning!AL$49:AL$356))/AL433-1)</f>
        <v>0</v>
      </c>
      <c r="AM638" s="166" t="n">
        <f aca="false">IF(AM433=0,0,(SUMIF(Resource_Planning!$P$49:$P$356,$P638,Resource_Planning!AM$49:AM$356))/AM433-1)</f>
        <v>0</v>
      </c>
      <c r="AN638" s="166" t="n">
        <f aca="false">IF(AN433=0,0,(SUMIF(Resource_Planning!$P$49:$P$356,$P638,Resource_Planning!AN$49:AN$356))/AN433-1)</f>
        <v>0</v>
      </c>
      <c r="AO638" s="166" t="n">
        <f aca="false">IF(AO433=0,0,(SUMIF(Resource_Planning!$P$49:$P$356,$P638,Resource_Planning!AO$49:AO$356))/AO433-1)</f>
        <v>0</v>
      </c>
      <c r="AP638" s="166" t="n">
        <f aca="false">IF(AP433=0,0,(SUMIF(Resource_Planning!$P$49:$P$356,$P638,Resource_Planning!AP$49:AP$356))/AP433-1)</f>
        <v>0</v>
      </c>
      <c r="AQ638" s="166" t="n">
        <f aca="false">IF(AQ433=0,0,(SUMIF(Resource_Planning!$P$49:$P$356,$P638,Resource_Planning!AQ$49:AQ$356))/AQ433-1)</f>
        <v>0</v>
      </c>
      <c r="AR638" s="166" t="n">
        <f aca="false">IF(AR433=0,0,(SUMIF(Resource_Planning!$P$49:$P$356,$P638,Resource_Planning!AR$49:AR$356))/AR433-1)</f>
        <v>0</v>
      </c>
      <c r="AS638" s="166" t="n">
        <f aca="false">IF(AS433=0,0,(SUMIF(Resource_Planning!$P$49:$P$356,$P638,Resource_Planning!AS$49:AS$356))/AS433-1)</f>
        <v>0</v>
      </c>
      <c r="AT638" s="166" t="n">
        <f aca="false">IF(AT433=0,0,(SUMIF(Resource_Planning!$P$49:$P$356,$P638,Resource_Planning!AT$49:AT$356))/AT433-1)</f>
        <v>0</v>
      </c>
      <c r="AU638" s="166" t="n">
        <f aca="false">IF(AU433=0,0,(SUMIF(Resource_Planning!$P$49:$P$356,$P638,Resource_Planning!AU$49:AU$356))/AU433-1)</f>
        <v>0</v>
      </c>
      <c r="AV638" s="166" t="n">
        <f aca="false">IF(AV433=0,0,(SUMIF(Resource_Planning!$P$49:$P$356,$P638,Resource_Planning!AV$49:AV$356))/AV433-1)</f>
        <v>0</v>
      </c>
      <c r="AW638" s="166" t="n">
        <f aca="false">IF(AW433=0,0,(SUMIF(Resource_Planning!$P$49:$P$356,$P638,Resource_Planning!AW$49:AW$356))/AW433-1)</f>
        <v>0</v>
      </c>
      <c r="AX638" s="166" t="n">
        <f aca="false">IF(AX433=0,0,(SUMIF(Resource_Planning!$P$49:$P$356,$P638,Resource_Planning!AX$49:AX$356))/AX433-1)</f>
        <v>0</v>
      </c>
      <c r="AY638" s="166" t="n">
        <f aca="false">IF(AY433=0,0,(SUMIF(Resource_Planning!$P$49:$P$356,$P638,Resource_Planning!AY$49:AY$356))/AY433-1)</f>
        <v>0</v>
      </c>
      <c r="AZ638" s="166" t="n">
        <f aca="false">IF(AZ433=0,0,(SUMIF(Resource_Planning!$P$49:$P$356,$P638,Resource_Planning!AZ$49:AZ$356))/AZ433-1)</f>
        <v>0</v>
      </c>
      <c r="BA638" s="166" t="n">
        <f aca="false">IF(BA433=0,0,(SUMIF(Resource_Planning!$P$49:$P$356,$P638,Resource_Planning!BA$49:BA$356))/BA433-1)</f>
        <v>0</v>
      </c>
      <c r="BB638" s="166" t="n">
        <f aca="false">IF(BB433=0,0,(SUMIF(Resource_Planning!$P$49:$P$356,$P638,Resource_Planning!BB$49:BB$356))/BB433-1)</f>
        <v>0</v>
      </c>
    </row>
    <row r="639" s="173" customFormat="true" ht="15" hidden="true" customHeight="false" outlineLevel="1" collapsed="false">
      <c r="E639" s="40"/>
      <c r="K639" s="40"/>
      <c r="L639" s="40"/>
      <c r="M639" s="40"/>
      <c r="N639" s="40"/>
      <c r="P639" s="177" t="n">
        <f aca="false">P297</f>
        <v>0</v>
      </c>
      <c r="Q639" s="40"/>
      <c r="R639" s="178"/>
      <c r="S639" s="166" t="n">
        <f aca="false">IF(S434=0,0,(SUMIF(Resource_Planning!$P$49:$P$356,$P639,Resource_Planning!S$49:S$356))/S434-1)</f>
        <v>0</v>
      </c>
      <c r="T639" s="166" t="n">
        <f aca="false">IF(T434=0,0,(SUMIF(Resource_Planning!$P$49:$P$356,$P639,Resource_Planning!T$49:T$356))/T434-1)</f>
        <v>0</v>
      </c>
      <c r="U639" s="166" t="n">
        <f aca="false">IF(U434=0,0,(SUMIF(Resource_Planning!$P$49:$P$356,$P639,Resource_Planning!U$49:U$356))/U434-1)</f>
        <v>0</v>
      </c>
      <c r="V639" s="166" t="n">
        <f aca="false">IF(V434=0,0,(SUMIF(Resource_Planning!$P$49:$P$356,$P639,Resource_Planning!V$49:V$356))/V434-1)</f>
        <v>0</v>
      </c>
      <c r="W639" s="166" t="n">
        <f aca="false">IF(W434=0,0,(SUMIF(Resource_Planning!$P$49:$P$356,$P639,Resource_Planning!W$49:W$356))/W434-1)</f>
        <v>0</v>
      </c>
      <c r="X639" s="166" t="n">
        <f aca="false">IF(X434=0,0,(SUMIF(Resource_Planning!$P$49:$P$356,$P639,Resource_Planning!X$49:X$356))/X434-1)</f>
        <v>0</v>
      </c>
      <c r="Y639" s="166" t="n">
        <f aca="false">IF(Y434=0,0,(SUMIF(Resource_Planning!$P$49:$P$356,$P639,Resource_Planning!Y$49:Y$356))/Y434-1)</f>
        <v>0</v>
      </c>
      <c r="Z639" s="166" t="n">
        <f aca="false">IF(Z434=0,0,(SUMIF(Resource_Planning!$P$49:$P$356,$P639,Resource_Planning!Z$49:Z$356))/Z434-1)</f>
        <v>0</v>
      </c>
      <c r="AA639" s="166" t="n">
        <f aca="false">IF(AA434=0,0,(SUMIF(Resource_Planning!$P$49:$P$356,$P639,Resource_Planning!AA$49:AA$356))/AA434-1)</f>
        <v>0</v>
      </c>
      <c r="AB639" s="166" t="n">
        <f aca="false">IF(AB434=0,0,(SUMIF(Resource_Planning!$P$49:$P$356,$P639,Resource_Planning!AB$49:AB$356))/AB434-1)</f>
        <v>0</v>
      </c>
      <c r="AC639" s="166" t="n">
        <f aca="false">IF(AC434=0,0,(SUMIF(Resource_Planning!$P$49:$P$356,$P639,Resource_Planning!AC$49:AC$356))/AC434-1)</f>
        <v>0</v>
      </c>
      <c r="AD639" s="166" t="n">
        <f aca="false">IF(AD434=0,0,(SUMIF(Resource_Planning!$P$49:$P$356,$P639,Resource_Planning!AD$49:AD$356))/AD434-1)</f>
        <v>0</v>
      </c>
      <c r="AE639" s="166" t="n">
        <f aca="false">IF(AE434=0,0,(SUMIF(Resource_Planning!$P$49:$P$356,$P639,Resource_Planning!AE$49:AE$356))/AE434-1)</f>
        <v>0</v>
      </c>
      <c r="AF639" s="166" t="n">
        <f aca="false">IF(AF434=0,0,(SUMIF(Resource_Planning!$P$49:$P$356,$P639,Resource_Planning!AF$49:AF$356))/AF434-1)</f>
        <v>0</v>
      </c>
      <c r="AG639" s="166" t="n">
        <f aca="false">IF(AG434=0,0,(SUMIF(Resource_Planning!$P$49:$P$356,$P639,Resource_Planning!AG$49:AG$356))/AG434-1)</f>
        <v>0</v>
      </c>
      <c r="AH639" s="166" t="n">
        <f aca="false">IF(AH434=0,0,(SUMIF(Resource_Planning!$P$49:$P$356,$P639,Resource_Planning!AH$49:AH$356))/AH434-1)</f>
        <v>0</v>
      </c>
      <c r="AI639" s="166" t="n">
        <f aca="false">IF(AI434=0,0,(SUMIF(Resource_Planning!$P$49:$P$356,$P639,Resource_Planning!AI$49:AI$356))/AI434-1)</f>
        <v>0</v>
      </c>
      <c r="AJ639" s="166" t="n">
        <f aca="false">IF(AJ434=0,0,(SUMIF(Resource_Planning!$P$49:$P$356,$P639,Resource_Planning!AJ$49:AJ$356))/AJ434-1)</f>
        <v>0</v>
      </c>
      <c r="AK639" s="166" t="n">
        <f aca="false">IF(AK434=0,0,(SUMIF(Resource_Planning!$P$49:$P$356,$P639,Resource_Planning!AK$49:AK$356))/AK434-1)</f>
        <v>0</v>
      </c>
      <c r="AL639" s="166" t="n">
        <f aca="false">IF(AL434=0,0,(SUMIF(Resource_Planning!$P$49:$P$356,$P639,Resource_Planning!AL$49:AL$356))/AL434-1)</f>
        <v>0</v>
      </c>
      <c r="AM639" s="166" t="n">
        <f aca="false">IF(AM434=0,0,(SUMIF(Resource_Planning!$P$49:$P$356,$P639,Resource_Planning!AM$49:AM$356))/AM434-1)</f>
        <v>0</v>
      </c>
      <c r="AN639" s="166" t="n">
        <f aca="false">IF(AN434=0,0,(SUMIF(Resource_Planning!$P$49:$P$356,$P639,Resource_Planning!AN$49:AN$356))/AN434-1)</f>
        <v>0</v>
      </c>
      <c r="AO639" s="166" t="n">
        <f aca="false">IF(AO434=0,0,(SUMIF(Resource_Planning!$P$49:$P$356,$P639,Resource_Planning!AO$49:AO$356))/AO434-1)</f>
        <v>0</v>
      </c>
      <c r="AP639" s="166" t="n">
        <f aca="false">IF(AP434=0,0,(SUMIF(Resource_Planning!$P$49:$P$356,$P639,Resource_Planning!AP$49:AP$356))/AP434-1)</f>
        <v>0</v>
      </c>
      <c r="AQ639" s="166" t="n">
        <f aca="false">IF(AQ434=0,0,(SUMIF(Resource_Planning!$P$49:$P$356,$P639,Resource_Planning!AQ$49:AQ$356))/AQ434-1)</f>
        <v>0</v>
      </c>
      <c r="AR639" s="166" t="n">
        <f aca="false">IF(AR434=0,0,(SUMIF(Resource_Planning!$P$49:$P$356,$P639,Resource_Planning!AR$49:AR$356))/AR434-1)</f>
        <v>0</v>
      </c>
      <c r="AS639" s="166" t="n">
        <f aca="false">IF(AS434=0,0,(SUMIF(Resource_Planning!$P$49:$P$356,$P639,Resource_Planning!AS$49:AS$356))/AS434-1)</f>
        <v>0</v>
      </c>
      <c r="AT639" s="166" t="n">
        <f aca="false">IF(AT434=0,0,(SUMIF(Resource_Planning!$P$49:$P$356,$P639,Resource_Planning!AT$49:AT$356))/AT434-1)</f>
        <v>0</v>
      </c>
      <c r="AU639" s="166" t="n">
        <f aca="false">IF(AU434=0,0,(SUMIF(Resource_Planning!$P$49:$P$356,$P639,Resource_Planning!AU$49:AU$356))/AU434-1)</f>
        <v>0</v>
      </c>
      <c r="AV639" s="166" t="n">
        <f aca="false">IF(AV434=0,0,(SUMIF(Resource_Planning!$P$49:$P$356,$P639,Resource_Planning!AV$49:AV$356))/AV434-1)</f>
        <v>0</v>
      </c>
      <c r="AW639" s="166" t="n">
        <f aca="false">IF(AW434=0,0,(SUMIF(Resource_Planning!$P$49:$P$356,$P639,Resource_Planning!AW$49:AW$356))/AW434-1)</f>
        <v>0</v>
      </c>
      <c r="AX639" s="166" t="n">
        <f aca="false">IF(AX434=0,0,(SUMIF(Resource_Planning!$P$49:$P$356,$P639,Resource_Planning!AX$49:AX$356))/AX434-1)</f>
        <v>0</v>
      </c>
      <c r="AY639" s="166" t="n">
        <f aca="false">IF(AY434=0,0,(SUMIF(Resource_Planning!$P$49:$P$356,$P639,Resource_Planning!AY$49:AY$356))/AY434-1)</f>
        <v>0</v>
      </c>
      <c r="AZ639" s="166" t="n">
        <f aca="false">IF(AZ434=0,0,(SUMIF(Resource_Planning!$P$49:$P$356,$P639,Resource_Planning!AZ$49:AZ$356))/AZ434-1)</f>
        <v>0</v>
      </c>
      <c r="BA639" s="166" t="n">
        <f aca="false">IF(BA434=0,0,(SUMIF(Resource_Planning!$P$49:$P$356,$P639,Resource_Planning!BA$49:BA$356))/BA434-1)</f>
        <v>0</v>
      </c>
      <c r="BB639" s="166" t="n">
        <f aca="false">IF(BB434=0,0,(SUMIF(Resource_Planning!$P$49:$P$356,$P639,Resource_Planning!BB$49:BB$356))/BB434-1)</f>
        <v>0</v>
      </c>
    </row>
    <row r="640" s="173" customFormat="true" ht="15" hidden="true" customHeight="false" outlineLevel="1" collapsed="false">
      <c r="E640" s="40"/>
      <c r="K640" s="40"/>
      <c r="L640" s="40"/>
      <c r="M640" s="40"/>
      <c r="N640" s="40"/>
      <c r="P640" s="177" t="n">
        <f aca="false">P298</f>
        <v>0</v>
      </c>
      <c r="Q640" s="40"/>
      <c r="R640" s="178"/>
      <c r="S640" s="166" t="n">
        <f aca="false">IF(S435=0,0,(SUMIF(Resource_Planning!$P$49:$P$356,$P640,Resource_Planning!S$49:S$356))/S435-1)</f>
        <v>0</v>
      </c>
      <c r="T640" s="166" t="n">
        <f aca="false">IF(T435=0,0,(SUMIF(Resource_Planning!$P$49:$P$356,$P640,Resource_Planning!T$49:T$356))/T435-1)</f>
        <v>0</v>
      </c>
      <c r="U640" s="166" t="n">
        <f aca="false">IF(U435=0,0,(SUMIF(Resource_Planning!$P$49:$P$356,$P640,Resource_Planning!U$49:U$356))/U435-1)</f>
        <v>0</v>
      </c>
      <c r="V640" s="166" t="n">
        <f aca="false">IF(V435=0,0,(SUMIF(Resource_Planning!$P$49:$P$356,$P640,Resource_Planning!V$49:V$356))/V435-1)</f>
        <v>0</v>
      </c>
      <c r="W640" s="166" t="n">
        <f aca="false">IF(W435=0,0,(SUMIF(Resource_Planning!$P$49:$P$356,$P640,Resource_Planning!W$49:W$356))/W435-1)</f>
        <v>0</v>
      </c>
      <c r="X640" s="166" t="n">
        <f aca="false">IF(X435=0,0,(SUMIF(Resource_Planning!$P$49:$P$356,$P640,Resource_Planning!X$49:X$356))/X435-1)</f>
        <v>0</v>
      </c>
      <c r="Y640" s="166" t="n">
        <f aca="false">IF(Y435=0,0,(SUMIF(Resource_Planning!$P$49:$P$356,$P640,Resource_Planning!Y$49:Y$356))/Y435-1)</f>
        <v>0</v>
      </c>
      <c r="Z640" s="166" t="n">
        <f aca="false">IF(Z435=0,0,(SUMIF(Resource_Planning!$P$49:$P$356,$P640,Resource_Planning!Z$49:Z$356))/Z435-1)</f>
        <v>0</v>
      </c>
      <c r="AA640" s="166" t="n">
        <f aca="false">IF(AA435=0,0,(SUMIF(Resource_Planning!$P$49:$P$356,$P640,Resource_Planning!AA$49:AA$356))/AA435-1)</f>
        <v>0</v>
      </c>
      <c r="AB640" s="166" t="n">
        <f aca="false">IF(AB435=0,0,(SUMIF(Resource_Planning!$P$49:$P$356,$P640,Resource_Planning!AB$49:AB$356))/AB435-1)</f>
        <v>0</v>
      </c>
      <c r="AC640" s="166" t="n">
        <f aca="false">IF(AC435=0,0,(SUMIF(Resource_Planning!$P$49:$P$356,$P640,Resource_Planning!AC$49:AC$356))/AC435-1)</f>
        <v>0</v>
      </c>
      <c r="AD640" s="166" t="n">
        <f aca="false">IF(AD435=0,0,(SUMIF(Resource_Planning!$P$49:$P$356,$P640,Resource_Planning!AD$49:AD$356))/AD435-1)</f>
        <v>0</v>
      </c>
      <c r="AE640" s="166" t="n">
        <f aca="false">IF(AE435=0,0,(SUMIF(Resource_Planning!$P$49:$P$356,$P640,Resource_Planning!AE$49:AE$356))/AE435-1)</f>
        <v>0</v>
      </c>
      <c r="AF640" s="166" t="n">
        <f aca="false">IF(AF435=0,0,(SUMIF(Resource_Planning!$P$49:$P$356,$P640,Resource_Planning!AF$49:AF$356))/AF435-1)</f>
        <v>0</v>
      </c>
      <c r="AG640" s="166" t="n">
        <f aca="false">IF(AG435=0,0,(SUMIF(Resource_Planning!$P$49:$P$356,$P640,Resource_Planning!AG$49:AG$356))/AG435-1)</f>
        <v>0</v>
      </c>
      <c r="AH640" s="166" t="n">
        <f aca="false">IF(AH435=0,0,(SUMIF(Resource_Planning!$P$49:$P$356,$P640,Resource_Planning!AH$49:AH$356))/AH435-1)</f>
        <v>0</v>
      </c>
      <c r="AI640" s="166" t="n">
        <f aca="false">IF(AI435=0,0,(SUMIF(Resource_Planning!$P$49:$P$356,$P640,Resource_Planning!AI$49:AI$356))/AI435-1)</f>
        <v>0</v>
      </c>
      <c r="AJ640" s="166" t="n">
        <f aca="false">IF(AJ435=0,0,(SUMIF(Resource_Planning!$P$49:$P$356,$P640,Resource_Planning!AJ$49:AJ$356))/AJ435-1)</f>
        <v>0</v>
      </c>
      <c r="AK640" s="166" t="n">
        <f aca="false">IF(AK435=0,0,(SUMIF(Resource_Planning!$P$49:$P$356,$P640,Resource_Planning!AK$49:AK$356))/AK435-1)</f>
        <v>0</v>
      </c>
      <c r="AL640" s="166" t="n">
        <f aca="false">IF(AL435=0,0,(SUMIF(Resource_Planning!$P$49:$P$356,$P640,Resource_Planning!AL$49:AL$356))/AL435-1)</f>
        <v>0</v>
      </c>
      <c r="AM640" s="166" t="n">
        <f aca="false">IF(AM435=0,0,(SUMIF(Resource_Planning!$P$49:$P$356,$P640,Resource_Planning!AM$49:AM$356))/AM435-1)</f>
        <v>0</v>
      </c>
      <c r="AN640" s="166" t="n">
        <f aca="false">IF(AN435=0,0,(SUMIF(Resource_Planning!$P$49:$P$356,$P640,Resource_Planning!AN$49:AN$356))/AN435-1)</f>
        <v>0</v>
      </c>
      <c r="AO640" s="166" t="n">
        <f aca="false">IF(AO435=0,0,(SUMIF(Resource_Planning!$P$49:$P$356,$P640,Resource_Planning!AO$49:AO$356))/AO435-1)</f>
        <v>0</v>
      </c>
      <c r="AP640" s="166" t="n">
        <f aca="false">IF(AP435=0,0,(SUMIF(Resource_Planning!$P$49:$P$356,$P640,Resource_Planning!AP$49:AP$356))/AP435-1)</f>
        <v>0</v>
      </c>
      <c r="AQ640" s="166" t="n">
        <f aca="false">IF(AQ435=0,0,(SUMIF(Resource_Planning!$P$49:$P$356,$P640,Resource_Planning!AQ$49:AQ$356))/AQ435-1)</f>
        <v>0</v>
      </c>
      <c r="AR640" s="166" t="n">
        <f aca="false">IF(AR435=0,0,(SUMIF(Resource_Planning!$P$49:$P$356,$P640,Resource_Planning!AR$49:AR$356))/AR435-1)</f>
        <v>0</v>
      </c>
      <c r="AS640" s="166" t="n">
        <f aca="false">IF(AS435=0,0,(SUMIF(Resource_Planning!$P$49:$P$356,$P640,Resource_Planning!AS$49:AS$356))/AS435-1)</f>
        <v>0</v>
      </c>
      <c r="AT640" s="166" t="n">
        <f aca="false">IF(AT435=0,0,(SUMIF(Resource_Planning!$P$49:$P$356,$P640,Resource_Planning!AT$49:AT$356))/AT435-1)</f>
        <v>0</v>
      </c>
      <c r="AU640" s="166" t="n">
        <f aca="false">IF(AU435=0,0,(SUMIF(Resource_Planning!$P$49:$P$356,$P640,Resource_Planning!AU$49:AU$356))/AU435-1)</f>
        <v>0</v>
      </c>
      <c r="AV640" s="166" t="n">
        <f aca="false">IF(AV435=0,0,(SUMIF(Resource_Planning!$P$49:$P$356,$P640,Resource_Planning!AV$49:AV$356))/AV435-1)</f>
        <v>0</v>
      </c>
      <c r="AW640" s="166" t="n">
        <f aca="false">IF(AW435=0,0,(SUMIF(Resource_Planning!$P$49:$P$356,$P640,Resource_Planning!AW$49:AW$356))/AW435-1)</f>
        <v>0</v>
      </c>
      <c r="AX640" s="166" t="n">
        <f aca="false">IF(AX435=0,0,(SUMIF(Resource_Planning!$P$49:$P$356,$P640,Resource_Planning!AX$49:AX$356))/AX435-1)</f>
        <v>0</v>
      </c>
      <c r="AY640" s="166" t="n">
        <f aca="false">IF(AY435=0,0,(SUMIF(Resource_Planning!$P$49:$P$356,$P640,Resource_Planning!AY$49:AY$356))/AY435-1)</f>
        <v>0</v>
      </c>
      <c r="AZ640" s="166" t="n">
        <f aca="false">IF(AZ435=0,0,(SUMIF(Resource_Planning!$P$49:$P$356,$P640,Resource_Planning!AZ$49:AZ$356))/AZ435-1)</f>
        <v>0</v>
      </c>
      <c r="BA640" s="166" t="n">
        <f aca="false">IF(BA435=0,0,(SUMIF(Resource_Planning!$P$49:$P$356,$P640,Resource_Planning!BA$49:BA$356))/BA435-1)</f>
        <v>0</v>
      </c>
      <c r="BB640" s="166" t="n">
        <f aca="false">IF(BB435=0,0,(SUMIF(Resource_Planning!$P$49:$P$356,$P640,Resource_Planning!BB$49:BB$356))/BB435-1)</f>
        <v>0</v>
      </c>
    </row>
    <row r="641" s="173" customFormat="true" ht="15" hidden="true" customHeight="false" outlineLevel="1" collapsed="false">
      <c r="E641" s="40"/>
      <c r="K641" s="40"/>
      <c r="L641" s="40"/>
      <c r="M641" s="40"/>
      <c r="N641" s="40"/>
      <c r="P641" s="177" t="n">
        <f aca="false">P299</f>
        <v>0</v>
      </c>
      <c r="Q641" s="40"/>
      <c r="R641" s="178"/>
      <c r="S641" s="166" t="n">
        <f aca="false">IF(S436=0,0,(SUMIF(Resource_Planning!$P$49:$P$356,$P641,Resource_Planning!S$49:S$356))/S436-1)</f>
        <v>0</v>
      </c>
      <c r="T641" s="166" t="n">
        <f aca="false">IF(T436=0,0,(SUMIF(Resource_Planning!$P$49:$P$356,$P641,Resource_Planning!T$49:T$356))/T436-1)</f>
        <v>0</v>
      </c>
      <c r="U641" s="166" t="n">
        <f aca="false">IF(U436=0,0,(SUMIF(Resource_Planning!$P$49:$P$356,$P641,Resource_Planning!U$49:U$356))/U436-1)</f>
        <v>0</v>
      </c>
      <c r="V641" s="166" t="n">
        <f aca="false">IF(V436=0,0,(SUMIF(Resource_Planning!$P$49:$P$356,$P641,Resource_Planning!V$49:V$356))/V436-1)</f>
        <v>0</v>
      </c>
      <c r="W641" s="166" t="n">
        <f aca="false">IF(W436=0,0,(SUMIF(Resource_Planning!$P$49:$P$356,$P641,Resource_Planning!W$49:W$356))/W436-1)</f>
        <v>0</v>
      </c>
      <c r="X641" s="166" t="n">
        <f aca="false">IF(X436=0,0,(SUMIF(Resource_Planning!$P$49:$P$356,$P641,Resource_Planning!X$49:X$356))/X436-1)</f>
        <v>0</v>
      </c>
      <c r="Y641" s="166" t="n">
        <f aca="false">IF(Y436=0,0,(SUMIF(Resource_Planning!$P$49:$P$356,$P641,Resource_Planning!Y$49:Y$356))/Y436-1)</f>
        <v>0</v>
      </c>
      <c r="Z641" s="166" t="n">
        <f aca="false">IF(Z436=0,0,(SUMIF(Resource_Planning!$P$49:$P$356,$P641,Resource_Planning!Z$49:Z$356))/Z436-1)</f>
        <v>0</v>
      </c>
      <c r="AA641" s="166" t="n">
        <f aca="false">IF(AA436=0,0,(SUMIF(Resource_Planning!$P$49:$P$356,$P641,Resource_Planning!AA$49:AA$356))/AA436-1)</f>
        <v>0</v>
      </c>
      <c r="AB641" s="166" t="n">
        <f aca="false">IF(AB436=0,0,(SUMIF(Resource_Planning!$P$49:$P$356,$P641,Resource_Planning!AB$49:AB$356))/AB436-1)</f>
        <v>0</v>
      </c>
      <c r="AC641" s="166" t="n">
        <f aca="false">IF(AC436=0,0,(SUMIF(Resource_Planning!$P$49:$P$356,$P641,Resource_Planning!AC$49:AC$356))/AC436-1)</f>
        <v>0</v>
      </c>
      <c r="AD641" s="166" t="n">
        <f aca="false">IF(AD436=0,0,(SUMIF(Resource_Planning!$P$49:$P$356,$P641,Resource_Planning!AD$49:AD$356))/AD436-1)</f>
        <v>0</v>
      </c>
      <c r="AE641" s="166" t="n">
        <f aca="false">IF(AE436=0,0,(SUMIF(Resource_Planning!$P$49:$P$356,$P641,Resource_Planning!AE$49:AE$356))/AE436-1)</f>
        <v>0</v>
      </c>
      <c r="AF641" s="166" t="n">
        <f aca="false">IF(AF436=0,0,(SUMIF(Resource_Planning!$P$49:$P$356,$P641,Resource_Planning!AF$49:AF$356))/AF436-1)</f>
        <v>0</v>
      </c>
      <c r="AG641" s="166" t="n">
        <f aca="false">IF(AG436=0,0,(SUMIF(Resource_Planning!$P$49:$P$356,$P641,Resource_Planning!AG$49:AG$356))/AG436-1)</f>
        <v>0</v>
      </c>
      <c r="AH641" s="166" t="n">
        <f aca="false">IF(AH436=0,0,(SUMIF(Resource_Planning!$P$49:$P$356,$P641,Resource_Planning!AH$49:AH$356))/AH436-1)</f>
        <v>0</v>
      </c>
      <c r="AI641" s="166" t="n">
        <f aca="false">IF(AI436=0,0,(SUMIF(Resource_Planning!$P$49:$P$356,$P641,Resource_Planning!AI$49:AI$356))/AI436-1)</f>
        <v>0</v>
      </c>
      <c r="AJ641" s="166" t="n">
        <f aca="false">IF(AJ436=0,0,(SUMIF(Resource_Planning!$P$49:$P$356,$P641,Resource_Planning!AJ$49:AJ$356))/AJ436-1)</f>
        <v>0</v>
      </c>
      <c r="AK641" s="166" t="n">
        <f aca="false">IF(AK436=0,0,(SUMIF(Resource_Planning!$P$49:$P$356,$P641,Resource_Planning!AK$49:AK$356))/AK436-1)</f>
        <v>0</v>
      </c>
      <c r="AL641" s="166" t="n">
        <f aca="false">IF(AL436=0,0,(SUMIF(Resource_Planning!$P$49:$P$356,$P641,Resource_Planning!AL$49:AL$356))/AL436-1)</f>
        <v>0</v>
      </c>
      <c r="AM641" s="166" t="n">
        <f aca="false">IF(AM436=0,0,(SUMIF(Resource_Planning!$P$49:$P$356,$P641,Resource_Planning!AM$49:AM$356))/AM436-1)</f>
        <v>0</v>
      </c>
      <c r="AN641" s="166" t="n">
        <f aca="false">IF(AN436=0,0,(SUMIF(Resource_Planning!$P$49:$P$356,$P641,Resource_Planning!AN$49:AN$356))/AN436-1)</f>
        <v>0</v>
      </c>
      <c r="AO641" s="166" t="n">
        <f aca="false">IF(AO436=0,0,(SUMIF(Resource_Planning!$P$49:$P$356,$P641,Resource_Planning!AO$49:AO$356))/AO436-1)</f>
        <v>0</v>
      </c>
      <c r="AP641" s="166" t="n">
        <f aca="false">IF(AP436=0,0,(SUMIF(Resource_Planning!$P$49:$P$356,$P641,Resource_Planning!AP$49:AP$356))/AP436-1)</f>
        <v>0</v>
      </c>
      <c r="AQ641" s="166" t="n">
        <f aca="false">IF(AQ436=0,0,(SUMIF(Resource_Planning!$P$49:$P$356,$P641,Resource_Planning!AQ$49:AQ$356))/AQ436-1)</f>
        <v>0</v>
      </c>
      <c r="AR641" s="166" t="n">
        <f aca="false">IF(AR436=0,0,(SUMIF(Resource_Planning!$P$49:$P$356,$P641,Resource_Planning!AR$49:AR$356))/AR436-1)</f>
        <v>0</v>
      </c>
      <c r="AS641" s="166" t="n">
        <f aca="false">IF(AS436=0,0,(SUMIF(Resource_Planning!$P$49:$P$356,$P641,Resource_Planning!AS$49:AS$356))/AS436-1)</f>
        <v>0</v>
      </c>
      <c r="AT641" s="166" t="n">
        <f aca="false">IF(AT436=0,0,(SUMIF(Resource_Planning!$P$49:$P$356,$P641,Resource_Planning!AT$49:AT$356))/AT436-1)</f>
        <v>0</v>
      </c>
      <c r="AU641" s="166" t="n">
        <f aca="false">IF(AU436=0,0,(SUMIF(Resource_Planning!$P$49:$P$356,$P641,Resource_Planning!AU$49:AU$356))/AU436-1)</f>
        <v>0</v>
      </c>
      <c r="AV641" s="166" t="n">
        <f aca="false">IF(AV436=0,0,(SUMIF(Resource_Planning!$P$49:$P$356,$P641,Resource_Planning!AV$49:AV$356))/AV436-1)</f>
        <v>0</v>
      </c>
      <c r="AW641" s="166" t="n">
        <f aca="false">IF(AW436=0,0,(SUMIF(Resource_Planning!$P$49:$P$356,$P641,Resource_Planning!AW$49:AW$356))/AW436-1)</f>
        <v>0</v>
      </c>
      <c r="AX641" s="166" t="n">
        <f aca="false">IF(AX436=0,0,(SUMIF(Resource_Planning!$P$49:$P$356,$P641,Resource_Planning!AX$49:AX$356))/AX436-1)</f>
        <v>0</v>
      </c>
      <c r="AY641" s="166" t="n">
        <f aca="false">IF(AY436=0,0,(SUMIF(Resource_Planning!$P$49:$P$356,$P641,Resource_Planning!AY$49:AY$356))/AY436-1)</f>
        <v>0</v>
      </c>
      <c r="AZ641" s="166" t="n">
        <f aca="false">IF(AZ436=0,0,(SUMIF(Resource_Planning!$P$49:$P$356,$P641,Resource_Planning!AZ$49:AZ$356))/AZ436-1)</f>
        <v>0</v>
      </c>
      <c r="BA641" s="166" t="n">
        <f aca="false">IF(BA436=0,0,(SUMIF(Resource_Planning!$P$49:$P$356,$P641,Resource_Planning!BA$49:BA$356))/BA436-1)</f>
        <v>0</v>
      </c>
      <c r="BB641" s="166" t="n">
        <f aca="false">IF(BB436=0,0,(SUMIF(Resource_Planning!$P$49:$P$356,$P641,Resource_Planning!BB$49:BB$356))/BB436-1)</f>
        <v>0</v>
      </c>
    </row>
    <row r="642" s="173" customFormat="true" ht="15" hidden="true" customHeight="false" outlineLevel="1" collapsed="false">
      <c r="E642" s="40"/>
      <c r="K642" s="40"/>
      <c r="L642" s="40"/>
      <c r="M642" s="40"/>
      <c r="N642" s="40"/>
      <c r="P642" s="177" t="n">
        <f aca="false">P300</f>
        <v>0</v>
      </c>
      <c r="Q642" s="40"/>
      <c r="R642" s="178"/>
      <c r="S642" s="166" t="n">
        <f aca="false">IF(S437=0,0,(SUMIF(Resource_Planning!$P$49:$P$356,$P642,Resource_Planning!S$49:S$356))/S437-1)</f>
        <v>0</v>
      </c>
      <c r="T642" s="166" t="n">
        <f aca="false">IF(T437=0,0,(SUMIF(Resource_Planning!$P$49:$P$356,$P642,Resource_Planning!T$49:T$356))/T437-1)</f>
        <v>0</v>
      </c>
      <c r="U642" s="166" t="n">
        <f aca="false">IF(U437=0,0,(SUMIF(Resource_Planning!$P$49:$P$356,$P642,Resource_Planning!U$49:U$356))/U437-1)</f>
        <v>0</v>
      </c>
      <c r="V642" s="166" t="n">
        <f aca="false">IF(V437=0,0,(SUMIF(Resource_Planning!$P$49:$P$356,$P642,Resource_Planning!V$49:V$356))/V437-1)</f>
        <v>0</v>
      </c>
      <c r="W642" s="166" t="n">
        <f aca="false">IF(W437=0,0,(SUMIF(Resource_Planning!$P$49:$P$356,$P642,Resource_Planning!W$49:W$356))/W437-1)</f>
        <v>0</v>
      </c>
      <c r="X642" s="166" t="n">
        <f aca="false">IF(X437=0,0,(SUMIF(Resource_Planning!$P$49:$P$356,$P642,Resource_Planning!X$49:X$356))/X437-1)</f>
        <v>0</v>
      </c>
      <c r="Y642" s="166" t="n">
        <f aca="false">IF(Y437=0,0,(SUMIF(Resource_Planning!$P$49:$P$356,$P642,Resource_Planning!Y$49:Y$356))/Y437-1)</f>
        <v>0</v>
      </c>
      <c r="Z642" s="166" t="n">
        <f aca="false">IF(Z437=0,0,(SUMIF(Resource_Planning!$P$49:$P$356,$P642,Resource_Planning!Z$49:Z$356))/Z437-1)</f>
        <v>0</v>
      </c>
      <c r="AA642" s="166" t="n">
        <f aca="false">IF(AA437=0,0,(SUMIF(Resource_Planning!$P$49:$P$356,$P642,Resource_Planning!AA$49:AA$356))/AA437-1)</f>
        <v>0</v>
      </c>
      <c r="AB642" s="166" t="n">
        <f aca="false">IF(AB437=0,0,(SUMIF(Resource_Planning!$P$49:$P$356,$P642,Resource_Planning!AB$49:AB$356))/AB437-1)</f>
        <v>0</v>
      </c>
      <c r="AC642" s="166" t="n">
        <f aca="false">IF(AC437=0,0,(SUMIF(Resource_Planning!$P$49:$P$356,$P642,Resource_Planning!AC$49:AC$356))/AC437-1)</f>
        <v>0</v>
      </c>
      <c r="AD642" s="166" t="n">
        <f aca="false">IF(AD437=0,0,(SUMIF(Resource_Planning!$P$49:$P$356,$P642,Resource_Planning!AD$49:AD$356))/AD437-1)</f>
        <v>0</v>
      </c>
      <c r="AE642" s="166" t="n">
        <f aca="false">IF(AE437=0,0,(SUMIF(Resource_Planning!$P$49:$P$356,$P642,Resource_Planning!AE$49:AE$356))/AE437-1)</f>
        <v>0</v>
      </c>
      <c r="AF642" s="166" t="n">
        <f aca="false">IF(AF437=0,0,(SUMIF(Resource_Planning!$P$49:$P$356,$P642,Resource_Planning!AF$49:AF$356))/AF437-1)</f>
        <v>0</v>
      </c>
      <c r="AG642" s="166" t="n">
        <f aca="false">IF(AG437=0,0,(SUMIF(Resource_Planning!$P$49:$P$356,$P642,Resource_Planning!AG$49:AG$356))/AG437-1)</f>
        <v>0</v>
      </c>
      <c r="AH642" s="166" t="n">
        <f aca="false">IF(AH437=0,0,(SUMIF(Resource_Planning!$P$49:$P$356,$P642,Resource_Planning!AH$49:AH$356))/AH437-1)</f>
        <v>0</v>
      </c>
      <c r="AI642" s="166" t="n">
        <f aca="false">IF(AI437=0,0,(SUMIF(Resource_Planning!$P$49:$P$356,$P642,Resource_Planning!AI$49:AI$356))/AI437-1)</f>
        <v>0</v>
      </c>
      <c r="AJ642" s="166" t="n">
        <f aca="false">IF(AJ437=0,0,(SUMIF(Resource_Planning!$P$49:$P$356,$P642,Resource_Planning!AJ$49:AJ$356))/AJ437-1)</f>
        <v>0</v>
      </c>
      <c r="AK642" s="166" t="n">
        <f aca="false">IF(AK437=0,0,(SUMIF(Resource_Planning!$P$49:$P$356,$P642,Resource_Planning!AK$49:AK$356))/AK437-1)</f>
        <v>0</v>
      </c>
      <c r="AL642" s="166" t="n">
        <f aca="false">IF(AL437=0,0,(SUMIF(Resource_Planning!$P$49:$P$356,$P642,Resource_Planning!AL$49:AL$356))/AL437-1)</f>
        <v>0</v>
      </c>
      <c r="AM642" s="166" t="n">
        <f aca="false">IF(AM437=0,0,(SUMIF(Resource_Planning!$P$49:$P$356,$P642,Resource_Planning!AM$49:AM$356))/AM437-1)</f>
        <v>0</v>
      </c>
      <c r="AN642" s="166" t="n">
        <f aca="false">IF(AN437=0,0,(SUMIF(Resource_Planning!$P$49:$P$356,$P642,Resource_Planning!AN$49:AN$356))/AN437-1)</f>
        <v>0</v>
      </c>
      <c r="AO642" s="166" t="n">
        <f aca="false">IF(AO437=0,0,(SUMIF(Resource_Planning!$P$49:$P$356,$P642,Resource_Planning!AO$49:AO$356))/AO437-1)</f>
        <v>0</v>
      </c>
      <c r="AP642" s="166" t="n">
        <f aca="false">IF(AP437=0,0,(SUMIF(Resource_Planning!$P$49:$P$356,$P642,Resource_Planning!AP$49:AP$356))/AP437-1)</f>
        <v>0</v>
      </c>
      <c r="AQ642" s="166" t="n">
        <f aca="false">IF(AQ437=0,0,(SUMIF(Resource_Planning!$P$49:$P$356,$P642,Resource_Planning!AQ$49:AQ$356))/AQ437-1)</f>
        <v>0</v>
      </c>
      <c r="AR642" s="166" t="n">
        <f aca="false">IF(AR437=0,0,(SUMIF(Resource_Planning!$P$49:$P$356,$P642,Resource_Planning!AR$49:AR$356))/AR437-1)</f>
        <v>0</v>
      </c>
      <c r="AS642" s="166" t="n">
        <f aca="false">IF(AS437=0,0,(SUMIF(Resource_Planning!$P$49:$P$356,$P642,Resource_Planning!AS$49:AS$356))/AS437-1)</f>
        <v>0</v>
      </c>
      <c r="AT642" s="166" t="n">
        <f aca="false">IF(AT437=0,0,(SUMIF(Resource_Planning!$P$49:$P$356,$P642,Resource_Planning!AT$49:AT$356))/AT437-1)</f>
        <v>0</v>
      </c>
      <c r="AU642" s="166" t="n">
        <f aca="false">IF(AU437=0,0,(SUMIF(Resource_Planning!$P$49:$P$356,$P642,Resource_Planning!AU$49:AU$356))/AU437-1)</f>
        <v>0</v>
      </c>
      <c r="AV642" s="166" t="n">
        <f aca="false">IF(AV437=0,0,(SUMIF(Resource_Planning!$P$49:$P$356,$P642,Resource_Planning!AV$49:AV$356))/AV437-1)</f>
        <v>0</v>
      </c>
      <c r="AW642" s="166" t="n">
        <f aca="false">IF(AW437=0,0,(SUMIF(Resource_Planning!$P$49:$P$356,$P642,Resource_Planning!AW$49:AW$356))/AW437-1)</f>
        <v>0</v>
      </c>
      <c r="AX642" s="166" t="n">
        <f aca="false">IF(AX437=0,0,(SUMIF(Resource_Planning!$P$49:$P$356,$P642,Resource_Planning!AX$49:AX$356))/AX437-1)</f>
        <v>0</v>
      </c>
      <c r="AY642" s="166" t="n">
        <f aca="false">IF(AY437=0,0,(SUMIF(Resource_Planning!$P$49:$P$356,$P642,Resource_Planning!AY$49:AY$356))/AY437-1)</f>
        <v>0</v>
      </c>
      <c r="AZ642" s="166" t="n">
        <f aca="false">IF(AZ437=0,0,(SUMIF(Resource_Planning!$P$49:$P$356,$P642,Resource_Planning!AZ$49:AZ$356))/AZ437-1)</f>
        <v>0</v>
      </c>
      <c r="BA642" s="166" t="n">
        <f aca="false">IF(BA437=0,0,(SUMIF(Resource_Planning!$P$49:$P$356,$P642,Resource_Planning!BA$49:BA$356))/BA437-1)</f>
        <v>0</v>
      </c>
      <c r="BB642" s="166" t="n">
        <f aca="false">IF(BB437=0,0,(SUMIF(Resource_Planning!$P$49:$P$356,$P642,Resource_Planning!BB$49:BB$356))/BB437-1)</f>
        <v>0</v>
      </c>
    </row>
    <row r="643" s="173" customFormat="true" ht="15" hidden="true" customHeight="false" outlineLevel="1" collapsed="false">
      <c r="E643" s="40"/>
      <c r="K643" s="40"/>
      <c r="L643" s="40"/>
      <c r="M643" s="40"/>
      <c r="N643" s="40"/>
      <c r="P643" s="177" t="n">
        <f aca="false">P301</f>
        <v>0</v>
      </c>
      <c r="Q643" s="40"/>
      <c r="R643" s="178"/>
      <c r="S643" s="166" t="n">
        <f aca="false">IF(S438=0,0,(SUMIF(Resource_Planning!$P$49:$P$356,$P643,Resource_Planning!S$49:S$356))/S438-1)</f>
        <v>0</v>
      </c>
      <c r="T643" s="166" t="n">
        <f aca="false">IF(T438=0,0,(SUMIF(Resource_Planning!$P$49:$P$356,$P643,Resource_Planning!T$49:T$356))/T438-1)</f>
        <v>0</v>
      </c>
      <c r="U643" s="166" t="n">
        <f aca="false">IF(U438=0,0,(SUMIF(Resource_Planning!$P$49:$P$356,$P643,Resource_Planning!U$49:U$356))/U438-1)</f>
        <v>0</v>
      </c>
      <c r="V643" s="166" t="n">
        <f aca="false">IF(V438=0,0,(SUMIF(Resource_Planning!$P$49:$P$356,$P643,Resource_Planning!V$49:V$356))/V438-1)</f>
        <v>0</v>
      </c>
      <c r="W643" s="166" t="n">
        <f aca="false">IF(W438=0,0,(SUMIF(Resource_Planning!$P$49:$P$356,$P643,Resource_Planning!W$49:W$356))/W438-1)</f>
        <v>0</v>
      </c>
      <c r="X643" s="166" t="n">
        <f aca="false">IF(X438=0,0,(SUMIF(Resource_Planning!$P$49:$P$356,$P643,Resource_Planning!X$49:X$356))/X438-1)</f>
        <v>0</v>
      </c>
      <c r="Y643" s="166" t="n">
        <f aca="false">IF(Y438=0,0,(SUMIF(Resource_Planning!$P$49:$P$356,$P643,Resource_Planning!Y$49:Y$356))/Y438-1)</f>
        <v>0</v>
      </c>
      <c r="Z643" s="166" t="n">
        <f aca="false">IF(Z438=0,0,(SUMIF(Resource_Planning!$P$49:$P$356,$P643,Resource_Planning!Z$49:Z$356))/Z438-1)</f>
        <v>0</v>
      </c>
      <c r="AA643" s="166" t="n">
        <f aca="false">IF(AA438=0,0,(SUMIF(Resource_Planning!$P$49:$P$356,$P643,Resource_Planning!AA$49:AA$356))/AA438-1)</f>
        <v>0</v>
      </c>
      <c r="AB643" s="166" t="n">
        <f aca="false">IF(AB438=0,0,(SUMIF(Resource_Planning!$P$49:$P$356,$P643,Resource_Planning!AB$49:AB$356))/AB438-1)</f>
        <v>0</v>
      </c>
      <c r="AC643" s="166" t="n">
        <f aca="false">IF(AC438=0,0,(SUMIF(Resource_Planning!$P$49:$P$356,$P643,Resource_Planning!AC$49:AC$356))/AC438-1)</f>
        <v>0</v>
      </c>
      <c r="AD643" s="166" t="n">
        <f aca="false">IF(AD438=0,0,(SUMIF(Resource_Planning!$P$49:$P$356,$P643,Resource_Planning!AD$49:AD$356))/AD438-1)</f>
        <v>0</v>
      </c>
      <c r="AE643" s="166" t="n">
        <f aca="false">IF(AE438=0,0,(SUMIF(Resource_Planning!$P$49:$P$356,$P643,Resource_Planning!AE$49:AE$356))/AE438-1)</f>
        <v>0</v>
      </c>
      <c r="AF643" s="166" t="n">
        <f aca="false">IF(AF438=0,0,(SUMIF(Resource_Planning!$P$49:$P$356,$P643,Resource_Planning!AF$49:AF$356))/AF438-1)</f>
        <v>0</v>
      </c>
      <c r="AG643" s="166" t="n">
        <f aca="false">IF(AG438=0,0,(SUMIF(Resource_Planning!$P$49:$P$356,$P643,Resource_Planning!AG$49:AG$356))/AG438-1)</f>
        <v>0</v>
      </c>
      <c r="AH643" s="166" t="n">
        <f aca="false">IF(AH438=0,0,(SUMIF(Resource_Planning!$P$49:$P$356,$P643,Resource_Planning!AH$49:AH$356))/AH438-1)</f>
        <v>0</v>
      </c>
      <c r="AI643" s="166" t="n">
        <f aca="false">IF(AI438=0,0,(SUMIF(Resource_Planning!$P$49:$P$356,$P643,Resource_Planning!AI$49:AI$356))/AI438-1)</f>
        <v>0</v>
      </c>
      <c r="AJ643" s="166" t="n">
        <f aca="false">IF(AJ438=0,0,(SUMIF(Resource_Planning!$P$49:$P$356,$P643,Resource_Planning!AJ$49:AJ$356))/AJ438-1)</f>
        <v>0</v>
      </c>
      <c r="AK643" s="166" t="n">
        <f aca="false">IF(AK438=0,0,(SUMIF(Resource_Planning!$P$49:$P$356,$P643,Resource_Planning!AK$49:AK$356))/AK438-1)</f>
        <v>0</v>
      </c>
      <c r="AL643" s="166" t="n">
        <f aca="false">IF(AL438=0,0,(SUMIF(Resource_Planning!$P$49:$P$356,$P643,Resource_Planning!AL$49:AL$356))/AL438-1)</f>
        <v>0</v>
      </c>
      <c r="AM643" s="166" t="n">
        <f aca="false">IF(AM438=0,0,(SUMIF(Resource_Planning!$P$49:$P$356,$P643,Resource_Planning!AM$49:AM$356))/AM438-1)</f>
        <v>0</v>
      </c>
      <c r="AN643" s="166" t="n">
        <f aca="false">IF(AN438=0,0,(SUMIF(Resource_Planning!$P$49:$P$356,$P643,Resource_Planning!AN$49:AN$356))/AN438-1)</f>
        <v>0</v>
      </c>
      <c r="AO643" s="166" t="n">
        <f aca="false">IF(AO438=0,0,(SUMIF(Resource_Planning!$P$49:$P$356,$P643,Resource_Planning!AO$49:AO$356))/AO438-1)</f>
        <v>0</v>
      </c>
      <c r="AP643" s="166" t="n">
        <f aca="false">IF(AP438=0,0,(SUMIF(Resource_Planning!$P$49:$P$356,$P643,Resource_Planning!AP$49:AP$356))/AP438-1)</f>
        <v>0</v>
      </c>
      <c r="AQ643" s="166" t="n">
        <f aca="false">IF(AQ438=0,0,(SUMIF(Resource_Planning!$P$49:$P$356,$P643,Resource_Planning!AQ$49:AQ$356))/AQ438-1)</f>
        <v>0</v>
      </c>
      <c r="AR643" s="166" t="n">
        <f aca="false">IF(AR438=0,0,(SUMIF(Resource_Planning!$P$49:$P$356,$P643,Resource_Planning!AR$49:AR$356))/AR438-1)</f>
        <v>0</v>
      </c>
      <c r="AS643" s="166" t="n">
        <f aca="false">IF(AS438=0,0,(SUMIF(Resource_Planning!$P$49:$P$356,$P643,Resource_Planning!AS$49:AS$356))/AS438-1)</f>
        <v>0</v>
      </c>
      <c r="AT643" s="166" t="n">
        <f aca="false">IF(AT438=0,0,(SUMIF(Resource_Planning!$P$49:$P$356,$P643,Resource_Planning!AT$49:AT$356))/AT438-1)</f>
        <v>0</v>
      </c>
      <c r="AU643" s="166" t="n">
        <f aca="false">IF(AU438=0,0,(SUMIF(Resource_Planning!$P$49:$P$356,$P643,Resource_Planning!AU$49:AU$356))/AU438-1)</f>
        <v>0</v>
      </c>
      <c r="AV643" s="166" t="n">
        <f aca="false">IF(AV438=0,0,(SUMIF(Resource_Planning!$P$49:$P$356,$P643,Resource_Planning!AV$49:AV$356))/AV438-1)</f>
        <v>0</v>
      </c>
      <c r="AW643" s="166" t="n">
        <f aca="false">IF(AW438=0,0,(SUMIF(Resource_Planning!$P$49:$P$356,$P643,Resource_Planning!AW$49:AW$356))/AW438-1)</f>
        <v>0</v>
      </c>
      <c r="AX643" s="166" t="n">
        <f aca="false">IF(AX438=0,0,(SUMIF(Resource_Planning!$P$49:$P$356,$P643,Resource_Planning!AX$49:AX$356))/AX438-1)</f>
        <v>0</v>
      </c>
      <c r="AY643" s="166" t="n">
        <f aca="false">IF(AY438=0,0,(SUMIF(Resource_Planning!$P$49:$P$356,$P643,Resource_Planning!AY$49:AY$356))/AY438-1)</f>
        <v>0</v>
      </c>
      <c r="AZ643" s="166" t="n">
        <f aca="false">IF(AZ438=0,0,(SUMIF(Resource_Planning!$P$49:$P$356,$P643,Resource_Planning!AZ$49:AZ$356))/AZ438-1)</f>
        <v>0</v>
      </c>
      <c r="BA643" s="166" t="n">
        <f aca="false">IF(BA438=0,0,(SUMIF(Resource_Planning!$P$49:$P$356,$P643,Resource_Planning!BA$49:BA$356))/BA438-1)</f>
        <v>0</v>
      </c>
      <c r="BB643" s="166" t="n">
        <f aca="false">IF(BB438=0,0,(SUMIF(Resource_Planning!$P$49:$P$356,$P643,Resource_Planning!BB$49:BB$356))/BB438-1)</f>
        <v>0</v>
      </c>
    </row>
    <row r="644" s="173" customFormat="true" ht="15" hidden="true" customHeight="false" outlineLevel="1" collapsed="false">
      <c r="E644" s="40"/>
      <c r="K644" s="40"/>
      <c r="L644" s="40"/>
      <c r="M644" s="40"/>
      <c r="N644" s="40"/>
      <c r="P644" s="177" t="n">
        <f aca="false">P302</f>
        <v>0</v>
      </c>
      <c r="Q644" s="40"/>
      <c r="R644" s="178"/>
      <c r="S644" s="166" t="n">
        <f aca="false">IF(S439=0,0,(SUMIF(Resource_Planning!$P$49:$P$356,$P644,Resource_Planning!S$49:S$356))/S439-1)</f>
        <v>0</v>
      </c>
      <c r="T644" s="166" t="n">
        <f aca="false">IF(T439=0,0,(SUMIF(Resource_Planning!$P$49:$P$356,$P644,Resource_Planning!T$49:T$356))/T439-1)</f>
        <v>0</v>
      </c>
      <c r="U644" s="166" t="n">
        <f aca="false">IF(U439=0,0,(SUMIF(Resource_Planning!$P$49:$P$356,$P644,Resource_Planning!U$49:U$356))/U439-1)</f>
        <v>0</v>
      </c>
      <c r="V644" s="166" t="n">
        <f aca="false">IF(V439=0,0,(SUMIF(Resource_Planning!$P$49:$P$356,$P644,Resource_Planning!V$49:V$356))/V439-1)</f>
        <v>0</v>
      </c>
      <c r="W644" s="166" t="n">
        <f aca="false">IF(W439=0,0,(SUMIF(Resource_Planning!$P$49:$P$356,$P644,Resource_Planning!W$49:W$356))/W439-1)</f>
        <v>0</v>
      </c>
      <c r="X644" s="166" t="n">
        <f aca="false">IF(X439=0,0,(SUMIF(Resource_Planning!$P$49:$P$356,$P644,Resource_Planning!X$49:X$356))/X439-1)</f>
        <v>0</v>
      </c>
      <c r="Y644" s="166" t="n">
        <f aca="false">IF(Y439=0,0,(SUMIF(Resource_Planning!$P$49:$P$356,$P644,Resource_Planning!Y$49:Y$356))/Y439-1)</f>
        <v>0</v>
      </c>
      <c r="Z644" s="166" t="n">
        <f aca="false">IF(Z439=0,0,(SUMIF(Resource_Planning!$P$49:$P$356,$P644,Resource_Planning!Z$49:Z$356))/Z439-1)</f>
        <v>0</v>
      </c>
      <c r="AA644" s="166" t="n">
        <f aca="false">IF(AA439=0,0,(SUMIF(Resource_Planning!$P$49:$P$356,$P644,Resource_Planning!AA$49:AA$356))/AA439-1)</f>
        <v>0</v>
      </c>
      <c r="AB644" s="166" t="n">
        <f aca="false">IF(AB439=0,0,(SUMIF(Resource_Planning!$P$49:$P$356,$P644,Resource_Planning!AB$49:AB$356))/AB439-1)</f>
        <v>0</v>
      </c>
      <c r="AC644" s="166" t="n">
        <f aca="false">IF(AC439=0,0,(SUMIF(Resource_Planning!$P$49:$P$356,$P644,Resource_Planning!AC$49:AC$356))/AC439-1)</f>
        <v>0</v>
      </c>
      <c r="AD644" s="166" t="n">
        <f aca="false">IF(AD439=0,0,(SUMIF(Resource_Planning!$P$49:$P$356,$P644,Resource_Planning!AD$49:AD$356))/AD439-1)</f>
        <v>0</v>
      </c>
      <c r="AE644" s="166" t="n">
        <f aca="false">IF(AE439=0,0,(SUMIF(Resource_Planning!$P$49:$P$356,$P644,Resource_Planning!AE$49:AE$356))/AE439-1)</f>
        <v>0</v>
      </c>
      <c r="AF644" s="166" t="n">
        <f aca="false">IF(AF439=0,0,(SUMIF(Resource_Planning!$P$49:$P$356,$P644,Resource_Planning!AF$49:AF$356))/AF439-1)</f>
        <v>0</v>
      </c>
      <c r="AG644" s="166" t="n">
        <f aca="false">IF(AG439=0,0,(SUMIF(Resource_Planning!$P$49:$P$356,$P644,Resource_Planning!AG$49:AG$356))/AG439-1)</f>
        <v>0</v>
      </c>
      <c r="AH644" s="166" t="n">
        <f aca="false">IF(AH439=0,0,(SUMIF(Resource_Planning!$P$49:$P$356,$P644,Resource_Planning!AH$49:AH$356))/AH439-1)</f>
        <v>0</v>
      </c>
      <c r="AI644" s="166" t="n">
        <f aca="false">IF(AI439=0,0,(SUMIF(Resource_Planning!$P$49:$P$356,$P644,Resource_Planning!AI$49:AI$356))/AI439-1)</f>
        <v>0</v>
      </c>
      <c r="AJ644" s="166" t="n">
        <f aca="false">IF(AJ439=0,0,(SUMIF(Resource_Planning!$P$49:$P$356,$P644,Resource_Planning!AJ$49:AJ$356))/AJ439-1)</f>
        <v>0</v>
      </c>
      <c r="AK644" s="166" t="n">
        <f aca="false">IF(AK439=0,0,(SUMIF(Resource_Planning!$P$49:$P$356,$P644,Resource_Planning!AK$49:AK$356))/AK439-1)</f>
        <v>0</v>
      </c>
      <c r="AL644" s="166" t="n">
        <f aca="false">IF(AL439=0,0,(SUMIF(Resource_Planning!$P$49:$P$356,$P644,Resource_Planning!AL$49:AL$356))/AL439-1)</f>
        <v>0</v>
      </c>
      <c r="AM644" s="166" t="n">
        <f aca="false">IF(AM439=0,0,(SUMIF(Resource_Planning!$P$49:$P$356,$P644,Resource_Planning!AM$49:AM$356))/AM439-1)</f>
        <v>0</v>
      </c>
      <c r="AN644" s="166" t="n">
        <f aca="false">IF(AN439=0,0,(SUMIF(Resource_Planning!$P$49:$P$356,$P644,Resource_Planning!AN$49:AN$356))/AN439-1)</f>
        <v>0</v>
      </c>
      <c r="AO644" s="166" t="n">
        <f aca="false">IF(AO439=0,0,(SUMIF(Resource_Planning!$P$49:$P$356,$P644,Resource_Planning!AO$49:AO$356))/AO439-1)</f>
        <v>0</v>
      </c>
      <c r="AP644" s="166" t="n">
        <f aca="false">IF(AP439=0,0,(SUMIF(Resource_Planning!$P$49:$P$356,$P644,Resource_Planning!AP$49:AP$356))/AP439-1)</f>
        <v>0</v>
      </c>
      <c r="AQ644" s="166" t="n">
        <f aca="false">IF(AQ439=0,0,(SUMIF(Resource_Planning!$P$49:$P$356,$P644,Resource_Planning!AQ$49:AQ$356))/AQ439-1)</f>
        <v>0</v>
      </c>
      <c r="AR644" s="166" t="n">
        <f aca="false">IF(AR439=0,0,(SUMIF(Resource_Planning!$P$49:$P$356,$P644,Resource_Planning!AR$49:AR$356))/AR439-1)</f>
        <v>0</v>
      </c>
      <c r="AS644" s="166" t="n">
        <f aca="false">IF(AS439=0,0,(SUMIF(Resource_Planning!$P$49:$P$356,$P644,Resource_Planning!AS$49:AS$356))/AS439-1)</f>
        <v>0</v>
      </c>
      <c r="AT644" s="166" t="n">
        <f aca="false">IF(AT439=0,0,(SUMIF(Resource_Planning!$P$49:$P$356,$P644,Resource_Planning!AT$49:AT$356))/AT439-1)</f>
        <v>0</v>
      </c>
      <c r="AU644" s="166" t="n">
        <f aca="false">IF(AU439=0,0,(SUMIF(Resource_Planning!$P$49:$P$356,$P644,Resource_Planning!AU$49:AU$356))/AU439-1)</f>
        <v>0</v>
      </c>
      <c r="AV644" s="166" t="n">
        <f aca="false">IF(AV439=0,0,(SUMIF(Resource_Planning!$P$49:$P$356,$P644,Resource_Planning!AV$49:AV$356))/AV439-1)</f>
        <v>0</v>
      </c>
      <c r="AW644" s="166" t="n">
        <f aca="false">IF(AW439=0,0,(SUMIF(Resource_Planning!$P$49:$P$356,$P644,Resource_Planning!AW$49:AW$356))/AW439-1)</f>
        <v>0</v>
      </c>
      <c r="AX644" s="166" t="n">
        <f aca="false">IF(AX439=0,0,(SUMIF(Resource_Planning!$P$49:$P$356,$P644,Resource_Planning!AX$49:AX$356))/AX439-1)</f>
        <v>0</v>
      </c>
      <c r="AY644" s="166" t="n">
        <f aca="false">IF(AY439=0,0,(SUMIF(Resource_Planning!$P$49:$P$356,$P644,Resource_Planning!AY$49:AY$356))/AY439-1)</f>
        <v>0</v>
      </c>
      <c r="AZ644" s="166" t="n">
        <f aca="false">IF(AZ439=0,0,(SUMIF(Resource_Planning!$P$49:$P$356,$P644,Resource_Planning!AZ$49:AZ$356))/AZ439-1)</f>
        <v>0</v>
      </c>
      <c r="BA644" s="166" t="n">
        <f aca="false">IF(BA439=0,0,(SUMIF(Resource_Planning!$P$49:$P$356,$P644,Resource_Planning!BA$49:BA$356))/BA439-1)</f>
        <v>0</v>
      </c>
      <c r="BB644" s="166" t="n">
        <f aca="false">IF(BB439=0,0,(SUMIF(Resource_Planning!$P$49:$P$356,$P644,Resource_Planning!BB$49:BB$356))/BB439-1)</f>
        <v>0</v>
      </c>
    </row>
    <row r="645" s="173" customFormat="true" ht="15" hidden="true" customHeight="false" outlineLevel="1" collapsed="false">
      <c r="E645" s="40"/>
      <c r="K645" s="40"/>
      <c r="L645" s="40"/>
      <c r="M645" s="40"/>
      <c r="N645" s="40"/>
      <c r="P645" s="177" t="n">
        <f aca="false">P303</f>
        <v>0</v>
      </c>
      <c r="Q645" s="40"/>
      <c r="R645" s="178"/>
      <c r="S645" s="166" t="n">
        <f aca="false">IF(S440=0,0,(SUMIF(Resource_Planning!$P$49:$P$356,$P645,Resource_Planning!S$49:S$356))/S440-1)</f>
        <v>0</v>
      </c>
      <c r="T645" s="166" t="n">
        <f aca="false">IF(T440=0,0,(SUMIF(Resource_Planning!$P$49:$P$356,$P645,Resource_Planning!T$49:T$356))/T440-1)</f>
        <v>0</v>
      </c>
      <c r="U645" s="166" t="n">
        <f aca="false">IF(U440=0,0,(SUMIF(Resource_Planning!$P$49:$P$356,$P645,Resource_Planning!U$49:U$356))/U440-1)</f>
        <v>0</v>
      </c>
      <c r="V645" s="166" t="n">
        <f aca="false">IF(V440=0,0,(SUMIF(Resource_Planning!$P$49:$P$356,$P645,Resource_Planning!V$49:V$356))/V440-1)</f>
        <v>0</v>
      </c>
      <c r="W645" s="166" t="n">
        <f aca="false">IF(W440=0,0,(SUMIF(Resource_Planning!$P$49:$P$356,$P645,Resource_Planning!W$49:W$356))/W440-1)</f>
        <v>0</v>
      </c>
      <c r="X645" s="166" t="n">
        <f aca="false">IF(X440=0,0,(SUMIF(Resource_Planning!$P$49:$P$356,$P645,Resource_Planning!X$49:X$356))/X440-1)</f>
        <v>0</v>
      </c>
      <c r="Y645" s="166" t="n">
        <f aca="false">IF(Y440=0,0,(SUMIF(Resource_Planning!$P$49:$P$356,$P645,Resource_Planning!Y$49:Y$356))/Y440-1)</f>
        <v>0</v>
      </c>
      <c r="Z645" s="166" t="n">
        <f aca="false">IF(Z440=0,0,(SUMIF(Resource_Planning!$P$49:$P$356,$P645,Resource_Planning!Z$49:Z$356))/Z440-1)</f>
        <v>0</v>
      </c>
      <c r="AA645" s="166" t="n">
        <f aca="false">IF(AA440=0,0,(SUMIF(Resource_Planning!$P$49:$P$356,$P645,Resource_Planning!AA$49:AA$356))/AA440-1)</f>
        <v>0</v>
      </c>
      <c r="AB645" s="166" t="n">
        <f aca="false">IF(AB440=0,0,(SUMIF(Resource_Planning!$P$49:$P$356,$P645,Resource_Planning!AB$49:AB$356))/AB440-1)</f>
        <v>0</v>
      </c>
      <c r="AC645" s="166" t="n">
        <f aca="false">IF(AC440=0,0,(SUMIF(Resource_Planning!$P$49:$P$356,$P645,Resource_Planning!AC$49:AC$356))/AC440-1)</f>
        <v>0</v>
      </c>
      <c r="AD645" s="166" t="n">
        <f aca="false">IF(AD440=0,0,(SUMIF(Resource_Planning!$P$49:$P$356,$P645,Resource_Planning!AD$49:AD$356))/AD440-1)</f>
        <v>0</v>
      </c>
      <c r="AE645" s="166" t="n">
        <f aca="false">IF(AE440=0,0,(SUMIF(Resource_Planning!$P$49:$P$356,$P645,Resource_Planning!AE$49:AE$356))/AE440-1)</f>
        <v>0</v>
      </c>
      <c r="AF645" s="166" t="n">
        <f aca="false">IF(AF440=0,0,(SUMIF(Resource_Planning!$P$49:$P$356,$P645,Resource_Planning!AF$49:AF$356))/AF440-1)</f>
        <v>0</v>
      </c>
      <c r="AG645" s="166" t="n">
        <f aca="false">IF(AG440=0,0,(SUMIF(Resource_Planning!$P$49:$P$356,$P645,Resource_Planning!AG$49:AG$356))/AG440-1)</f>
        <v>0</v>
      </c>
      <c r="AH645" s="166" t="n">
        <f aca="false">IF(AH440=0,0,(SUMIF(Resource_Planning!$P$49:$P$356,$P645,Resource_Planning!AH$49:AH$356))/AH440-1)</f>
        <v>0</v>
      </c>
      <c r="AI645" s="166" t="n">
        <f aca="false">IF(AI440=0,0,(SUMIF(Resource_Planning!$P$49:$P$356,$P645,Resource_Planning!AI$49:AI$356))/AI440-1)</f>
        <v>0</v>
      </c>
      <c r="AJ645" s="166" t="n">
        <f aca="false">IF(AJ440=0,0,(SUMIF(Resource_Planning!$P$49:$P$356,$P645,Resource_Planning!AJ$49:AJ$356))/AJ440-1)</f>
        <v>0</v>
      </c>
      <c r="AK645" s="166" t="n">
        <f aca="false">IF(AK440=0,0,(SUMIF(Resource_Planning!$P$49:$P$356,$P645,Resource_Planning!AK$49:AK$356))/AK440-1)</f>
        <v>0</v>
      </c>
      <c r="AL645" s="166" t="n">
        <f aca="false">IF(AL440=0,0,(SUMIF(Resource_Planning!$P$49:$P$356,$P645,Resource_Planning!AL$49:AL$356))/AL440-1)</f>
        <v>0</v>
      </c>
      <c r="AM645" s="166" t="n">
        <f aca="false">IF(AM440=0,0,(SUMIF(Resource_Planning!$P$49:$P$356,$P645,Resource_Planning!AM$49:AM$356))/AM440-1)</f>
        <v>0</v>
      </c>
      <c r="AN645" s="166" t="n">
        <f aca="false">IF(AN440=0,0,(SUMIF(Resource_Planning!$P$49:$P$356,$P645,Resource_Planning!AN$49:AN$356))/AN440-1)</f>
        <v>0</v>
      </c>
      <c r="AO645" s="166" t="n">
        <f aca="false">IF(AO440=0,0,(SUMIF(Resource_Planning!$P$49:$P$356,$P645,Resource_Planning!AO$49:AO$356))/AO440-1)</f>
        <v>0</v>
      </c>
      <c r="AP645" s="166" t="n">
        <f aca="false">IF(AP440=0,0,(SUMIF(Resource_Planning!$P$49:$P$356,$P645,Resource_Planning!AP$49:AP$356))/AP440-1)</f>
        <v>0</v>
      </c>
      <c r="AQ645" s="166" t="n">
        <f aca="false">IF(AQ440=0,0,(SUMIF(Resource_Planning!$P$49:$P$356,$P645,Resource_Planning!AQ$49:AQ$356))/AQ440-1)</f>
        <v>0</v>
      </c>
      <c r="AR645" s="166" t="n">
        <f aca="false">IF(AR440=0,0,(SUMIF(Resource_Planning!$P$49:$P$356,$P645,Resource_Planning!AR$49:AR$356))/AR440-1)</f>
        <v>0</v>
      </c>
      <c r="AS645" s="166" t="n">
        <f aca="false">IF(AS440=0,0,(SUMIF(Resource_Planning!$P$49:$P$356,$P645,Resource_Planning!AS$49:AS$356))/AS440-1)</f>
        <v>0</v>
      </c>
      <c r="AT645" s="166" t="n">
        <f aca="false">IF(AT440=0,0,(SUMIF(Resource_Planning!$P$49:$P$356,$P645,Resource_Planning!AT$49:AT$356))/AT440-1)</f>
        <v>0</v>
      </c>
      <c r="AU645" s="166" t="n">
        <f aca="false">IF(AU440=0,0,(SUMIF(Resource_Planning!$P$49:$P$356,$P645,Resource_Planning!AU$49:AU$356))/AU440-1)</f>
        <v>0</v>
      </c>
      <c r="AV645" s="166" t="n">
        <f aca="false">IF(AV440=0,0,(SUMIF(Resource_Planning!$P$49:$P$356,$P645,Resource_Planning!AV$49:AV$356))/AV440-1)</f>
        <v>0</v>
      </c>
      <c r="AW645" s="166" t="n">
        <f aca="false">IF(AW440=0,0,(SUMIF(Resource_Planning!$P$49:$P$356,$P645,Resource_Planning!AW$49:AW$356))/AW440-1)</f>
        <v>0</v>
      </c>
      <c r="AX645" s="166" t="n">
        <f aca="false">IF(AX440=0,0,(SUMIF(Resource_Planning!$P$49:$P$356,$P645,Resource_Planning!AX$49:AX$356))/AX440-1)</f>
        <v>0</v>
      </c>
      <c r="AY645" s="166" t="n">
        <f aca="false">IF(AY440=0,0,(SUMIF(Resource_Planning!$P$49:$P$356,$P645,Resource_Planning!AY$49:AY$356))/AY440-1)</f>
        <v>0</v>
      </c>
      <c r="AZ645" s="166" t="n">
        <f aca="false">IF(AZ440=0,0,(SUMIF(Resource_Planning!$P$49:$P$356,$P645,Resource_Planning!AZ$49:AZ$356))/AZ440-1)</f>
        <v>0</v>
      </c>
      <c r="BA645" s="166" t="n">
        <f aca="false">IF(BA440=0,0,(SUMIF(Resource_Planning!$P$49:$P$356,$P645,Resource_Planning!BA$49:BA$356))/BA440-1)</f>
        <v>0</v>
      </c>
      <c r="BB645" s="166" t="n">
        <f aca="false">IF(BB440=0,0,(SUMIF(Resource_Planning!$P$49:$P$356,$P645,Resource_Planning!BB$49:BB$356))/BB440-1)</f>
        <v>0</v>
      </c>
    </row>
    <row r="646" s="173" customFormat="true" ht="15" hidden="true" customHeight="false" outlineLevel="1" collapsed="false">
      <c r="E646" s="40"/>
      <c r="K646" s="40"/>
      <c r="L646" s="40"/>
      <c r="M646" s="40"/>
      <c r="N646" s="40"/>
      <c r="P646" s="177" t="n">
        <f aca="false">P304</f>
        <v>0</v>
      </c>
      <c r="Q646" s="40"/>
      <c r="R646" s="178"/>
      <c r="S646" s="166" t="n">
        <f aca="false">IF(S441=0,0,(SUMIF(Resource_Planning!$P$49:$P$356,$P646,Resource_Planning!S$49:S$356))/S441-1)</f>
        <v>0</v>
      </c>
      <c r="T646" s="166" t="n">
        <f aca="false">IF(T441=0,0,(SUMIF(Resource_Planning!$P$49:$P$356,$P646,Resource_Planning!T$49:T$356))/T441-1)</f>
        <v>0</v>
      </c>
      <c r="U646" s="166" t="n">
        <f aca="false">IF(U441=0,0,(SUMIF(Resource_Planning!$P$49:$P$356,$P646,Resource_Planning!U$49:U$356))/U441-1)</f>
        <v>0</v>
      </c>
      <c r="V646" s="166" t="n">
        <f aca="false">IF(V441=0,0,(SUMIF(Resource_Planning!$P$49:$P$356,$P646,Resource_Planning!V$49:V$356))/V441-1)</f>
        <v>0</v>
      </c>
      <c r="W646" s="166" t="n">
        <f aca="false">IF(W441=0,0,(SUMIF(Resource_Planning!$P$49:$P$356,$P646,Resource_Planning!W$49:W$356))/W441-1)</f>
        <v>0</v>
      </c>
      <c r="X646" s="166" t="n">
        <f aca="false">IF(X441=0,0,(SUMIF(Resource_Planning!$P$49:$P$356,$P646,Resource_Planning!X$49:X$356))/X441-1)</f>
        <v>0</v>
      </c>
      <c r="Y646" s="166" t="n">
        <f aca="false">IF(Y441=0,0,(SUMIF(Resource_Planning!$P$49:$P$356,$P646,Resource_Planning!Y$49:Y$356))/Y441-1)</f>
        <v>0</v>
      </c>
      <c r="Z646" s="166" t="n">
        <f aca="false">IF(Z441=0,0,(SUMIF(Resource_Planning!$P$49:$P$356,$P646,Resource_Planning!Z$49:Z$356))/Z441-1)</f>
        <v>0</v>
      </c>
      <c r="AA646" s="166" t="n">
        <f aca="false">IF(AA441=0,0,(SUMIF(Resource_Planning!$P$49:$P$356,$P646,Resource_Planning!AA$49:AA$356))/AA441-1)</f>
        <v>0</v>
      </c>
      <c r="AB646" s="166" t="n">
        <f aca="false">IF(AB441=0,0,(SUMIF(Resource_Planning!$P$49:$P$356,$P646,Resource_Planning!AB$49:AB$356))/AB441-1)</f>
        <v>0</v>
      </c>
      <c r="AC646" s="166" t="n">
        <f aca="false">IF(AC441=0,0,(SUMIF(Resource_Planning!$P$49:$P$356,$P646,Resource_Planning!AC$49:AC$356))/AC441-1)</f>
        <v>0</v>
      </c>
      <c r="AD646" s="166" t="n">
        <f aca="false">IF(AD441=0,0,(SUMIF(Resource_Planning!$P$49:$P$356,$P646,Resource_Planning!AD$49:AD$356))/AD441-1)</f>
        <v>0</v>
      </c>
      <c r="AE646" s="166" t="n">
        <f aca="false">IF(AE441=0,0,(SUMIF(Resource_Planning!$P$49:$P$356,$P646,Resource_Planning!AE$49:AE$356))/AE441-1)</f>
        <v>0</v>
      </c>
      <c r="AF646" s="166" t="n">
        <f aca="false">IF(AF441=0,0,(SUMIF(Resource_Planning!$P$49:$P$356,$P646,Resource_Planning!AF$49:AF$356))/AF441-1)</f>
        <v>0</v>
      </c>
      <c r="AG646" s="166" t="n">
        <f aca="false">IF(AG441=0,0,(SUMIF(Resource_Planning!$P$49:$P$356,$P646,Resource_Planning!AG$49:AG$356))/AG441-1)</f>
        <v>0</v>
      </c>
      <c r="AH646" s="166" t="n">
        <f aca="false">IF(AH441=0,0,(SUMIF(Resource_Planning!$P$49:$P$356,$P646,Resource_Planning!AH$49:AH$356))/AH441-1)</f>
        <v>0</v>
      </c>
      <c r="AI646" s="166" t="n">
        <f aca="false">IF(AI441=0,0,(SUMIF(Resource_Planning!$P$49:$P$356,$P646,Resource_Planning!AI$49:AI$356))/AI441-1)</f>
        <v>0</v>
      </c>
      <c r="AJ646" s="166" t="n">
        <f aca="false">IF(AJ441=0,0,(SUMIF(Resource_Planning!$P$49:$P$356,$P646,Resource_Planning!AJ$49:AJ$356))/AJ441-1)</f>
        <v>0</v>
      </c>
      <c r="AK646" s="166" t="n">
        <f aca="false">IF(AK441=0,0,(SUMIF(Resource_Planning!$P$49:$P$356,$P646,Resource_Planning!AK$49:AK$356))/AK441-1)</f>
        <v>0</v>
      </c>
      <c r="AL646" s="166" t="n">
        <f aca="false">IF(AL441=0,0,(SUMIF(Resource_Planning!$P$49:$P$356,$P646,Resource_Planning!AL$49:AL$356))/AL441-1)</f>
        <v>0</v>
      </c>
      <c r="AM646" s="166" t="n">
        <f aca="false">IF(AM441=0,0,(SUMIF(Resource_Planning!$P$49:$P$356,$P646,Resource_Planning!AM$49:AM$356))/AM441-1)</f>
        <v>0</v>
      </c>
      <c r="AN646" s="166" t="n">
        <f aca="false">IF(AN441=0,0,(SUMIF(Resource_Planning!$P$49:$P$356,$P646,Resource_Planning!AN$49:AN$356))/AN441-1)</f>
        <v>0</v>
      </c>
      <c r="AO646" s="166" t="n">
        <f aca="false">IF(AO441=0,0,(SUMIF(Resource_Planning!$P$49:$P$356,$P646,Resource_Planning!AO$49:AO$356))/AO441-1)</f>
        <v>0</v>
      </c>
      <c r="AP646" s="166" t="n">
        <f aca="false">IF(AP441=0,0,(SUMIF(Resource_Planning!$P$49:$P$356,$P646,Resource_Planning!AP$49:AP$356))/AP441-1)</f>
        <v>0</v>
      </c>
      <c r="AQ646" s="166" t="n">
        <f aca="false">IF(AQ441=0,0,(SUMIF(Resource_Planning!$P$49:$P$356,$P646,Resource_Planning!AQ$49:AQ$356))/AQ441-1)</f>
        <v>0</v>
      </c>
      <c r="AR646" s="166" t="n">
        <f aca="false">IF(AR441=0,0,(SUMIF(Resource_Planning!$P$49:$P$356,$P646,Resource_Planning!AR$49:AR$356))/AR441-1)</f>
        <v>0</v>
      </c>
      <c r="AS646" s="166" t="n">
        <f aca="false">IF(AS441=0,0,(SUMIF(Resource_Planning!$P$49:$P$356,$P646,Resource_Planning!AS$49:AS$356))/AS441-1)</f>
        <v>0</v>
      </c>
      <c r="AT646" s="166" t="n">
        <f aca="false">IF(AT441=0,0,(SUMIF(Resource_Planning!$P$49:$P$356,$P646,Resource_Planning!AT$49:AT$356))/AT441-1)</f>
        <v>0</v>
      </c>
      <c r="AU646" s="166" t="n">
        <f aca="false">IF(AU441=0,0,(SUMIF(Resource_Planning!$P$49:$P$356,$P646,Resource_Planning!AU$49:AU$356))/AU441-1)</f>
        <v>0</v>
      </c>
      <c r="AV646" s="166" t="n">
        <f aca="false">IF(AV441=0,0,(SUMIF(Resource_Planning!$P$49:$P$356,$P646,Resource_Planning!AV$49:AV$356))/AV441-1)</f>
        <v>0</v>
      </c>
      <c r="AW646" s="166" t="n">
        <f aca="false">IF(AW441=0,0,(SUMIF(Resource_Planning!$P$49:$P$356,$P646,Resource_Planning!AW$49:AW$356))/AW441-1)</f>
        <v>0</v>
      </c>
      <c r="AX646" s="166" t="n">
        <f aca="false">IF(AX441=0,0,(SUMIF(Resource_Planning!$P$49:$P$356,$P646,Resource_Planning!AX$49:AX$356))/AX441-1)</f>
        <v>0</v>
      </c>
      <c r="AY646" s="166" t="n">
        <f aca="false">IF(AY441=0,0,(SUMIF(Resource_Planning!$P$49:$P$356,$P646,Resource_Planning!AY$49:AY$356))/AY441-1)</f>
        <v>0</v>
      </c>
      <c r="AZ646" s="166" t="n">
        <f aca="false">IF(AZ441=0,0,(SUMIF(Resource_Planning!$P$49:$P$356,$P646,Resource_Planning!AZ$49:AZ$356))/AZ441-1)</f>
        <v>0</v>
      </c>
      <c r="BA646" s="166" t="n">
        <f aca="false">IF(BA441=0,0,(SUMIF(Resource_Planning!$P$49:$P$356,$P646,Resource_Planning!BA$49:BA$356))/BA441-1)</f>
        <v>0</v>
      </c>
      <c r="BB646" s="166" t="n">
        <f aca="false">IF(BB441=0,0,(SUMIF(Resource_Planning!$P$49:$P$356,$P646,Resource_Planning!BB$49:BB$356))/BB441-1)</f>
        <v>0</v>
      </c>
    </row>
    <row r="647" s="173" customFormat="true" ht="15" hidden="true" customHeight="false" outlineLevel="1" collapsed="false">
      <c r="E647" s="40"/>
      <c r="K647" s="40"/>
      <c r="L647" s="40"/>
      <c r="M647" s="40"/>
      <c r="N647" s="40"/>
      <c r="P647" s="177" t="n">
        <f aca="false">P305</f>
        <v>0</v>
      </c>
      <c r="Q647" s="40"/>
      <c r="R647" s="178"/>
      <c r="S647" s="166" t="n">
        <f aca="false">IF(S442=0,0,(SUMIF(Resource_Planning!$P$49:$P$356,$P647,Resource_Planning!S$49:S$356))/S442-1)</f>
        <v>0</v>
      </c>
      <c r="T647" s="166" t="n">
        <f aca="false">IF(T442=0,0,(SUMIF(Resource_Planning!$P$49:$P$356,$P647,Resource_Planning!T$49:T$356))/T442-1)</f>
        <v>0</v>
      </c>
      <c r="U647" s="166" t="n">
        <f aca="false">IF(U442=0,0,(SUMIF(Resource_Planning!$P$49:$P$356,$P647,Resource_Planning!U$49:U$356))/U442-1)</f>
        <v>0</v>
      </c>
      <c r="V647" s="166" t="n">
        <f aca="false">IF(V442=0,0,(SUMIF(Resource_Planning!$P$49:$P$356,$P647,Resource_Planning!V$49:V$356))/V442-1)</f>
        <v>0</v>
      </c>
      <c r="W647" s="166" t="n">
        <f aca="false">IF(W442=0,0,(SUMIF(Resource_Planning!$P$49:$P$356,$P647,Resource_Planning!W$49:W$356))/W442-1)</f>
        <v>0</v>
      </c>
      <c r="X647" s="166" t="n">
        <f aca="false">IF(X442=0,0,(SUMIF(Resource_Planning!$P$49:$P$356,$P647,Resource_Planning!X$49:X$356))/X442-1)</f>
        <v>0</v>
      </c>
      <c r="Y647" s="166" t="n">
        <f aca="false">IF(Y442=0,0,(SUMIF(Resource_Planning!$P$49:$P$356,$P647,Resource_Planning!Y$49:Y$356))/Y442-1)</f>
        <v>0</v>
      </c>
      <c r="Z647" s="166" t="n">
        <f aca="false">IF(Z442=0,0,(SUMIF(Resource_Planning!$P$49:$P$356,$P647,Resource_Planning!Z$49:Z$356))/Z442-1)</f>
        <v>0</v>
      </c>
      <c r="AA647" s="166" t="n">
        <f aca="false">IF(AA442=0,0,(SUMIF(Resource_Planning!$P$49:$P$356,$P647,Resource_Planning!AA$49:AA$356))/AA442-1)</f>
        <v>0</v>
      </c>
      <c r="AB647" s="166" t="n">
        <f aca="false">IF(AB442=0,0,(SUMIF(Resource_Planning!$P$49:$P$356,$P647,Resource_Planning!AB$49:AB$356))/AB442-1)</f>
        <v>0</v>
      </c>
      <c r="AC647" s="166" t="n">
        <f aca="false">IF(AC442=0,0,(SUMIF(Resource_Planning!$P$49:$P$356,$P647,Resource_Planning!AC$49:AC$356))/AC442-1)</f>
        <v>0</v>
      </c>
      <c r="AD647" s="166" t="n">
        <f aca="false">IF(AD442=0,0,(SUMIF(Resource_Planning!$P$49:$P$356,$P647,Resource_Planning!AD$49:AD$356))/AD442-1)</f>
        <v>0</v>
      </c>
      <c r="AE647" s="166" t="n">
        <f aca="false">IF(AE442=0,0,(SUMIF(Resource_Planning!$P$49:$P$356,$P647,Resource_Planning!AE$49:AE$356))/AE442-1)</f>
        <v>0</v>
      </c>
      <c r="AF647" s="166" t="n">
        <f aca="false">IF(AF442=0,0,(SUMIF(Resource_Planning!$P$49:$P$356,$P647,Resource_Planning!AF$49:AF$356))/AF442-1)</f>
        <v>0</v>
      </c>
      <c r="AG647" s="166" t="n">
        <f aca="false">IF(AG442=0,0,(SUMIF(Resource_Planning!$P$49:$P$356,$P647,Resource_Planning!AG$49:AG$356))/AG442-1)</f>
        <v>0</v>
      </c>
      <c r="AH647" s="166" t="n">
        <f aca="false">IF(AH442=0,0,(SUMIF(Resource_Planning!$P$49:$P$356,$P647,Resource_Planning!AH$49:AH$356))/AH442-1)</f>
        <v>0</v>
      </c>
      <c r="AI647" s="166" t="n">
        <f aca="false">IF(AI442=0,0,(SUMIF(Resource_Planning!$P$49:$P$356,$P647,Resource_Planning!AI$49:AI$356))/AI442-1)</f>
        <v>0</v>
      </c>
      <c r="AJ647" s="166" t="n">
        <f aca="false">IF(AJ442=0,0,(SUMIF(Resource_Planning!$P$49:$P$356,$P647,Resource_Planning!AJ$49:AJ$356))/AJ442-1)</f>
        <v>0</v>
      </c>
      <c r="AK647" s="166" t="n">
        <f aca="false">IF(AK442=0,0,(SUMIF(Resource_Planning!$P$49:$P$356,$P647,Resource_Planning!AK$49:AK$356))/AK442-1)</f>
        <v>0</v>
      </c>
      <c r="AL647" s="166" t="n">
        <f aca="false">IF(AL442=0,0,(SUMIF(Resource_Planning!$P$49:$P$356,$P647,Resource_Planning!AL$49:AL$356))/AL442-1)</f>
        <v>0</v>
      </c>
      <c r="AM647" s="166" t="n">
        <f aca="false">IF(AM442=0,0,(SUMIF(Resource_Planning!$P$49:$P$356,$P647,Resource_Planning!AM$49:AM$356))/AM442-1)</f>
        <v>0</v>
      </c>
      <c r="AN647" s="166" t="n">
        <f aca="false">IF(AN442=0,0,(SUMIF(Resource_Planning!$P$49:$P$356,$P647,Resource_Planning!AN$49:AN$356))/AN442-1)</f>
        <v>0</v>
      </c>
      <c r="AO647" s="166" t="n">
        <f aca="false">IF(AO442=0,0,(SUMIF(Resource_Planning!$P$49:$P$356,$P647,Resource_Planning!AO$49:AO$356))/AO442-1)</f>
        <v>0</v>
      </c>
      <c r="AP647" s="166" t="n">
        <f aca="false">IF(AP442=0,0,(SUMIF(Resource_Planning!$P$49:$P$356,$P647,Resource_Planning!AP$49:AP$356))/AP442-1)</f>
        <v>0</v>
      </c>
      <c r="AQ647" s="166" t="n">
        <f aca="false">IF(AQ442=0,0,(SUMIF(Resource_Planning!$P$49:$P$356,$P647,Resource_Planning!AQ$49:AQ$356))/AQ442-1)</f>
        <v>0</v>
      </c>
      <c r="AR647" s="166" t="n">
        <f aca="false">IF(AR442=0,0,(SUMIF(Resource_Planning!$P$49:$P$356,$P647,Resource_Planning!AR$49:AR$356))/AR442-1)</f>
        <v>0</v>
      </c>
      <c r="AS647" s="166" t="n">
        <f aca="false">IF(AS442=0,0,(SUMIF(Resource_Planning!$P$49:$P$356,$P647,Resource_Planning!AS$49:AS$356))/AS442-1)</f>
        <v>0</v>
      </c>
      <c r="AT647" s="166" t="n">
        <f aca="false">IF(AT442=0,0,(SUMIF(Resource_Planning!$P$49:$P$356,$P647,Resource_Planning!AT$49:AT$356))/AT442-1)</f>
        <v>0</v>
      </c>
      <c r="AU647" s="166" t="n">
        <f aca="false">IF(AU442=0,0,(SUMIF(Resource_Planning!$P$49:$P$356,$P647,Resource_Planning!AU$49:AU$356))/AU442-1)</f>
        <v>0</v>
      </c>
      <c r="AV647" s="166" t="n">
        <f aca="false">IF(AV442=0,0,(SUMIF(Resource_Planning!$P$49:$P$356,$P647,Resource_Planning!AV$49:AV$356))/AV442-1)</f>
        <v>0</v>
      </c>
      <c r="AW647" s="166" t="n">
        <f aca="false">IF(AW442=0,0,(SUMIF(Resource_Planning!$P$49:$P$356,$P647,Resource_Planning!AW$49:AW$356))/AW442-1)</f>
        <v>0</v>
      </c>
      <c r="AX647" s="166" t="n">
        <f aca="false">IF(AX442=0,0,(SUMIF(Resource_Planning!$P$49:$P$356,$P647,Resource_Planning!AX$49:AX$356))/AX442-1)</f>
        <v>0</v>
      </c>
      <c r="AY647" s="166" t="n">
        <f aca="false">IF(AY442=0,0,(SUMIF(Resource_Planning!$P$49:$P$356,$P647,Resource_Planning!AY$49:AY$356))/AY442-1)</f>
        <v>0</v>
      </c>
      <c r="AZ647" s="166" t="n">
        <f aca="false">IF(AZ442=0,0,(SUMIF(Resource_Planning!$P$49:$P$356,$P647,Resource_Planning!AZ$49:AZ$356))/AZ442-1)</f>
        <v>0</v>
      </c>
      <c r="BA647" s="166" t="n">
        <f aca="false">IF(BA442=0,0,(SUMIF(Resource_Planning!$P$49:$P$356,$P647,Resource_Planning!BA$49:BA$356))/BA442-1)</f>
        <v>0</v>
      </c>
      <c r="BB647" s="166" t="n">
        <f aca="false">IF(BB442=0,0,(SUMIF(Resource_Planning!$P$49:$P$356,$P647,Resource_Planning!BB$49:BB$356))/BB442-1)</f>
        <v>0</v>
      </c>
    </row>
    <row r="648" s="173" customFormat="true" ht="15" hidden="true" customHeight="false" outlineLevel="1" collapsed="false">
      <c r="E648" s="40"/>
      <c r="K648" s="40"/>
      <c r="L648" s="40"/>
      <c r="M648" s="40"/>
      <c r="N648" s="40"/>
      <c r="P648" s="177" t="n">
        <f aca="false">P306</f>
        <v>0</v>
      </c>
      <c r="Q648" s="40"/>
      <c r="R648" s="178"/>
      <c r="S648" s="166" t="n">
        <f aca="false">IF(S443=0,0,(SUMIF(Resource_Planning!$P$49:$P$356,$P648,Resource_Planning!S$49:S$356))/S443-1)</f>
        <v>0</v>
      </c>
      <c r="T648" s="166" t="n">
        <f aca="false">IF(T443=0,0,(SUMIF(Resource_Planning!$P$49:$P$356,$P648,Resource_Planning!T$49:T$356))/T443-1)</f>
        <v>0</v>
      </c>
      <c r="U648" s="166" t="n">
        <f aca="false">IF(U443=0,0,(SUMIF(Resource_Planning!$P$49:$P$356,$P648,Resource_Planning!U$49:U$356))/U443-1)</f>
        <v>0</v>
      </c>
      <c r="V648" s="166" t="n">
        <f aca="false">IF(V443=0,0,(SUMIF(Resource_Planning!$P$49:$P$356,$P648,Resource_Planning!V$49:V$356))/V443-1)</f>
        <v>0</v>
      </c>
      <c r="W648" s="166" t="n">
        <f aca="false">IF(W443=0,0,(SUMIF(Resource_Planning!$P$49:$P$356,$P648,Resource_Planning!W$49:W$356))/W443-1)</f>
        <v>0</v>
      </c>
      <c r="X648" s="166" t="n">
        <f aca="false">IF(X443=0,0,(SUMIF(Resource_Planning!$P$49:$P$356,$P648,Resource_Planning!X$49:X$356))/X443-1)</f>
        <v>0</v>
      </c>
      <c r="Y648" s="166" t="n">
        <f aca="false">IF(Y443=0,0,(SUMIF(Resource_Planning!$P$49:$P$356,$P648,Resource_Planning!Y$49:Y$356))/Y443-1)</f>
        <v>0</v>
      </c>
      <c r="Z648" s="166" t="n">
        <f aca="false">IF(Z443=0,0,(SUMIF(Resource_Planning!$P$49:$P$356,$P648,Resource_Planning!Z$49:Z$356))/Z443-1)</f>
        <v>0</v>
      </c>
      <c r="AA648" s="166" t="n">
        <f aca="false">IF(AA443=0,0,(SUMIF(Resource_Planning!$P$49:$P$356,$P648,Resource_Planning!AA$49:AA$356))/AA443-1)</f>
        <v>0</v>
      </c>
      <c r="AB648" s="166" t="n">
        <f aca="false">IF(AB443=0,0,(SUMIF(Resource_Planning!$P$49:$P$356,$P648,Resource_Planning!AB$49:AB$356))/AB443-1)</f>
        <v>0</v>
      </c>
      <c r="AC648" s="166" t="n">
        <f aca="false">IF(AC443=0,0,(SUMIF(Resource_Planning!$P$49:$P$356,$P648,Resource_Planning!AC$49:AC$356))/AC443-1)</f>
        <v>0</v>
      </c>
      <c r="AD648" s="166" t="n">
        <f aca="false">IF(AD443=0,0,(SUMIF(Resource_Planning!$P$49:$P$356,$P648,Resource_Planning!AD$49:AD$356))/AD443-1)</f>
        <v>0</v>
      </c>
      <c r="AE648" s="166" t="n">
        <f aca="false">IF(AE443=0,0,(SUMIF(Resource_Planning!$P$49:$P$356,$P648,Resource_Planning!AE$49:AE$356))/AE443-1)</f>
        <v>0</v>
      </c>
      <c r="AF648" s="166" t="n">
        <f aca="false">IF(AF443=0,0,(SUMIF(Resource_Planning!$P$49:$P$356,$P648,Resource_Planning!AF$49:AF$356))/AF443-1)</f>
        <v>0</v>
      </c>
      <c r="AG648" s="166" t="n">
        <f aca="false">IF(AG443=0,0,(SUMIF(Resource_Planning!$P$49:$P$356,$P648,Resource_Planning!AG$49:AG$356))/AG443-1)</f>
        <v>0</v>
      </c>
      <c r="AH648" s="166" t="n">
        <f aca="false">IF(AH443=0,0,(SUMIF(Resource_Planning!$P$49:$P$356,$P648,Resource_Planning!AH$49:AH$356))/AH443-1)</f>
        <v>0</v>
      </c>
      <c r="AI648" s="166" t="n">
        <f aca="false">IF(AI443=0,0,(SUMIF(Resource_Planning!$P$49:$P$356,$P648,Resource_Planning!AI$49:AI$356))/AI443-1)</f>
        <v>0</v>
      </c>
      <c r="AJ648" s="166" t="n">
        <f aca="false">IF(AJ443=0,0,(SUMIF(Resource_Planning!$P$49:$P$356,$P648,Resource_Planning!AJ$49:AJ$356))/AJ443-1)</f>
        <v>0</v>
      </c>
      <c r="AK648" s="166" t="n">
        <f aca="false">IF(AK443=0,0,(SUMIF(Resource_Planning!$P$49:$P$356,$P648,Resource_Planning!AK$49:AK$356))/AK443-1)</f>
        <v>0</v>
      </c>
      <c r="AL648" s="166" t="n">
        <f aca="false">IF(AL443=0,0,(SUMIF(Resource_Planning!$P$49:$P$356,$P648,Resource_Planning!AL$49:AL$356))/AL443-1)</f>
        <v>0</v>
      </c>
      <c r="AM648" s="166" t="n">
        <f aca="false">IF(AM443=0,0,(SUMIF(Resource_Planning!$P$49:$P$356,$P648,Resource_Planning!AM$49:AM$356))/AM443-1)</f>
        <v>0</v>
      </c>
      <c r="AN648" s="166" t="n">
        <f aca="false">IF(AN443=0,0,(SUMIF(Resource_Planning!$P$49:$P$356,$P648,Resource_Planning!AN$49:AN$356))/AN443-1)</f>
        <v>0</v>
      </c>
      <c r="AO648" s="166" t="n">
        <f aca="false">IF(AO443=0,0,(SUMIF(Resource_Planning!$P$49:$P$356,$P648,Resource_Planning!AO$49:AO$356))/AO443-1)</f>
        <v>0</v>
      </c>
      <c r="AP648" s="166" t="n">
        <f aca="false">IF(AP443=0,0,(SUMIF(Resource_Planning!$P$49:$P$356,$P648,Resource_Planning!AP$49:AP$356))/AP443-1)</f>
        <v>0</v>
      </c>
      <c r="AQ648" s="166" t="n">
        <f aca="false">IF(AQ443=0,0,(SUMIF(Resource_Planning!$P$49:$P$356,$P648,Resource_Planning!AQ$49:AQ$356))/AQ443-1)</f>
        <v>0</v>
      </c>
      <c r="AR648" s="166" t="n">
        <f aca="false">IF(AR443=0,0,(SUMIF(Resource_Planning!$P$49:$P$356,$P648,Resource_Planning!AR$49:AR$356))/AR443-1)</f>
        <v>0</v>
      </c>
      <c r="AS648" s="166" t="n">
        <f aca="false">IF(AS443=0,0,(SUMIF(Resource_Planning!$P$49:$P$356,$P648,Resource_Planning!AS$49:AS$356))/AS443-1)</f>
        <v>0</v>
      </c>
      <c r="AT648" s="166" t="n">
        <f aca="false">IF(AT443=0,0,(SUMIF(Resource_Planning!$P$49:$P$356,$P648,Resource_Planning!AT$49:AT$356))/AT443-1)</f>
        <v>0</v>
      </c>
      <c r="AU648" s="166" t="n">
        <f aca="false">IF(AU443=0,0,(SUMIF(Resource_Planning!$P$49:$P$356,$P648,Resource_Planning!AU$49:AU$356))/AU443-1)</f>
        <v>0</v>
      </c>
      <c r="AV648" s="166" t="n">
        <f aca="false">IF(AV443=0,0,(SUMIF(Resource_Planning!$P$49:$P$356,$P648,Resource_Planning!AV$49:AV$356))/AV443-1)</f>
        <v>0</v>
      </c>
      <c r="AW648" s="166" t="n">
        <f aca="false">IF(AW443=0,0,(SUMIF(Resource_Planning!$P$49:$P$356,$P648,Resource_Planning!AW$49:AW$356))/AW443-1)</f>
        <v>0</v>
      </c>
      <c r="AX648" s="166" t="n">
        <f aca="false">IF(AX443=0,0,(SUMIF(Resource_Planning!$P$49:$P$356,$P648,Resource_Planning!AX$49:AX$356))/AX443-1)</f>
        <v>0</v>
      </c>
      <c r="AY648" s="166" t="n">
        <f aca="false">IF(AY443=0,0,(SUMIF(Resource_Planning!$P$49:$P$356,$P648,Resource_Planning!AY$49:AY$356))/AY443-1)</f>
        <v>0</v>
      </c>
      <c r="AZ648" s="166" t="n">
        <f aca="false">IF(AZ443=0,0,(SUMIF(Resource_Planning!$P$49:$P$356,$P648,Resource_Planning!AZ$49:AZ$356))/AZ443-1)</f>
        <v>0</v>
      </c>
      <c r="BA648" s="166" t="n">
        <f aca="false">IF(BA443=0,0,(SUMIF(Resource_Planning!$P$49:$P$356,$P648,Resource_Planning!BA$49:BA$356))/BA443-1)</f>
        <v>0</v>
      </c>
      <c r="BB648" s="166" t="n">
        <f aca="false">IF(BB443=0,0,(SUMIF(Resource_Planning!$P$49:$P$356,$P648,Resource_Planning!BB$49:BB$356))/BB443-1)</f>
        <v>0</v>
      </c>
    </row>
    <row r="649" s="173" customFormat="true" ht="15" hidden="true" customHeight="false" outlineLevel="1" collapsed="false">
      <c r="E649" s="40"/>
      <c r="K649" s="40"/>
      <c r="L649" s="40"/>
      <c r="M649" s="40"/>
      <c r="N649" s="40"/>
      <c r="P649" s="177" t="n">
        <f aca="false">P307</f>
        <v>0</v>
      </c>
      <c r="Q649" s="40"/>
      <c r="R649" s="178"/>
      <c r="S649" s="166" t="n">
        <f aca="false">IF(S444=0,0,(SUMIF(Resource_Planning!$P$49:$P$356,$P649,Resource_Planning!S$49:S$356))/S444-1)</f>
        <v>0</v>
      </c>
      <c r="T649" s="166" t="n">
        <f aca="false">IF(T444=0,0,(SUMIF(Resource_Planning!$P$49:$P$356,$P649,Resource_Planning!T$49:T$356))/T444-1)</f>
        <v>0</v>
      </c>
      <c r="U649" s="166" t="n">
        <f aca="false">IF(U444=0,0,(SUMIF(Resource_Planning!$P$49:$P$356,$P649,Resource_Planning!U$49:U$356))/U444-1)</f>
        <v>0</v>
      </c>
      <c r="V649" s="166" t="n">
        <f aca="false">IF(V444=0,0,(SUMIF(Resource_Planning!$P$49:$P$356,$P649,Resource_Planning!V$49:V$356))/V444-1)</f>
        <v>0</v>
      </c>
      <c r="W649" s="166" t="n">
        <f aca="false">IF(W444=0,0,(SUMIF(Resource_Planning!$P$49:$P$356,$P649,Resource_Planning!W$49:W$356))/W444-1)</f>
        <v>0</v>
      </c>
      <c r="X649" s="166" t="n">
        <f aca="false">IF(X444=0,0,(SUMIF(Resource_Planning!$P$49:$P$356,$P649,Resource_Planning!X$49:X$356))/X444-1)</f>
        <v>0</v>
      </c>
      <c r="Y649" s="166" t="n">
        <f aca="false">IF(Y444=0,0,(SUMIF(Resource_Planning!$P$49:$P$356,$P649,Resource_Planning!Y$49:Y$356))/Y444-1)</f>
        <v>0</v>
      </c>
      <c r="Z649" s="166" t="n">
        <f aca="false">IF(Z444=0,0,(SUMIF(Resource_Planning!$P$49:$P$356,$P649,Resource_Planning!Z$49:Z$356))/Z444-1)</f>
        <v>0</v>
      </c>
      <c r="AA649" s="166" t="n">
        <f aca="false">IF(AA444=0,0,(SUMIF(Resource_Planning!$P$49:$P$356,$P649,Resource_Planning!AA$49:AA$356))/AA444-1)</f>
        <v>0</v>
      </c>
      <c r="AB649" s="166" t="n">
        <f aca="false">IF(AB444=0,0,(SUMIF(Resource_Planning!$P$49:$P$356,$P649,Resource_Planning!AB$49:AB$356))/AB444-1)</f>
        <v>0</v>
      </c>
      <c r="AC649" s="166" t="n">
        <f aca="false">IF(AC444=0,0,(SUMIF(Resource_Planning!$P$49:$P$356,$P649,Resource_Planning!AC$49:AC$356))/AC444-1)</f>
        <v>0</v>
      </c>
      <c r="AD649" s="166" t="n">
        <f aca="false">IF(AD444=0,0,(SUMIF(Resource_Planning!$P$49:$P$356,$P649,Resource_Planning!AD$49:AD$356))/AD444-1)</f>
        <v>0</v>
      </c>
      <c r="AE649" s="166" t="n">
        <f aca="false">IF(AE444=0,0,(SUMIF(Resource_Planning!$P$49:$P$356,$P649,Resource_Planning!AE$49:AE$356))/AE444-1)</f>
        <v>0</v>
      </c>
      <c r="AF649" s="166" t="n">
        <f aca="false">IF(AF444=0,0,(SUMIF(Resource_Planning!$P$49:$P$356,$P649,Resource_Planning!AF$49:AF$356))/AF444-1)</f>
        <v>0</v>
      </c>
      <c r="AG649" s="166" t="n">
        <f aca="false">IF(AG444=0,0,(SUMIF(Resource_Planning!$P$49:$P$356,$P649,Resource_Planning!AG$49:AG$356))/AG444-1)</f>
        <v>0</v>
      </c>
      <c r="AH649" s="166" t="n">
        <f aca="false">IF(AH444=0,0,(SUMIF(Resource_Planning!$P$49:$P$356,$P649,Resource_Planning!AH$49:AH$356))/AH444-1)</f>
        <v>0</v>
      </c>
      <c r="AI649" s="166" t="n">
        <f aca="false">IF(AI444=0,0,(SUMIF(Resource_Planning!$P$49:$P$356,$P649,Resource_Planning!AI$49:AI$356))/AI444-1)</f>
        <v>0</v>
      </c>
      <c r="AJ649" s="166" t="n">
        <f aca="false">IF(AJ444=0,0,(SUMIF(Resource_Planning!$P$49:$P$356,$P649,Resource_Planning!AJ$49:AJ$356))/AJ444-1)</f>
        <v>0</v>
      </c>
      <c r="AK649" s="166" t="n">
        <f aca="false">IF(AK444=0,0,(SUMIF(Resource_Planning!$P$49:$P$356,$P649,Resource_Planning!AK$49:AK$356))/AK444-1)</f>
        <v>0</v>
      </c>
      <c r="AL649" s="166" t="n">
        <f aca="false">IF(AL444=0,0,(SUMIF(Resource_Planning!$P$49:$P$356,$P649,Resource_Planning!AL$49:AL$356))/AL444-1)</f>
        <v>0</v>
      </c>
      <c r="AM649" s="166" t="n">
        <f aca="false">IF(AM444=0,0,(SUMIF(Resource_Planning!$P$49:$P$356,$P649,Resource_Planning!AM$49:AM$356))/AM444-1)</f>
        <v>0</v>
      </c>
      <c r="AN649" s="166" t="n">
        <f aca="false">IF(AN444=0,0,(SUMIF(Resource_Planning!$P$49:$P$356,$P649,Resource_Planning!AN$49:AN$356))/AN444-1)</f>
        <v>0</v>
      </c>
      <c r="AO649" s="166" t="n">
        <f aca="false">IF(AO444=0,0,(SUMIF(Resource_Planning!$P$49:$P$356,$P649,Resource_Planning!AO$49:AO$356))/AO444-1)</f>
        <v>0</v>
      </c>
      <c r="AP649" s="166" t="n">
        <f aca="false">IF(AP444=0,0,(SUMIF(Resource_Planning!$P$49:$P$356,$P649,Resource_Planning!AP$49:AP$356))/AP444-1)</f>
        <v>0</v>
      </c>
      <c r="AQ649" s="166" t="n">
        <f aca="false">IF(AQ444=0,0,(SUMIF(Resource_Planning!$P$49:$P$356,$P649,Resource_Planning!AQ$49:AQ$356))/AQ444-1)</f>
        <v>0</v>
      </c>
      <c r="AR649" s="166" t="n">
        <f aca="false">IF(AR444=0,0,(SUMIF(Resource_Planning!$P$49:$P$356,$P649,Resource_Planning!AR$49:AR$356))/AR444-1)</f>
        <v>0</v>
      </c>
      <c r="AS649" s="166" t="n">
        <f aca="false">IF(AS444=0,0,(SUMIF(Resource_Planning!$P$49:$P$356,$P649,Resource_Planning!AS$49:AS$356))/AS444-1)</f>
        <v>0</v>
      </c>
      <c r="AT649" s="166" t="n">
        <f aca="false">IF(AT444=0,0,(SUMIF(Resource_Planning!$P$49:$P$356,$P649,Resource_Planning!AT$49:AT$356))/AT444-1)</f>
        <v>0</v>
      </c>
      <c r="AU649" s="166" t="n">
        <f aca="false">IF(AU444=0,0,(SUMIF(Resource_Planning!$P$49:$P$356,$P649,Resource_Planning!AU$49:AU$356))/AU444-1)</f>
        <v>0</v>
      </c>
      <c r="AV649" s="166" t="n">
        <f aca="false">IF(AV444=0,0,(SUMIF(Resource_Planning!$P$49:$P$356,$P649,Resource_Planning!AV$49:AV$356))/AV444-1)</f>
        <v>0</v>
      </c>
      <c r="AW649" s="166" t="n">
        <f aca="false">IF(AW444=0,0,(SUMIF(Resource_Planning!$P$49:$P$356,$P649,Resource_Planning!AW$49:AW$356))/AW444-1)</f>
        <v>0</v>
      </c>
      <c r="AX649" s="166" t="n">
        <f aca="false">IF(AX444=0,0,(SUMIF(Resource_Planning!$P$49:$P$356,$P649,Resource_Planning!AX$49:AX$356))/AX444-1)</f>
        <v>0</v>
      </c>
      <c r="AY649" s="166" t="n">
        <f aca="false">IF(AY444=0,0,(SUMIF(Resource_Planning!$P$49:$P$356,$P649,Resource_Planning!AY$49:AY$356))/AY444-1)</f>
        <v>0</v>
      </c>
      <c r="AZ649" s="166" t="n">
        <f aca="false">IF(AZ444=0,0,(SUMIF(Resource_Planning!$P$49:$P$356,$P649,Resource_Planning!AZ$49:AZ$356))/AZ444-1)</f>
        <v>0</v>
      </c>
      <c r="BA649" s="166" t="n">
        <f aca="false">IF(BA444=0,0,(SUMIF(Resource_Planning!$P$49:$P$356,$P649,Resource_Planning!BA$49:BA$356))/BA444-1)</f>
        <v>0</v>
      </c>
      <c r="BB649" s="166" t="n">
        <f aca="false">IF(BB444=0,0,(SUMIF(Resource_Planning!$P$49:$P$356,$P649,Resource_Planning!BB$49:BB$356))/BB444-1)</f>
        <v>0</v>
      </c>
    </row>
    <row r="650" s="173" customFormat="true" ht="15" hidden="true" customHeight="false" outlineLevel="1" collapsed="false">
      <c r="E650" s="40"/>
      <c r="K650" s="40"/>
      <c r="L650" s="40"/>
      <c r="M650" s="40"/>
      <c r="N650" s="40"/>
      <c r="P650" s="177" t="n">
        <f aca="false">P308</f>
        <v>0</v>
      </c>
      <c r="Q650" s="40"/>
      <c r="R650" s="178"/>
      <c r="S650" s="166" t="n">
        <f aca="false">IF(S445=0,0,(SUMIF(Resource_Planning!$P$49:$P$356,$P650,Resource_Planning!S$49:S$356))/S445-1)</f>
        <v>0</v>
      </c>
      <c r="T650" s="166" t="n">
        <f aca="false">IF(T445=0,0,(SUMIF(Resource_Planning!$P$49:$P$356,$P650,Resource_Planning!T$49:T$356))/T445-1)</f>
        <v>0</v>
      </c>
      <c r="U650" s="166" t="n">
        <f aca="false">IF(U445=0,0,(SUMIF(Resource_Planning!$P$49:$P$356,$P650,Resource_Planning!U$49:U$356))/U445-1)</f>
        <v>0</v>
      </c>
      <c r="V650" s="166" t="n">
        <f aca="false">IF(V445=0,0,(SUMIF(Resource_Planning!$P$49:$P$356,$P650,Resource_Planning!V$49:V$356))/V445-1)</f>
        <v>0</v>
      </c>
      <c r="W650" s="166" t="n">
        <f aca="false">IF(W445=0,0,(SUMIF(Resource_Planning!$P$49:$P$356,$P650,Resource_Planning!W$49:W$356))/W445-1)</f>
        <v>0</v>
      </c>
      <c r="X650" s="166" t="n">
        <f aca="false">IF(X445=0,0,(SUMIF(Resource_Planning!$P$49:$P$356,$P650,Resource_Planning!X$49:X$356))/X445-1)</f>
        <v>0</v>
      </c>
      <c r="Y650" s="166" t="n">
        <f aca="false">IF(Y445=0,0,(SUMIF(Resource_Planning!$P$49:$P$356,$P650,Resource_Planning!Y$49:Y$356))/Y445-1)</f>
        <v>0</v>
      </c>
      <c r="Z650" s="166" t="n">
        <f aca="false">IF(Z445=0,0,(SUMIF(Resource_Planning!$P$49:$P$356,$P650,Resource_Planning!Z$49:Z$356))/Z445-1)</f>
        <v>0</v>
      </c>
      <c r="AA650" s="166" t="n">
        <f aca="false">IF(AA445=0,0,(SUMIF(Resource_Planning!$P$49:$P$356,$P650,Resource_Planning!AA$49:AA$356))/AA445-1)</f>
        <v>0</v>
      </c>
      <c r="AB650" s="166" t="n">
        <f aca="false">IF(AB445=0,0,(SUMIF(Resource_Planning!$P$49:$P$356,$P650,Resource_Planning!AB$49:AB$356))/AB445-1)</f>
        <v>0</v>
      </c>
      <c r="AC650" s="166" t="n">
        <f aca="false">IF(AC445=0,0,(SUMIF(Resource_Planning!$P$49:$P$356,$P650,Resource_Planning!AC$49:AC$356))/AC445-1)</f>
        <v>0</v>
      </c>
      <c r="AD650" s="166" t="n">
        <f aca="false">IF(AD445=0,0,(SUMIF(Resource_Planning!$P$49:$P$356,$P650,Resource_Planning!AD$49:AD$356))/AD445-1)</f>
        <v>0</v>
      </c>
      <c r="AE650" s="166" t="n">
        <f aca="false">IF(AE445=0,0,(SUMIF(Resource_Planning!$P$49:$P$356,$P650,Resource_Planning!AE$49:AE$356))/AE445-1)</f>
        <v>0</v>
      </c>
      <c r="AF650" s="166" t="n">
        <f aca="false">IF(AF445=0,0,(SUMIF(Resource_Planning!$P$49:$P$356,$P650,Resource_Planning!AF$49:AF$356))/AF445-1)</f>
        <v>0</v>
      </c>
      <c r="AG650" s="166" t="n">
        <f aca="false">IF(AG445=0,0,(SUMIF(Resource_Planning!$P$49:$P$356,$P650,Resource_Planning!AG$49:AG$356))/AG445-1)</f>
        <v>0</v>
      </c>
      <c r="AH650" s="166" t="n">
        <f aca="false">IF(AH445=0,0,(SUMIF(Resource_Planning!$P$49:$P$356,$P650,Resource_Planning!AH$49:AH$356))/AH445-1)</f>
        <v>0</v>
      </c>
      <c r="AI650" s="166" t="n">
        <f aca="false">IF(AI445=0,0,(SUMIF(Resource_Planning!$P$49:$P$356,$P650,Resource_Planning!AI$49:AI$356))/AI445-1)</f>
        <v>0</v>
      </c>
      <c r="AJ650" s="166" t="n">
        <f aca="false">IF(AJ445=0,0,(SUMIF(Resource_Planning!$P$49:$P$356,$P650,Resource_Planning!AJ$49:AJ$356))/AJ445-1)</f>
        <v>0</v>
      </c>
      <c r="AK650" s="166" t="n">
        <f aca="false">IF(AK445=0,0,(SUMIF(Resource_Planning!$P$49:$P$356,$P650,Resource_Planning!AK$49:AK$356))/AK445-1)</f>
        <v>0</v>
      </c>
      <c r="AL650" s="166" t="n">
        <f aca="false">IF(AL445=0,0,(SUMIF(Resource_Planning!$P$49:$P$356,$P650,Resource_Planning!AL$49:AL$356))/AL445-1)</f>
        <v>0</v>
      </c>
      <c r="AM650" s="166" t="n">
        <f aca="false">IF(AM445=0,0,(SUMIF(Resource_Planning!$P$49:$P$356,$P650,Resource_Planning!AM$49:AM$356))/AM445-1)</f>
        <v>0</v>
      </c>
      <c r="AN650" s="166" t="n">
        <f aca="false">IF(AN445=0,0,(SUMIF(Resource_Planning!$P$49:$P$356,$P650,Resource_Planning!AN$49:AN$356))/AN445-1)</f>
        <v>0</v>
      </c>
      <c r="AO650" s="166" t="n">
        <f aca="false">IF(AO445=0,0,(SUMIF(Resource_Planning!$P$49:$P$356,$P650,Resource_Planning!AO$49:AO$356))/AO445-1)</f>
        <v>0</v>
      </c>
      <c r="AP650" s="166" t="n">
        <f aca="false">IF(AP445=0,0,(SUMIF(Resource_Planning!$P$49:$P$356,$P650,Resource_Planning!AP$49:AP$356))/AP445-1)</f>
        <v>0</v>
      </c>
      <c r="AQ650" s="166" t="n">
        <f aca="false">IF(AQ445=0,0,(SUMIF(Resource_Planning!$P$49:$P$356,$P650,Resource_Planning!AQ$49:AQ$356))/AQ445-1)</f>
        <v>0</v>
      </c>
      <c r="AR650" s="166" t="n">
        <f aca="false">IF(AR445=0,0,(SUMIF(Resource_Planning!$P$49:$P$356,$P650,Resource_Planning!AR$49:AR$356))/AR445-1)</f>
        <v>0</v>
      </c>
      <c r="AS650" s="166" t="n">
        <f aca="false">IF(AS445=0,0,(SUMIF(Resource_Planning!$P$49:$P$356,$P650,Resource_Planning!AS$49:AS$356))/AS445-1)</f>
        <v>0</v>
      </c>
      <c r="AT650" s="166" t="n">
        <f aca="false">IF(AT445=0,0,(SUMIF(Resource_Planning!$P$49:$P$356,$P650,Resource_Planning!AT$49:AT$356))/AT445-1)</f>
        <v>0</v>
      </c>
      <c r="AU650" s="166" t="n">
        <f aca="false">IF(AU445=0,0,(SUMIF(Resource_Planning!$P$49:$P$356,$P650,Resource_Planning!AU$49:AU$356))/AU445-1)</f>
        <v>0</v>
      </c>
      <c r="AV650" s="166" t="n">
        <f aca="false">IF(AV445=0,0,(SUMIF(Resource_Planning!$P$49:$P$356,$P650,Resource_Planning!AV$49:AV$356))/AV445-1)</f>
        <v>0</v>
      </c>
      <c r="AW650" s="166" t="n">
        <f aca="false">IF(AW445=0,0,(SUMIF(Resource_Planning!$P$49:$P$356,$P650,Resource_Planning!AW$49:AW$356))/AW445-1)</f>
        <v>0</v>
      </c>
      <c r="AX650" s="166" t="n">
        <f aca="false">IF(AX445=0,0,(SUMIF(Resource_Planning!$P$49:$P$356,$P650,Resource_Planning!AX$49:AX$356))/AX445-1)</f>
        <v>0</v>
      </c>
      <c r="AY650" s="166" t="n">
        <f aca="false">IF(AY445=0,0,(SUMIF(Resource_Planning!$P$49:$P$356,$P650,Resource_Planning!AY$49:AY$356))/AY445-1)</f>
        <v>0</v>
      </c>
      <c r="AZ650" s="166" t="n">
        <f aca="false">IF(AZ445=0,0,(SUMIF(Resource_Planning!$P$49:$P$356,$P650,Resource_Planning!AZ$49:AZ$356))/AZ445-1)</f>
        <v>0</v>
      </c>
      <c r="BA650" s="166" t="n">
        <f aca="false">IF(BA445=0,0,(SUMIF(Resource_Planning!$P$49:$P$356,$P650,Resource_Planning!BA$49:BA$356))/BA445-1)</f>
        <v>0</v>
      </c>
      <c r="BB650" s="166" t="n">
        <f aca="false">IF(BB445=0,0,(SUMIF(Resource_Planning!$P$49:$P$356,$P650,Resource_Planning!BB$49:BB$356))/BB445-1)</f>
        <v>0</v>
      </c>
    </row>
    <row r="651" s="173" customFormat="true" ht="15" hidden="true" customHeight="false" outlineLevel="1" collapsed="false">
      <c r="E651" s="40"/>
      <c r="K651" s="40"/>
      <c r="L651" s="40"/>
      <c r="M651" s="40"/>
      <c r="N651" s="40"/>
      <c r="P651" s="177" t="n">
        <f aca="false">P309</f>
        <v>0</v>
      </c>
      <c r="Q651" s="40"/>
      <c r="R651" s="178"/>
      <c r="S651" s="166" t="n">
        <f aca="false">IF(S446=0,0,(SUMIF(Resource_Planning!$P$49:$P$356,$P651,Resource_Planning!S$49:S$356))/S446-1)</f>
        <v>0</v>
      </c>
      <c r="T651" s="166" t="n">
        <f aca="false">IF(T446=0,0,(SUMIF(Resource_Planning!$P$49:$P$356,$P651,Resource_Planning!T$49:T$356))/T446-1)</f>
        <v>0</v>
      </c>
      <c r="U651" s="166" t="n">
        <f aca="false">IF(U446=0,0,(SUMIF(Resource_Planning!$P$49:$P$356,$P651,Resource_Planning!U$49:U$356))/U446-1)</f>
        <v>0</v>
      </c>
      <c r="V651" s="166" t="n">
        <f aca="false">IF(V446=0,0,(SUMIF(Resource_Planning!$P$49:$P$356,$P651,Resource_Planning!V$49:V$356))/V446-1)</f>
        <v>0</v>
      </c>
      <c r="W651" s="166" t="n">
        <f aca="false">IF(W446=0,0,(SUMIF(Resource_Planning!$P$49:$P$356,$P651,Resource_Planning!W$49:W$356))/W446-1)</f>
        <v>0</v>
      </c>
      <c r="X651" s="166" t="n">
        <f aca="false">IF(X446=0,0,(SUMIF(Resource_Planning!$P$49:$P$356,$P651,Resource_Planning!X$49:X$356))/X446-1)</f>
        <v>0</v>
      </c>
      <c r="Y651" s="166" t="n">
        <f aca="false">IF(Y446=0,0,(SUMIF(Resource_Planning!$P$49:$P$356,$P651,Resource_Planning!Y$49:Y$356))/Y446-1)</f>
        <v>0</v>
      </c>
      <c r="Z651" s="166" t="n">
        <f aca="false">IF(Z446=0,0,(SUMIF(Resource_Planning!$P$49:$P$356,$P651,Resource_Planning!Z$49:Z$356))/Z446-1)</f>
        <v>0</v>
      </c>
      <c r="AA651" s="166" t="n">
        <f aca="false">IF(AA446=0,0,(SUMIF(Resource_Planning!$P$49:$P$356,$P651,Resource_Planning!AA$49:AA$356))/AA446-1)</f>
        <v>0</v>
      </c>
      <c r="AB651" s="166" t="n">
        <f aca="false">IF(AB446=0,0,(SUMIF(Resource_Planning!$P$49:$P$356,$P651,Resource_Planning!AB$49:AB$356))/AB446-1)</f>
        <v>0</v>
      </c>
      <c r="AC651" s="166" t="n">
        <f aca="false">IF(AC446=0,0,(SUMIF(Resource_Planning!$P$49:$P$356,$P651,Resource_Planning!AC$49:AC$356))/AC446-1)</f>
        <v>0</v>
      </c>
      <c r="AD651" s="166" t="n">
        <f aca="false">IF(AD446=0,0,(SUMIF(Resource_Planning!$P$49:$P$356,$P651,Resource_Planning!AD$49:AD$356))/AD446-1)</f>
        <v>0</v>
      </c>
      <c r="AE651" s="166" t="n">
        <f aca="false">IF(AE446=0,0,(SUMIF(Resource_Planning!$P$49:$P$356,$P651,Resource_Planning!AE$49:AE$356))/AE446-1)</f>
        <v>0</v>
      </c>
      <c r="AF651" s="166" t="n">
        <f aca="false">IF(AF446=0,0,(SUMIF(Resource_Planning!$P$49:$P$356,$P651,Resource_Planning!AF$49:AF$356))/AF446-1)</f>
        <v>0</v>
      </c>
      <c r="AG651" s="166" t="n">
        <f aca="false">IF(AG446=0,0,(SUMIF(Resource_Planning!$P$49:$P$356,$P651,Resource_Planning!AG$49:AG$356))/AG446-1)</f>
        <v>0</v>
      </c>
      <c r="AH651" s="166" t="n">
        <f aca="false">IF(AH446=0,0,(SUMIF(Resource_Planning!$P$49:$P$356,$P651,Resource_Planning!AH$49:AH$356))/AH446-1)</f>
        <v>0</v>
      </c>
      <c r="AI651" s="166" t="n">
        <f aca="false">IF(AI446=0,0,(SUMIF(Resource_Planning!$P$49:$P$356,$P651,Resource_Planning!AI$49:AI$356))/AI446-1)</f>
        <v>0</v>
      </c>
      <c r="AJ651" s="166" t="n">
        <f aca="false">IF(AJ446=0,0,(SUMIF(Resource_Planning!$P$49:$P$356,$P651,Resource_Planning!AJ$49:AJ$356))/AJ446-1)</f>
        <v>0</v>
      </c>
      <c r="AK651" s="166" t="n">
        <f aca="false">IF(AK446=0,0,(SUMIF(Resource_Planning!$P$49:$P$356,$P651,Resource_Planning!AK$49:AK$356))/AK446-1)</f>
        <v>0</v>
      </c>
      <c r="AL651" s="166" t="n">
        <f aca="false">IF(AL446=0,0,(SUMIF(Resource_Planning!$P$49:$P$356,$P651,Resource_Planning!AL$49:AL$356))/AL446-1)</f>
        <v>0</v>
      </c>
      <c r="AM651" s="166" t="n">
        <f aca="false">IF(AM446=0,0,(SUMIF(Resource_Planning!$P$49:$P$356,$P651,Resource_Planning!AM$49:AM$356))/AM446-1)</f>
        <v>0</v>
      </c>
      <c r="AN651" s="166" t="n">
        <f aca="false">IF(AN446=0,0,(SUMIF(Resource_Planning!$P$49:$P$356,$P651,Resource_Planning!AN$49:AN$356))/AN446-1)</f>
        <v>0</v>
      </c>
      <c r="AO651" s="166" t="n">
        <f aca="false">IF(AO446=0,0,(SUMIF(Resource_Planning!$P$49:$P$356,$P651,Resource_Planning!AO$49:AO$356))/AO446-1)</f>
        <v>0</v>
      </c>
      <c r="AP651" s="166" t="n">
        <f aca="false">IF(AP446=0,0,(SUMIF(Resource_Planning!$P$49:$P$356,$P651,Resource_Planning!AP$49:AP$356))/AP446-1)</f>
        <v>0</v>
      </c>
      <c r="AQ651" s="166" t="n">
        <f aca="false">IF(AQ446=0,0,(SUMIF(Resource_Planning!$P$49:$P$356,$P651,Resource_Planning!AQ$49:AQ$356))/AQ446-1)</f>
        <v>0</v>
      </c>
      <c r="AR651" s="166" t="n">
        <f aca="false">IF(AR446=0,0,(SUMIF(Resource_Planning!$P$49:$P$356,$P651,Resource_Planning!AR$49:AR$356))/AR446-1)</f>
        <v>0</v>
      </c>
      <c r="AS651" s="166" t="n">
        <f aca="false">IF(AS446=0,0,(SUMIF(Resource_Planning!$P$49:$P$356,$P651,Resource_Planning!AS$49:AS$356))/AS446-1)</f>
        <v>0</v>
      </c>
      <c r="AT651" s="166" t="n">
        <f aca="false">IF(AT446=0,0,(SUMIF(Resource_Planning!$P$49:$P$356,$P651,Resource_Planning!AT$49:AT$356))/AT446-1)</f>
        <v>0</v>
      </c>
      <c r="AU651" s="166" t="n">
        <f aca="false">IF(AU446=0,0,(SUMIF(Resource_Planning!$P$49:$P$356,$P651,Resource_Planning!AU$49:AU$356))/AU446-1)</f>
        <v>0</v>
      </c>
      <c r="AV651" s="166" t="n">
        <f aca="false">IF(AV446=0,0,(SUMIF(Resource_Planning!$P$49:$P$356,$P651,Resource_Planning!AV$49:AV$356))/AV446-1)</f>
        <v>0</v>
      </c>
      <c r="AW651" s="166" t="n">
        <f aca="false">IF(AW446=0,0,(SUMIF(Resource_Planning!$P$49:$P$356,$P651,Resource_Planning!AW$49:AW$356))/AW446-1)</f>
        <v>0</v>
      </c>
      <c r="AX651" s="166" t="n">
        <f aca="false">IF(AX446=0,0,(SUMIF(Resource_Planning!$P$49:$P$356,$P651,Resource_Planning!AX$49:AX$356))/AX446-1)</f>
        <v>0</v>
      </c>
      <c r="AY651" s="166" t="n">
        <f aca="false">IF(AY446=0,0,(SUMIF(Resource_Planning!$P$49:$P$356,$P651,Resource_Planning!AY$49:AY$356))/AY446-1)</f>
        <v>0</v>
      </c>
      <c r="AZ651" s="166" t="n">
        <f aca="false">IF(AZ446=0,0,(SUMIF(Resource_Planning!$P$49:$P$356,$P651,Resource_Planning!AZ$49:AZ$356))/AZ446-1)</f>
        <v>0</v>
      </c>
      <c r="BA651" s="166" t="n">
        <f aca="false">IF(BA446=0,0,(SUMIF(Resource_Planning!$P$49:$P$356,$P651,Resource_Planning!BA$49:BA$356))/BA446-1)</f>
        <v>0</v>
      </c>
      <c r="BB651" s="166" t="n">
        <f aca="false">IF(BB446=0,0,(SUMIF(Resource_Planning!$P$49:$P$356,$P651,Resource_Planning!BB$49:BB$356))/BB446-1)</f>
        <v>0</v>
      </c>
    </row>
    <row r="652" s="173" customFormat="true" ht="15" hidden="true" customHeight="false" outlineLevel="1" collapsed="false">
      <c r="E652" s="40"/>
      <c r="K652" s="40"/>
      <c r="L652" s="40"/>
      <c r="M652" s="40"/>
      <c r="N652" s="40"/>
      <c r="P652" s="177" t="n">
        <f aca="false">P310</f>
        <v>0</v>
      </c>
      <c r="Q652" s="40"/>
      <c r="R652" s="178"/>
      <c r="S652" s="166" t="n">
        <f aca="false">IF(S447=0,0,(SUMIF(Resource_Planning!$P$49:$P$356,$P652,Resource_Planning!S$49:S$356))/S447-1)</f>
        <v>0</v>
      </c>
      <c r="T652" s="166" t="n">
        <f aca="false">IF(T447=0,0,(SUMIF(Resource_Planning!$P$49:$P$356,$P652,Resource_Planning!T$49:T$356))/T447-1)</f>
        <v>0</v>
      </c>
      <c r="U652" s="166" t="n">
        <f aca="false">IF(U447=0,0,(SUMIF(Resource_Planning!$P$49:$P$356,$P652,Resource_Planning!U$49:U$356))/U447-1)</f>
        <v>0</v>
      </c>
      <c r="V652" s="166" t="n">
        <f aca="false">IF(V447=0,0,(SUMIF(Resource_Planning!$P$49:$P$356,$P652,Resource_Planning!V$49:V$356))/V447-1)</f>
        <v>0</v>
      </c>
      <c r="W652" s="166" t="n">
        <f aca="false">IF(W447=0,0,(SUMIF(Resource_Planning!$P$49:$P$356,$P652,Resource_Planning!W$49:W$356))/W447-1)</f>
        <v>0</v>
      </c>
      <c r="X652" s="166" t="n">
        <f aca="false">IF(X447=0,0,(SUMIF(Resource_Planning!$P$49:$P$356,$P652,Resource_Planning!X$49:X$356))/X447-1)</f>
        <v>0</v>
      </c>
      <c r="Y652" s="166" t="n">
        <f aca="false">IF(Y447=0,0,(SUMIF(Resource_Planning!$P$49:$P$356,$P652,Resource_Planning!Y$49:Y$356))/Y447-1)</f>
        <v>0</v>
      </c>
      <c r="Z652" s="166" t="n">
        <f aca="false">IF(Z447=0,0,(SUMIF(Resource_Planning!$P$49:$P$356,$P652,Resource_Planning!Z$49:Z$356))/Z447-1)</f>
        <v>0</v>
      </c>
      <c r="AA652" s="166" t="n">
        <f aca="false">IF(AA447=0,0,(SUMIF(Resource_Planning!$P$49:$P$356,$P652,Resource_Planning!AA$49:AA$356))/AA447-1)</f>
        <v>0</v>
      </c>
      <c r="AB652" s="166" t="n">
        <f aca="false">IF(AB447=0,0,(SUMIF(Resource_Planning!$P$49:$P$356,$P652,Resource_Planning!AB$49:AB$356))/AB447-1)</f>
        <v>0</v>
      </c>
      <c r="AC652" s="166" t="n">
        <f aca="false">IF(AC447=0,0,(SUMIF(Resource_Planning!$P$49:$P$356,$P652,Resource_Planning!AC$49:AC$356))/AC447-1)</f>
        <v>0</v>
      </c>
      <c r="AD652" s="166" t="n">
        <f aca="false">IF(AD447=0,0,(SUMIF(Resource_Planning!$P$49:$P$356,$P652,Resource_Planning!AD$49:AD$356))/AD447-1)</f>
        <v>0</v>
      </c>
      <c r="AE652" s="166" t="n">
        <f aca="false">IF(AE447=0,0,(SUMIF(Resource_Planning!$P$49:$P$356,$P652,Resource_Planning!AE$49:AE$356))/AE447-1)</f>
        <v>0</v>
      </c>
      <c r="AF652" s="166" t="n">
        <f aca="false">IF(AF447=0,0,(SUMIF(Resource_Planning!$P$49:$P$356,$P652,Resource_Planning!AF$49:AF$356))/AF447-1)</f>
        <v>0</v>
      </c>
      <c r="AG652" s="166" t="n">
        <f aca="false">IF(AG447=0,0,(SUMIF(Resource_Planning!$P$49:$P$356,$P652,Resource_Planning!AG$49:AG$356))/AG447-1)</f>
        <v>0</v>
      </c>
      <c r="AH652" s="166" t="n">
        <f aca="false">IF(AH447=0,0,(SUMIF(Resource_Planning!$P$49:$P$356,$P652,Resource_Planning!AH$49:AH$356))/AH447-1)</f>
        <v>0</v>
      </c>
      <c r="AI652" s="166" t="n">
        <f aca="false">IF(AI447=0,0,(SUMIF(Resource_Planning!$P$49:$P$356,$P652,Resource_Planning!AI$49:AI$356))/AI447-1)</f>
        <v>0</v>
      </c>
      <c r="AJ652" s="166" t="n">
        <f aca="false">IF(AJ447=0,0,(SUMIF(Resource_Planning!$P$49:$P$356,$P652,Resource_Planning!AJ$49:AJ$356))/AJ447-1)</f>
        <v>0</v>
      </c>
      <c r="AK652" s="166" t="n">
        <f aca="false">IF(AK447=0,0,(SUMIF(Resource_Planning!$P$49:$P$356,$P652,Resource_Planning!AK$49:AK$356))/AK447-1)</f>
        <v>0</v>
      </c>
      <c r="AL652" s="166" t="n">
        <f aca="false">IF(AL447=0,0,(SUMIF(Resource_Planning!$P$49:$P$356,$P652,Resource_Planning!AL$49:AL$356))/AL447-1)</f>
        <v>0</v>
      </c>
      <c r="AM652" s="166" t="n">
        <f aca="false">IF(AM447=0,0,(SUMIF(Resource_Planning!$P$49:$P$356,$P652,Resource_Planning!AM$49:AM$356))/AM447-1)</f>
        <v>0</v>
      </c>
      <c r="AN652" s="166" t="n">
        <f aca="false">IF(AN447=0,0,(SUMIF(Resource_Planning!$P$49:$P$356,$P652,Resource_Planning!AN$49:AN$356))/AN447-1)</f>
        <v>0</v>
      </c>
      <c r="AO652" s="166" t="n">
        <f aca="false">IF(AO447=0,0,(SUMIF(Resource_Planning!$P$49:$P$356,$P652,Resource_Planning!AO$49:AO$356))/AO447-1)</f>
        <v>0</v>
      </c>
      <c r="AP652" s="166" t="n">
        <f aca="false">IF(AP447=0,0,(SUMIF(Resource_Planning!$P$49:$P$356,$P652,Resource_Planning!AP$49:AP$356))/AP447-1)</f>
        <v>0</v>
      </c>
      <c r="AQ652" s="166" t="n">
        <f aca="false">IF(AQ447=0,0,(SUMIF(Resource_Planning!$P$49:$P$356,$P652,Resource_Planning!AQ$49:AQ$356))/AQ447-1)</f>
        <v>0</v>
      </c>
      <c r="AR652" s="166" t="n">
        <f aca="false">IF(AR447=0,0,(SUMIF(Resource_Planning!$P$49:$P$356,$P652,Resource_Planning!AR$49:AR$356))/AR447-1)</f>
        <v>0</v>
      </c>
      <c r="AS652" s="166" t="n">
        <f aca="false">IF(AS447=0,0,(SUMIF(Resource_Planning!$P$49:$P$356,$P652,Resource_Planning!AS$49:AS$356))/AS447-1)</f>
        <v>0</v>
      </c>
      <c r="AT652" s="166" t="n">
        <f aca="false">IF(AT447=0,0,(SUMIF(Resource_Planning!$P$49:$P$356,$P652,Resource_Planning!AT$49:AT$356))/AT447-1)</f>
        <v>0</v>
      </c>
      <c r="AU652" s="166" t="n">
        <f aca="false">IF(AU447=0,0,(SUMIF(Resource_Planning!$P$49:$P$356,$P652,Resource_Planning!AU$49:AU$356))/AU447-1)</f>
        <v>0</v>
      </c>
      <c r="AV652" s="166" t="n">
        <f aca="false">IF(AV447=0,0,(SUMIF(Resource_Planning!$P$49:$P$356,$P652,Resource_Planning!AV$49:AV$356))/AV447-1)</f>
        <v>0</v>
      </c>
      <c r="AW652" s="166" t="n">
        <f aca="false">IF(AW447=0,0,(SUMIF(Resource_Planning!$P$49:$P$356,$P652,Resource_Planning!AW$49:AW$356))/AW447-1)</f>
        <v>0</v>
      </c>
      <c r="AX652" s="166" t="n">
        <f aca="false">IF(AX447=0,0,(SUMIF(Resource_Planning!$P$49:$P$356,$P652,Resource_Planning!AX$49:AX$356))/AX447-1)</f>
        <v>0</v>
      </c>
      <c r="AY652" s="166" t="n">
        <f aca="false">IF(AY447=0,0,(SUMIF(Resource_Planning!$P$49:$P$356,$P652,Resource_Planning!AY$49:AY$356))/AY447-1)</f>
        <v>0</v>
      </c>
      <c r="AZ652" s="166" t="n">
        <f aca="false">IF(AZ447=0,0,(SUMIF(Resource_Planning!$P$49:$P$356,$P652,Resource_Planning!AZ$49:AZ$356))/AZ447-1)</f>
        <v>0</v>
      </c>
      <c r="BA652" s="166" t="n">
        <f aca="false">IF(BA447=0,0,(SUMIF(Resource_Planning!$P$49:$P$356,$P652,Resource_Planning!BA$49:BA$356))/BA447-1)</f>
        <v>0</v>
      </c>
      <c r="BB652" s="166" t="n">
        <f aca="false">IF(BB447=0,0,(SUMIF(Resource_Planning!$P$49:$P$356,$P652,Resource_Planning!BB$49:BB$356))/BB447-1)</f>
        <v>0</v>
      </c>
    </row>
    <row r="653" s="173" customFormat="true" ht="15" hidden="true" customHeight="false" outlineLevel="1" collapsed="false">
      <c r="E653" s="40"/>
      <c r="K653" s="40"/>
      <c r="L653" s="40"/>
      <c r="M653" s="40"/>
      <c r="N653" s="40"/>
      <c r="P653" s="177" t="n">
        <f aca="false">P311</f>
        <v>0</v>
      </c>
      <c r="Q653" s="40"/>
      <c r="R653" s="178"/>
      <c r="S653" s="166" t="n">
        <f aca="false">IF(S448=0,0,(SUMIF(Resource_Planning!$P$49:$P$356,$P653,Resource_Planning!S$49:S$356))/S448-1)</f>
        <v>0</v>
      </c>
      <c r="T653" s="166" t="n">
        <f aca="false">IF(T448=0,0,(SUMIF(Resource_Planning!$P$49:$P$356,$P653,Resource_Planning!T$49:T$356))/T448-1)</f>
        <v>0</v>
      </c>
      <c r="U653" s="166" t="n">
        <f aca="false">IF(U448=0,0,(SUMIF(Resource_Planning!$P$49:$P$356,$P653,Resource_Planning!U$49:U$356))/U448-1)</f>
        <v>0</v>
      </c>
      <c r="V653" s="166" t="n">
        <f aca="false">IF(V448=0,0,(SUMIF(Resource_Planning!$P$49:$P$356,$P653,Resource_Planning!V$49:V$356))/V448-1)</f>
        <v>0</v>
      </c>
      <c r="W653" s="166" t="n">
        <f aca="false">IF(W448=0,0,(SUMIF(Resource_Planning!$P$49:$P$356,$P653,Resource_Planning!W$49:W$356))/W448-1)</f>
        <v>0</v>
      </c>
      <c r="X653" s="166" t="n">
        <f aca="false">IF(X448=0,0,(SUMIF(Resource_Planning!$P$49:$P$356,$P653,Resource_Planning!X$49:X$356))/X448-1)</f>
        <v>0</v>
      </c>
      <c r="Y653" s="166" t="n">
        <f aca="false">IF(Y448=0,0,(SUMIF(Resource_Planning!$P$49:$P$356,$P653,Resource_Planning!Y$49:Y$356))/Y448-1)</f>
        <v>0</v>
      </c>
      <c r="Z653" s="166" t="n">
        <f aca="false">IF(Z448=0,0,(SUMIF(Resource_Planning!$P$49:$P$356,$P653,Resource_Planning!Z$49:Z$356))/Z448-1)</f>
        <v>0</v>
      </c>
      <c r="AA653" s="166" t="n">
        <f aca="false">IF(AA448=0,0,(SUMIF(Resource_Planning!$P$49:$P$356,$P653,Resource_Planning!AA$49:AA$356))/AA448-1)</f>
        <v>0</v>
      </c>
      <c r="AB653" s="166" t="n">
        <f aca="false">IF(AB448=0,0,(SUMIF(Resource_Planning!$P$49:$P$356,$P653,Resource_Planning!AB$49:AB$356))/AB448-1)</f>
        <v>0</v>
      </c>
      <c r="AC653" s="166" t="n">
        <f aca="false">IF(AC448=0,0,(SUMIF(Resource_Planning!$P$49:$P$356,$P653,Resource_Planning!AC$49:AC$356))/AC448-1)</f>
        <v>0</v>
      </c>
      <c r="AD653" s="166" t="n">
        <f aca="false">IF(AD448=0,0,(SUMIF(Resource_Planning!$P$49:$P$356,$P653,Resource_Planning!AD$49:AD$356))/AD448-1)</f>
        <v>0</v>
      </c>
      <c r="AE653" s="166" t="n">
        <f aca="false">IF(AE448=0,0,(SUMIF(Resource_Planning!$P$49:$P$356,$P653,Resource_Planning!AE$49:AE$356))/AE448-1)</f>
        <v>0</v>
      </c>
      <c r="AF653" s="166" t="n">
        <f aca="false">IF(AF448=0,0,(SUMIF(Resource_Planning!$P$49:$P$356,$P653,Resource_Planning!AF$49:AF$356))/AF448-1)</f>
        <v>0</v>
      </c>
      <c r="AG653" s="166" t="n">
        <f aca="false">IF(AG448=0,0,(SUMIF(Resource_Planning!$P$49:$P$356,$P653,Resource_Planning!AG$49:AG$356))/AG448-1)</f>
        <v>0</v>
      </c>
      <c r="AH653" s="166" t="n">
        <f aca="false">IF(AH448=0,0,(SUMIF(Resource_Planning!$P$49:$P$356,$P653,Resource_Planning!AH$49:AH$356))/AH448-1)</f>
        <v>0</v>
      </c>
      <c r="AI653" s="166" t="n">
        <f aca="false">IF(AI448=0,0,(SUMIF(Resource_Planning!$P$49:$P$356,$P653,Resource_Planning!AI$49:AI$356))/AI448-1)</f>
        <v>0</v>
      </c>
      <c r="AJ653" s="166" t="n">
        <f aca="false">IF(AJ448=0,0,(SUMIF(Resource_Planning!$P$49:$P$356,$P653,Resource_Planning!AJ$49:AJ$356))/AJ448-1)</f>
        <v>0</v>
      </c>
      <c r="AK653" s="166" t="n">
        <f aca="false">IF(AK448=0,0,(SUMIF(Resource_Planning!$P$49:$P$356,$P653,Resource_Planning!AK$49:AK$356))/AK448-1)</f>
        <v>0</v>
      </c>
      <c r="AL653" s="166" t="n">
        <f aca="false">IF(AL448=0,0,(SUMIF(Resource_Planning!$P$49:$P$356,$P653,Resource_Planning!AL$49:AL$356))/AL448-1)</f>
        <v>0</v>
      </c>
      <c r="AM653" s="166" t="n">
        <f aca="false">IF(AM448=0,0,(SUMIF(Resource_Planning!$P$49:$P$356,$P653,Resource_Planning!AM$49:AM$356))/AM448-1)</f>
        <v>0</v>
      </c>
      <c r="AN653" s="166" t="n">
        <f aca="false">IF(AN448=0,0,(SUMIF(Resource_Planning!$P$49:$P$356,$P653,Resource_Planning!AN$49:AN$356))/AN448-1)</f>
        <v>0</v>
      </c>
      <c r="AO653" s="166" t="n">
        <f aca="false">IF(AO448=0,0,(SUMIF(Resource_Planning!$P$49:$P$356,$P653,Resource_Planning!AO$49:AO$356))/AO448-1)</f>
        <v>0</v>
      </c>
      <c r="AP653" s="166" t="n">
        <f aca="false">IF(AP448=0,0,(SUMIF(Resource_Planning!$P$49:$P$356,$P653,Resource_Planning!AP$49:AP$356))/AP448-1)</f>
        <v>0</v>
      </c>
      <c r="AQ653" s="166" t="n">
        <f aca="false">IF(AQ448=0,0,(SUMIF(Resource_Planning!$P$49:$P$356,$P653,Resource_Planning!AQ$49:AQ$356))/AQ448-1)</f>
        <v>0</v>
      </c>
      <c r="AR653" s="166" t="n">
        <f aca="false">IF(AR448=0,0,(SUMIF(Resource_Planning!$P$49:$P$356,$P653,Resource_Planning!AR$49:AR$356))/AR448-1)</f>
        <v>0</v>
      </c>
      <c r="AS653" s="166" t="n">
        <f aca="false">IF(AS448=0,0,(SUMIF(Resource_Planning!$P$49:$P$356,$P653,Resource_Planning!AS$49:AS$356))/AS448-1)</f>
        <v>0</v>
      </c>
      <c r="AT653" s="166" t="n">
        <f aca="false">IF(AT448=0,0,(SUMIF(Resource_Planning!$P$49:$P$356,$P653,Resource_Planning!AT$49:AT$356))/AT448-1)</f>
        <v>0</v>
      </c>
      <c r="AU653" s="166" t="n">
        <f aca="false">IF(AU448=0,0,(SUMIF(Resource_Planning!$P$49:$P$356,$P653,Resource_Planning!AU$49:AU$356))/AU448-1)</f>
        <v>0</v>
      </c>
      <c r="AV653" s="166" t="n">
        <f aca="false">IF(AV448=0,0,(SUMIF(Resource_Planning!$P$49:$P$356,$P653,Resource_Planning!AV$49:AV$356))/AV448-1)</f>
        <v>0</v>
      </c>
      <c r="AW653" s="166" t="n">
        <f aca="false">IF(AW448=0,0,(SUMIF(Resource_Planning!$P$49:$P$356,$P653,Resource_Planning!AW$49:AW$356))/AW448-1)</f>
        <v>0</v>
      </c>
      <c r="AX653" s="166" t="n">
        <f aca="false">IF(AX448=0,0,(SUMIF(Resource_Planning!$P$49:$P$356,$P653,Resource_Planning!AX$49:AX$356))/AX448-1)</f>
        <v>0</v>
      </c>
      <c r="AY653" s="166" t="n">
        <f aca="false">IF(AY448=0,0,(SUMIF(Resource_Planning!$P$49:$P$356,$P653,Resource_Planning!AY$49:AY$356))/AY448-1)</f>
        <v>0</v>
      </c>
      <c r="AZ653" s="166" t="n">
        <f aca="false">IF(AZ448=0,0,(SUMIF(Resource_Planning!$P$49:$P$356,$P653,Resource_Planning!AZ$49:AZ$356))/AZ448-1)</f>
        <v>0</v>
      </c>
      <c r="BA653" s="166" t="n">
        <f aca="false">IF(BA448=0,0,(SUMIF(Resource_Planning!$P$49:$P$356,$P653,Resource_Planning!BA$49:BA$356))/BA448-1)</f>
        <v>0</v>
      </c>
      <c r="BB653" s="166" t="n">
        <f aca="false">IF(BB448=0,0,(SUMIF(Resource_Planning!$P$49:$P$356,$P653,Resource_Planning!BB$49:BB$356))/BB448-1)</f>
        <v>0</v>
      </c>
    </row>
    <row r="654" s="173" customFormat="true" ht="15" hidden="true" customHeight="false" outlineLevel="1" collapsed="false">
      <c r="E654" s="40"/>
      <c r="K654" s="40"/>
      <c r="L654" s="40"/>
      <c r="M654" s="40"/>
      <c r="N654" s="40"/>
      <c r="P654" s="177" t="n">
        <f aca="false">P312</f>
        <v>0</v>
      </c>
      <c r="Q654" s="40"/>
      <c r="R654" s="178"/>
      <c r="S654" s="166" t="n">
        <f aca="false">IF(S449=0,0,(SUMIF(Resource_Planning!$P$49:$P$356,$P654,Resource_Planning!S$49:S$356))/S449-1)</f>
        <v>0</v>
      </c>
      <c r="T654" s="166" t="n">
        <f aca="false">IF(T449=0,0,(SUMIF(Resource_Planning!$P$49:$P$356,$P654,Resource_Planning!T$49:T$356))/T449-1)</f>
        <v>0</v>
      </c>
      <c r="U654" s="166" t="n">
        <f aca="false">IF(U449=0,0,(SUMIF(Resource_Planning!$P$49:$P$356,$P654,Resource_Planning!U$49:U$356))/U449-1)</f>
        <v>0</v>
      </c>
      <c r="V654" s="166" t="n">
        <f aca="false">IF(V449=0,0,(SUMIF(Resource_Planning!$P$49:$P$356,$P654,Resource_Planning!V$49:V$356))/V449-1)</f>
        <v>0</v>
      </c>
      <c r="W654" s="166" t="n">
        <f aca="false">IF(W449=0,0,(SUMIF(Resource_Planning!$P$49:$P$356,$P654,Resource_Planning!W$49:W$356))/W449-1)</f>
        <v>0</v>
      </c>
      <c r="X654" s="166" t="n">
        <f aca="false">IF(X449=0,0,(SUMIF(Resource_Planning!$P$49:$P$356,$P654,Resource_Planning!X$49:X$356))/X449-1)</f>
        <v>0</v>
      </c>
      <c r="Y654" s="166" t="n">
        <f aca="false">IF(Y449=0,0,(SUMIF(Resource_Planning!$P$49:$P$356,$P654,Resource_Planning!Y$49:Y$356))/Y449-1)</f>
        <v>0</v>
      </c>
      <c r="Z654" s="166" t="n">
        <f aca="false">IF(Z449=0,0,(SUMIF(Resource_Planning!$P$49:$P$356,$P654,Resource_Planning!Z$49:Z$356))/Z449-1)</f>
        <v>0</v>
      </c>
      <c r="AA654" s="166" t="n">
        <f aca="false">IF(AA449=0,0,(SUMIF(Resource_Planning!$P$49:$P$356,$P654,Resource_Planning!AA$49:AA$356))/AA449-1)</f>
        <v>0</v>
      </c>
      <c r="AB654" s="166" t="n">
        <f aca="false">IF(AB449=0,0,(SUMIF(Resource_Planning!$P$49:$P$356,$P654,Resource_Planning!AB$49:AB$356))/AB449-1)</f>
        <v>0</v>
      </c>
      <c r="AC654" s="166" t="n">
        <f aca="false">IF(AC449=0,0,(SUMIF(Resource_Planning!$P$49:$P$356,$P654,Resource_Planning!AC$49:AC$356))/AC449-1)</f>
        <v>0</v>
      </c>
      <c r="AD654" s="166" t="n">
        <f aca="false">IF(AD449=0,0,(SUMIF(Resource_Planning!$P$49:$P$356,$P654,Resource_Planning!AD$49:AD$356))/AD449-1)</f>
        <v>0</v>
      </c>
      <c r="AE654" s="166" t="n">
        <f aca="false">IF(AE449=0,0,(SUMIF(Resource_Planning!$P$49:$P$356,$P654,Resource_Planning!AE$49:AE$356))/AE449-1)</f>
        <v>0</v>
      </c>
      <c r="AF654" s="166" t="n">
        <f aca="false">IF(AF449=0,0,(SUMIF(Resource_Planning!$P$49:$P$356,$P654,Resource_Planning!AF$49:AF$356))/AF449-1)</f>
        <v>0</v>
      </c>
      <c r="AG654" s="166" t="n">
        <f aca="false">IF(AG449=0,0,(SUMIF(Resource_Planning!$P$49:$P$356,$P654,Resource_Planning!AG$49:AG$356))/AG449-1)</f>
        <v>0</v>
      </c>
      <c r="AH654" s="166" t="n">
        <f aca="false">IF(AH449=0,0,(SUMIF(Resource_Planning!$P$49:$P$356,$P654,Resource_Planning!AH$49:AH$356))/AH449-1)</f>
        <v>0</v>
      </c>
      <c r="AI654" s="166" t="n">
        <f aca="false">IF(AI449=0,0,(SUMIF(Resource_Planning!$P$49:$P$356,$P654,Resource_Planning!AI$49:AI$356))/AI449-1)</f>
        <v>0</v>
      </c>
      <c r="AJ654" s="166" t="n">
        <f aca="false">IF(AJ449=0,0,(SUMIF(Resource_Planning!$P$49:$P$356,$P654,Resource_Planning!AJ$49:AJ$356))/AJ449-1)</f>
        <v>0</v>
      </c>
      <c r="AK654" s="166" t="n">
        <f aca="false">IF(AK449=0,0,(SUMIF(Resource_Planning!$P$49:$P$356,$P654,Resource_Planning!AK$49:AK$356))/AK449-1)</f>
        <v>0</v>
      </c>
      <c r="AL654" s="166" t="n">
        <f aca="false">IF(AL449=0,0,(SUMIF(Resource_Planning!$P$49:$P$356,$P654,Resource_Planning!AL$49:AL$356))/AL449-1)</f>
        <v>0</v>
      </c>
      <c r="AM654" s="166" t="n">
        <f aca="false">IF(AM449=0,0,(SUMIF(Resource_Planning!$P$49:$P$356,$P654,Resource_Planning!AM$49:AM$356))/AM449-1)</f>
        <v>0</v>
      </c>
      <c r="AN654" s="166" t="n">
        <f aca="false">IF(AN449=0,0,(SUMIF(Resource_Planning!$P$49:$P$356,$P654,Resource_Planning!AN$49:AN$356))/AN449-1)</f>
        <v>0</v>
      </c>
      <c r="AO654" s="166" t="n">
        <f aca="false">IF(AO449=0,0,(SUMIF(Resource_Planning!$P$49:$P$356,$P654,Resource_Planning!AO$49:AO$356))/AO449-1)</f>
        <v>0</v>
      </c>
      <c r="AP654" s="166" t="n">
        <f aca="false">IF(AP449=0,0,(SUMIF(Resource_Planning!$P$49:$P$356,$P654,Resource_Planning!AP$49:AP$356))/AP449-1)</f>
        <v>0</v>
      </c>
      <c r="AQ654" s="166" t="n">
        <f aca="false">IF(AQ449=0,0,(SUMIF(Resource_Planning!$P$49:$P$356,$P654,Resource_Planning!AQ$49:AQ$356))/AQ449-1)</f>
        <v>0</v>
      </c>
      <c r="AR654" s="166" t="n">
        <f aca="false">IF(AR449=0,0,(SUMIF(Resource_Planning!$P$49:$P$356,$P654,Resource_Planning!AR$49:AR$356))/AR449-1)</f>
        <v>0</v>
      </c>
      <c r="AS654" s="166" t="n">
        <f aca="false">IF(AS449=0,0,(SUMIF(Resource_Planning!$P$49:$P$356,$P654,Resource_Planning!AS$49:AS$356))/AS449-1)</f>
        <v>0</v>
      </c>
      <c r="AT654" s="166" t="n">
        <f aca="false">IF(AT449=0,0,(SUMIF(Resource_Planning!$P$49:$P$356,$P654,Resource_Planning!AT$49:AT$356))/AT449-1)</f>
        <v>0</v>
      </c>
      <c r="AU654" s="166" t="n">
        <f aca="false">IF(AU449=0,0,(SUMIF(Resource_Planning!$P$49:$P$356,$P654,Resource_Planning!AU$49:AU$356))/AU449-1)</f>
        <v>0</v>
      </c>
      <c r="AV654" s="166" t="n">
        <f aca="false">IF(AV449=0,0,(SUMIF(Resource_Planning!$P$49:$P$356,$P654,Resource_Planning!AV$49:AV$356))/AV449-1)</f>
        <v>0</v>
      </c>
      <c r="AW654" s="166" t="n">
        <f aca="false">IF(AW449=0,0,(SUMIF(Resource_Planning!$P$49:$P$356,$P654,Resource_Planning!AW$49:AW$356))/AW449-1)</f>
        <v>0</v>
      </c>
      <c r="AX654" s="166" t="n">
        <f aca="false">IF(AX449=0,0,(SUMIF(Resource_Planning!$P$49:$P$356,$P654,Resource_Planning!AX$49:AX$356))/AX449-1)</f>
        <v>0</v>
      </c>
      <c r="AY654" s="166" t="n">
        <f aca="false">IF(AY449=0,0,(SUMIF(Resource_Planning!$P$49:$P$356,$P654,Resource_Planning!AY$49:AY$356))/AY449-1)</f>
        <v>0</v>
      </c>
      <c r="AZ654" s="166" t="n">
        <f aca="false">IF(AZ449=0,0,(SUMIF(Resource_Planning!$P$49:$P$356,$P654,Resource_Planning!AZ$49:AZ$356))/AZ449-1)</f>
        <v>0</v>
      </c>
      <c r="BA654" s="166" t="n">
        <f aca="false">IF(BA449=0,0,(SUMIF(Resource_Planning!$P$49:$P$356,$P654,Resource_Planning!BA$49:BA$356))/BA449-1)</f>
        <v>0</v>
      </c>
      <c r="BB654" s="166" t="n">
        <f aca="false">IF(BB449=0,0,(SUMIF(Resource_Planning!$P$49:$P$356,$P654,Resource_Planning!BB$49:BB$356))/BB449-1)</f>
        <v>0</v>
      </c>
    </row>
    <row r="655" s="173" customFormat="true" ht="15" hidden="true" customHeight="false" outlineLevel="1" collapsed="false">
      <c r="E655" s="40"/>
      <c r="K655" s="40"/>
      <c r="L655" s="40"/>
      <c r="M655" s="40"/>
      <c r="N655" s="40"/>
      <c r="P655" s="177" t="n">
        <f aca="false">P313</f>
        <v>0</v>
      </c>
      <c r="Q655" s="40"/>
      <c r="R655" s="178"/>
      <c r="S655" s="166" t="n">
        <f aca="false">IF(S450=0,0,(SUMIF(Resource_Planning!$P$49:$P$356,$P655,Resource_Planning!S$49:S$356))/S450-1)</f>
        <v>0</v>
      </c>
      <c r="T655" s="166" t="n">
        <f aca="false">IF(T450=0,0,(SUMIF(Resource_Planning!$P$49:$P$356,$P655,Resource_Planning!T$49:T$356))/T450-1)</f>
        <v>0</v>
      </c>
      <c r="U655" s="166" t="n">
        <f aca="false">IF(U450=0,0,(SUMIF(Resource_Planning!$P$49:$P$356,$P655,Resource_Planning!U$49:U$356))/U450-1)</f>
        <v>0</v>
      </c>
      <c r="V655" s="166" t="n">
        <f aca="false">IF(V450=0,0,(SUMIF(Resource_Planning!$P$49:$P$356,$P655,Resource_Planning!V$49:V$356))/V450-1)</f>
        <v>0</v>
      </c>
      <c r="W655" s="166" t="n">
        <f aca="false">IF(W450=0,0,(SUMIF(Resource_Planning!$P$49:$P$356,$P655,Resource_Planning!W$49:W$356))/W450-1)</f>
        <v>0</v>
      </c>
      <c r="X655" s="166" t="n">
        <f aca="false">IF(X450=0,0,(SUMIF(Resource_Planning!$P$49:$P$356,$P655,Resource_Planning!X$49:X$356))/X450-1)</f>
        <v>0</v>
      </c>
      <c r="Y655" s="166" t="n">
        <f aca="false">IF(Y450=0,0,(SUMIF(Resource_Planning!$P$49:$P$356,$P655,Resource_Planning!Y$49:Y$356))/Y450-1)</f>
        <v>0</v>
      </c>
      <c r="Z655" s="166" t="n">
        <f aca="false">IF(Z450=0,0,(SUMIF(Resource_Planning!$P$49:$P$356,$P655,Resource_Planning!Z$49:Z$356))/Z450-1)</f>
        <v>0</v>
      </c>
      <c r="AA655" s="166" t="n">
        <f aca="false">IF(AA450=0,0,(SUMIF(Resource_Planning!$P$49:$P$356,$P655,Resource_Planning!AA$49:AA$356))/AA450-1)</f>
        <v>0</v>
      </c>
      <c r="AB655" s="166" t="n">
        <f aca="false">IF(AB450=0,0,(SUMIF(Resource_Planning!$P$49:$P$356,$P655,Resource_Planning!AB$49:AB$356))/AB450-1)</f>
        <v>0</v>
      </c>
      <c r="AC655" s="166" t="n">
        <f aca="false">IF(AC450=0,0,(SUMIF(Resource_Planning!$P$49:$P$356,$P655,Resource_Planning!AC$49:AC$356))/AC450-1)</f>
        <v>0</v>
      </c>
      <c r="AD655" s="166" t="n">
        <f aca="false">IF(AD450=0,0,(SUMIF(Resource_Planning!$P$49:$P$356,$P655,Resource_Planning!AD$49:AD$356))/AD450-1)</f>
        <v>0</v>
      </c>
      <c r="AE655" s="166" t="n">
        <f aca="false">IF(AE450=0,0,(SUMIF(Resource_Planning!$P$49:$P$356,$P655,Resource_Planning!AE$49:AE$356))/AE450-1)</f>
        <v>0</v>
      </c>
      <c r="AF655" s="166" t="n">
        <f aca="false">IF(AF450=0,0,(SUMIF(Resource_Planning!$P$49:$P$356,$P655,Resource_Planning!AF$49:AF$356))/AF450-1)</f>
        <v>0</v>
      </c>
      <c r="AG655" s="166" t="n">
        <f aca="false">IF(AG450=0,0,(SUMIF(Resource_Planning!$P$49:$P$356,$P655,Resource_Planning!AG$49:AG$356))/AG450-1)</f>
        <v>0</v>
      </c>
      <c r="AH655" s="166" t="n">
        <f aca="false">IF(AH450=0,0,(SUMIF(Resource_Planning!$P$49:$P$356,$P655,Resource_Planning!AH$49:AH$356))/AH450-1)</f>
        <v>0</v>
      </c>
      <c r="AI655" s="166" t="n">
        <f aca="false">IF(AI450=0,0,(SUMIF(Resource_Planning!$P$49:$P$356,$P655,Resource_Planning!AI$49:AI$356))/AI450-1)</f>
        <v>0</v>
      </c>
      <c r="AJ655" s="166" t="n">
        <f aca="false">IF(AJ450=0,0,(SUMIF(Resource_Planning!$P$49:$P$356,$P655,Resource_Planning!AJ$49:AJ$356))/AJ450-1)</f>
        <v>0</v>
      </c>
      <c r="AK655" s="166" t="n">
        <f aca="false">IF(AK450=0,0,(SUMIF(Resource_Planning!$P$49:$P$356,$P655,Resource_Planning!AK$49:AK$356))/AK450-1)</f>
        <v>0</v>
      </c>
      <c r="AL655" s="166" t="n">
        <f aca="false">IF(AL450=0,0,(SUMIF(Resource_Planning!$P$49:$P$356,$P655,Resource_Planning!AL$49:AL$356))/AL450-1)</f>
        <v>0</v>
      </c>
      <c r="AM655" s="166" t="n">
        <f aca="false">IF(AM450=0,0,(SUMIF(Resource_Planning!$P$49:$P$356,$P655,Resource_Planning!AM$49:AM$356))/AM450-1)</f>
        <v>0</v>
      </c>
      <c r="AN655" s="166" t="n">
        <f aca="false">IF(AN450=0,0,(SUMIF(Resource_Planning!$P$49:$P$356,$P655,Resource_Planning!AN$49:AN$356))/AN450-1)</f>
        <v>0</v>
      </c>
      <c r="AO655" s="166" t="n">
        <f aca="false">IF(AO450=0,0,(SUMIF(Resource_Planning!$P$49:$P$356,$P655,Resource_Planning!AO$49:AO$356))/AO450-1)</f>
        <v>0</v>
      </c>
      <c r="AP655" s="166" t="n">
        <f aca="false">IF(AP450=0,0,(SUMIF(Resource_Planning!$P$49:$P$356,$P655,Resource_Planning!AP$49:AP$356))/AP450-1)</f>
        <v>0</v>
      </c>
      <c r="AQ655" s="166" t="n">
        <f aca="false">IF(AQ450=0,0,(SUMIF(Resource_Planning!$P$49:$P$356,$P655,Resource_Planning!AQ$49:AQ$356))/AQ450-1)</f>
        <v>0</v>
      </c>
      <c r="AR655" s="166" t="n">
        <f aca="false">IF(AR450=0,0,(SUMIF(Resource_Planning!$P$49:$P$356,$P655,Resource_Planning!AR$49:AR$356))/AR450-1)</f>
        <v>0</v>
      </c>
      <c r="AS655" s="166" t="n">
        <f aca="false">IF(AS450=0,0,(SUMIF(Resource_Planning!$P$49:$P$356,$P655,Resource_Planning!AS$49:AS$356))/AS450-1)</f>
        <v>0</v>
      </c>
      <c r="AT655" s="166" t="n">
        <f aca="false">IF(AT450=0,0,(SUMIF(Resource_Planning!$P$49:$P$356,$P655,Resource_Planning!AT$49:AT$356))/AT450-1)</f>
        <v>0</v>
      </c>
      <c r="AU655" s="166" t="n">
        <f aca="false">IF(AU450=0,0,(SUMIF(Resource_Planning!$P$49:$P$356,$P655,Resource_Planning!AU$49:AU$356))/AU450-1)</f>
        <v>0</v>
      </c>
      <c r="AV655" s="166" t="n">
        <f aca="false">IF(AV450=0,0,(SUMIF(Resource_Planning!$P$49:$P$356,$P655,Resource_Planning!AV$49:AV$356))/AV450-1)</f>
        <v>0</v>
      </c>
      <c r="AW655" s="166" t="n">
        <f aca="false">IF(AW450=0,0,(SUMIF(Resource_Planning!$P$49:$P$356,$P655,Resource_Planning!AW$49:AW$356))/AW450-1)</f>
        <v>0</v>
      </c>
      <c r="AX655" s="166" t="n">
        <f aca="false">IF(AX450=0,0,(SUMIF(Resource_Planning!$P$49:$P$356,$P655,Resource_Planning!AX$49:AX$356))/AX450-1)</f>
        <v>0</v>
      </c>
      <c r="AY655" s="166" t="n">
        <f aca="false">IF(AY450=0,0,(SUMIF(Resource_Planning!$P$49:$P$356,$P655,Resource_Planning!AY$49:AY$356))/AY450-1)</f>
        <v>0</v>
      </c>
      <c r="AZ655" s="166" t="n">
        <f aca="false">IF(AZ450=0,0,(SUMIF(Resource_Planning!$P$49:$P$356,$P655,Resource_Planning!AZ$49:AZ$356))/AZ450-1)</f>
        <v>0</v>
      </c>
      <c r="BA655" s="166" t="n">
        <f aca="false">IF(BA450=0,0,(SUMIF(Resource_Planning!$P$49:$P$356,$P655,Resource_Planning!BA$49:BA$356))/BA450-1)</f>
        <v>0</v>
      </c>
      <c r="BB655" s="166" t="n">
        <f aca="false">IF(BB450=0,0,(SUMIF(Resource_Planning!$P$49:$P$356,$P655,Resource_Planning!BB$49:BB$356))/BB450-1)</f>
        <v>0</v>
      </c>
    </row>
    <row r="656" s="173" customFormat="true" ht="15" hidden="true" customHeight="false" outlineLevel="1" collapsed="false">
      <c r="E656" s="40"/>
      <c r="K656" s="40"/>
      <c r="L656" s="40"/>
      <c r="M656" s="40"/>
      <c r="N656" s="40"/>
      <c r="P656" s="177" t="n">
        <f aca="false">P314</f>
        <v>0</v>
      </c>
      <c r="Q656" s="40"/>
      <c r="R656" s="178"/>
      <c r="S656" s="166" t="n">
        <f aca="false">IF(S451=0,0,(SUMIF(Resource_Planning!$P$49:$P$356,$P656,Resource_Planning!S$49:S$356))/S451-1)</f>
        <v>0</v>
      </c>
      <c r="T656" s="166" t="n">
        <f aca="false">IF(T451=0,0,(SUMIF(Resource_Planning!$P$49:$P$356,$P656,Resource_Planning!T$49:T$356))/T451-1)</f>
        <v>0</v>
      </c>
      <c r="U656" s="166" t="n">
        <f aca="false">IF(U451=0,0,(SUMIF(Resource_Planning!$P$49:$P$356,$P656,Resource_Planning!U$49:U$356))/U451-1)</f>
        <v>0</v>
      </c>
      <c r="V656" s="166" t="n">
        <f aca="false">IF(V451=0,0,(SUMIF(Resource_Planning!$P$49:$P$356,$P656,Resource_Planning!V$49:V$356))/V451-1)</f>
        <v>0</v>
      </c>
      <c r="W656" s="166" t="n">
        <f aca="false">IF(W451=0,0,(SUMIF(Resource_Planning!$P$49:$P$356,$P656,Resource_Planning!W$49:W$356))/W451-1)</f>
        <v>0</v>
      </c>
      <c r="X656" s="166" t="n">
        <f aca="false">IF(X451=0,0,(SUMIF(Resource_Planning!$P$49:$P$356,$P656,Resource_Planning!X$49:X$356))/X451-1)</f>
        <v>0</v>
      </c>
      <c r="Y656" s="166" t="n">
        <f aca="false">IF(Y451=0,0,(SUMIF(Resource_Planning!$P$49:$P$356,$P656,Resource_Planning!Y$49:Y$356))/Y451-1)</f>
        <v>0</v>
      </c>
      <c r="Z656" s="166" t="n">
        <f aca="false">IF(Z451=0,0,(SUMIF(Resource_Planning!$P$49:$P$356,$P656,Resource_Planning!Z$49:Z$356))/Z451-1)</f>
        <v>0</v>
      </c>
      <c r="AA656" s="166" t="n">
        <f aca="false">IF(AA451=0,0,(SUMIF(Resource_Planning!$P$49:$P$356,$P656,Resource_Planning!AA$49:AA$356))/AA451-1)</f>
        <v>0</v>
      </c>
      <c r="AB656" s="166" t="n">
        <f aca="false">IF(AB451=0,0,(SUMIF(Resource_Planning!$P$49:$P$356,$P656,Resource_Planning!AB$49:AB$356))/AB451-1)</f>
        <v>0</v>
      </c>
      <c r="AC656" s="166" t="n">
        <f aca="false">IF(AC451=0,0,(SUMIF(Resource_Planning!$P$49:$P$356,$P656,Resource_Planning!AC$49:AC$356))/AC451-1)</f>
        <v>0</v>
      </c>
      <c r="AD656" s="166" t="n">
        <f aca="false">IF(AD451=0,0,(SUMIF(Resource_Planning!$P$49:$P$356,$P656,Resource_Planning!AD$49:AD$356))/AD451-1)</f>
        <v>0</v>
      </c>
      <c r="AE656" s="166" t="n">
        <f aca="false">IF(AE451=0,0,(SUMIF(Resource_Planning!$P$49:$P$356,$P656,Resource_Planning!AE$49:AE$356))/AE451-1)</f>
        <v>0</v>
      </c>
      <c r="AF656" s="166" t="n">
        <f aca="false">IF(AF451=0,0,(SUMIF(Resource_Planning!$P$49:$P$356,$P656,Resource_Planning!AF$49:AF$356))/AF451-1)</f>
        <v>0</v>
      </c>
      <c r="AG656" s="166" t="n">
        <f aca="false">IF(AG451=0,0,(SUMIF(Resource_Planning!$P$49:$P$356,$P656,Resource_Planning!AG$49:AG$356))/AG451-1)</f>
        <v>0</v>
      </c>
      <c r="AH656" s="166" t="n">
        <f aca="false">IF(AH451=0,0,(SUMIF(Resource_Planning!$P$49:$P$356,$P656,Resource_Planning!AH$49:AH$356))/AH451-1)</f>
        <v>0</v>
      </c>
      <c r="AI656" s="166" t="n">
        <f aca="false">IF(AI451=0,0,(SUMIF(Resource_Planning!$P$49:$P$356,$P656,Resource_Planning!AI$49:AI$356))/AI451-1)</f>
        <v>0</v>
      </c>
      <c r="AJ656" s="166" t="n">
        <f aca="false">IF(AJ451=0,0,(SUMIF(Resource_Planning!$P$49:$P$356,$P656,Resource_Planning!AJ$49:AJ$356))/AJ451-1)</f>
        <v>0</v>
      </c>
      <c r="AK656" s="166" t="n">
        <f aca="false">IF(AK451=0,0,(SUMIF(Resource_Planning!$P$49:$P$356,$P656,Resource_Planning!AK$49:AK$356))/AK451-1)</f>
        <v>0</v>
      </c>
      <c r="AL656" s="166" t="n">
        <f aca="false">IF(AL451=0,0,(SUMIF(Resource_Planning!$P$49:$P$356,$P656,Resource_Planning!AL$49:AL$356))/AL451-1)</f>
        <v>0</v>
      </c>
      <c r="AM656" s="166" t="n">
        <f aca="false">IF(AM451=0,0,(SUMIF(Resource_Planning!$P$49:$P$356,$P656,Resource_Planning!AM$49:AM$356))/AM451-1)</f>
        <v>0</v>
      </c>
      <c r="AN656" s="166" t="n">
        <f aca="false">IF(AN451=0,0,(SUMIF(Resource_Planning!$P$49:$P$356,$P656,Resource_Planning!AN$49:AN$356))/AN451-1)</f>
        <v>0</v>
      </c>
      <c r="AO656" s="166" t="n">
        <f aca="false">IF(AO451=0,0,(SUMIF(Resource_Planning!$P$49:$P$356,$P656,Resource_Planning!AO$49:AO$356))/AO451-1)</f>
        <v>0</v>
      </c>
      <c r="AP656" s="166" t="n">
        <f aca="false">IF(AP451=0,0,(SUMIF(Resource_Planning!$P$49:$P$356,$P656,Resource_Planning!AP$49:AP$356))/AP451-1)</f>
        <v>0</v>
      </c>
      <c r="AQ656" s="166" t="n">
        <f aca="false">IF(AQ451=0,0,(SUMIF(Resource_Planning!$P$49:$P$356,$P656,Resource_Planning!AQ$49:AQ$356))/AQ451-1)</f>
        <v>0</v>
      </c>
      <c r="AR656" s="166" t="n">
        <f aca="false">IF(AR451=0,0,(SUMIF(Resource_Planning!$P$49:$P$356,$P656,Resource_Planning!AR$49:AR$356))/AR451-1)</f>
        <v>0</v>
      </c>
      <c r="AS656" s="166" t="n">
        <f aca="false">IF(AS451=0,0,(SUMIF(Resource_Planning!$P$49:$P$356,$P656,Resource_Planning!AS$49:AS$356))/AS451-1)</f>
        <v>0</v>
      </c>
      <c r="AT656" s="166" t="n">
        <f aca="false">IF(AT451=0,0,(SUMIF(Resource_Planning!$P$49:$P$356,$P656,Resource_Planning!AT$49:AT$356))/AT451-1)</f>
        <v>0</v>
      </c>
      <c r="AU656" s="166" t="n">
        <f aca="false">IF(AU451=0,0,(SUMIF(Resource_Planning!$P$49:$P$356,$P656,Resource_Planning!AU$49:AU$356))/AU451-1)</f>
        <v>0</v>
      </c>
      <c r="AV656" s="166" t="n">
        <f aca="false">IF(AV451=0,0,(SUMIF(Resource_Planning!$P$49:$P$356,$P656,Resource_Planning!AV$49:AV$356))/AV451-1)</f>
        <v>0</v>
      </c>
      <c r="AW656" s="166" t="n">
        <f aca="false">IF(AW451=0,0,(SUMIF(Resource_Planning!$P$49:$P$356,$P656,Resource_Planning!AW$49:AW$356))/AW451-1)</f>
        <v>0</v>
      </c>
      <c r="AX656" s="166" t="n">
        <f aca="false">IF(AX451=0,0,(SUMIF(Resource_Planning!$P$49:$P$356,$P656,Resource_Planning!AX$49:AX$356))/AX451-1)</f>
        <v>0</v>
      </c>
      <c r="AY656" s="166" t="n">
        <f aca="false">IF(AY451=0,0,(SUMIF(Resource_Planning!$P$49:$P$356,$P656,Resource_Planning!AY$49:AY$356))/AY451-1)</f>
        <v>0</v>
      </c>
      <c r="AZ656" s="166" t="n">
        <f aca="false">IF(AZ451=0,0,(SUMIF(Resource_Planning!$P$49:$P$356,$P656,Resource_Planning!AZ$49:AZ$356))/AZ451-1)</f>
        <v>0</v>
      </c>
      <c r="BA656" s="166" t="n">
        <f aca="false">IF(BA451=0,0,(SUMIF(Resource_Planning!$P$49:$P$356,$P656,Resource_Planning!BA$49:BA$356))/BA451-1)</f>
        <v>0</v>
      </c>
      <c r="BB656" s="166" t="n">
        <f aca="false">IF(BB451=0,0,(SUMIF(Resource_Planning!$P$49:$P$356,$P656,Resource_Planning!BB$49:BB$356))/BB451-1)</f>
        <v>0</v>
      </c>
    </row>
    <row r="657" s="173" customFormat="true" ht="15" hidden="true" customHeight="false" outlineLevel="1" collapsed="false">
      <c r="E657" s="40"/>
      <c r="K657" s="40"/>
      <c r="L657" s="40"/>
      <c r="M657" s="40"/>
      <c r="N657" s="40"/>
      <c r="P657" s="177" t="n">
        <f aca="false">P315</f>
        <v>0</v>
      </c>
      <c r="Q657" s="40"/>
      <c r="R657" s="178"/>
      <c r="S657" s="166" t="n">
        <f aca="false">IF(S452=0,0,(SUMIF(Resource_Planning!$P$49:$P$356,$P657,Resource_Planning!S$49:S$356))/S452-1)</f>
        <v>0</v>
      </c>
      <c r="T657" s="166" t="n">
        <f aca="false">IF(T452=0,0,(SUMIF(Resource_Planning!$P$49:$P$356,$P657,Resource_Planning!T$49:T$356))/T452-1)</f>
        <v>0</v>
      </c>
      <c r="U657" s="166" t="n">
        <f aca="false">IF(U452=0,0,(SUMIF(Resource_Planning!$P$49:$P$356,$P657,Resource_Planning!U$49:U$356))/U452-1)</f>
        <v>0</v>
      </c>
      <c r="V657" s="166" t="n">
        <f aca="false">IF(V452=0,0,(SUMIF(Resource_Planning!$P$49:$P$356,$P657,Resource_Planning!V$49:V$356))/V452-1)</f>
        <v>0</v>
      </c>
      <c r="W657" s="166" t="n">
        <f aca="false">IF(W452=0,0,(SUMIF(Resource_Planning!$P$49:$P$356,$P657,Resource_Planning!W$49:W$356))/W452-1)</f>
        <v>0</v>
      </c>
      <c r="X657" s="166" t="n">
        <f aca="false">IF(X452=0,0,(SUMIF(Resource_Planning!$P$49:$P$356,$P657,Resource_Planning!X$49:X$356))/X452-1)</f>
        <v>0</v>
      </c>
      <c r="Y657" s="166" t="n">
        <f aca="false">IF(Y452=0,0,(SUMIF(Resource_Planning!$P$49:$P$356,$P657,Resource_Planning!Y$49:Y$356))/Y452-1)</f>
        <v>0</v>
      </c>
      <c r="Z657" s="166" t="n">
        <f aca="false">IF(Z452=0,0,(SUMIF(Resource_Planning!$P$49:$P$356,$P657,Resource_Planning!Z$49:Z$356))/Z452-1)</f>
        <v>0</v>
      </c>
      <c r="AA657" s="166" t="n">
        <f aca="false">IF(AA452=0,0,(SUMIF(Resource_Planning!$P$49:$P$356,$P657,Resource_Planning!AA$49:AA$356))/AA452-1)</f>
        <v>0</v>
      </c>
      <c r="AB657" s="166" t="n">
        <f aca="false">IF(AB452=0,0,(SUMIF(Resource_Planning!$P$49:$P$356,$P657,Resource_Planning!AB$49:AB$356))/AB452-1)</f>
        <v>0</v>
      </c>
      <c r="AC657" s="166" t="n">
        <f aca="false">IF(AC452=0,0,(SUMIF(Resource_Planning!$P$49:$P$356,$P657,Resource_Planning!AC$49:AC$356))/AC452-1)</f>
        <v>0</v>
      </c>
      <c r="AD657" s="166" t="n">
        <f aca="false">IF(AD452=0,0,(SUMIF(Resource_Planning!$P$49:$P$356,$P657,Resource_Planning!AD$49:AD$356))/AD452-1)</f>
        <v>0</v>
      </c>
      <c r="AE657" s="166" t="n">
        <f aca="false">IF(AE452=0,0,(SUMIF(Resource_Planning!$P$49:$P$356,$P657,Resource_Planning!AE$49:AE$356))/AE452-1)</f>
        <v>0</v>
      </c>
      <c r="AF657" s="166" t="n">
        <f aca="false">IF(AF452=0,0,(SUMIF(Resource_Planning!$P$49:$P$356,$P657,Resource_Planning!AF$49:AF$356))/AF452-1)</f>
        <v>0</v>
      </c>
      <c r="AG657" s="166" t="n">
        <f aca="false">IF(AG452=0,0,(SUMIF(Resource_Planning!$P$49:$P$356,$P657,Resource_Planning!AG$49:AG$356))/AG452-1)</f>
        <v>0</v>
      </c>
      <c r="AH657" s="166" t="n">
        <f aca="false">IF(AH452=0,0,(SUMIF(Resource_Planning!$P$49:$P$356,$P657,Resource_Planning!AH$49:AH$356))/AH452-1)</f>
        <v>0</v>
      </c>
      <c r="AI657" s="166" t="n">
        <f aca="false">IF(AI452=0,0,(SUMIF(Resource_Planning!$P$49:$P$356,$P657,Resource_Planning!AI$49:AI$356))/AI452-1)</f>
        <v>0</v>
      </c>
      <c r="AJ657" s="166" t="n">
        <f aca="false">IF(AJ452=0,0,(SUMIF(Resource_Planning!$P$49:$P$356,$P657,Resource_Planning!AJ$49:AJ$356))/AJ452-1)</f>
        <v>0</v>
      </c>
      <c r="AK657" s="166" t="n">
        <f aca="false">IF(AK452=0,0,(SUMIF(Resource_Planning!$P$49:$P$356,$P657,Resource_Planning!AK$49:AK$356))/AK452-1)</f>
        <v>0</v>
      </c>
      <c r="AL657" s="166" t="n">
        <f aca="false">IF(AL452=0,0,(SUMIF(Resource_Planning!$P$49:$P$356,$P657,Resource_Planning!AL$49:AL$356))/AL452-1)</f>
        <v>0</v>
      </c>
      <c r="AM657" s="166" t="n">
        <f aca="false">IF(AM452=0,0,(SUMIF(Resource_Planning!$P$49:$P$356,$P657,Resource_Planning!AM$49:AM$356))/AM452-1)</f>
        <v>0</v>
      </c>
      <c r="AN657" s="166" t="n">
        <f aca="false">IF(AN452=0,0,(SUMIF(Resource_Planning!$P$49:$P$356,$P657,Resource_Planning!AN$49:AN$356))/AN452-1)</f>
        <v>0</v>
      </c>
      <c r="AO657" s="166" t="n">
        <f aca="false">IF(AO452=0,0,(SUMIF(Resource_Planning!$P$49:$P$356,$P657,Resource_Planning!AO$49:AO$356))/AO452-1)</f>
        <v>0</v>
      </c>
      <c r="AP657" s="166" t="n">
        <f aca="false">IF(AP452=0,0,(SUMIF(Resource_Planning!$P$49:$P$356,$P657,Resource_Planning!AP$49:AP$356))/AP452-1)</f>
        <v>0</v>
      </c>
      <c r="AQ657" s="166" t="n">
        <f aca="false">IF(AQ452=0,0,(SUMIF(Resource_Planning!$P$49:$P$356,$P657,Resource_Planning!AQ$49:AQ$356))/AQ452-1)</f>
        <v>0</v>
      </c>
      <c r="AR657" s="166" t="n">
        <f aca="false">IF(AR452=0,0,(SUMIF(Resource_Planning!$P$49:$P$356,$P657,Resource_Planning!AR$49:AR$356))/AR452-1)</f>
        <v>0</v>
      </c>
      <c r="AS657" s="166" t="n">
        <f aca="false">IF(AS452=0,0,(SUMIF(Resource_Planning!$P$49:$P$356,$P657,Resource_Planning!AS$49:AS$356))/AS452-1)</f>
        <v>0</v>
      </c>
      <c r="AT657" s="166" t="n">
        <f aca="false">IF(AT452=0,0,(SUMIF(Resource_Planning!$P$49:$P$356,$P657,Resource_Planning!AT$49:AT$356))/AT452-1)</f>
        <v>0</v>
      </c>
      <c r="AU657" s="166" t="n">
        <f aca="false">IF(AU452=0,0,(SUMIF(Resource_Planning!$P$49:$P$356,$P657,Resource_Planning!AU$49:AU$356))/AU452-1)</f>
        <v>0</v>
      </c>
      <c r="AV657" s="166" t="n">
        <f aca="false">IF(AV452=0,0,(SUMIF(Resource_Planning!$P$49:$P$356,$P657,Resource_Planning!AV$49:AV$356))/AV452-1)</f>
        <v>0</v>
      </c>
      <c r="AW657" s="166" t="n">
        <f aca="false">IF(AW452=0,0,(SUMIF(Resource_Planning!$P$49:$P$356,$P657,Resource_Planning!AW$49:AW$356))/AW452-1)</f>
        <v>0</v>
      </c>
      <c r="AX657" s="166" t="n">
        <f aca="false">IF(AX452=0,0,(SUMIF(Resource_Planning!$P$49:$P$356,$P657,Resource_Planning!AX$49:AX$356))/AX452-1)</f>
        <v>0</v>
      </c>
      <c r="AY657" s="166" t="n">
        <f aca="false">IF(AY452=0,0,(SUMIF(Resource_Planning!$P$49:$P$356,$P657,Resource_Planning!AY$49:AY$356))/AY452-1)</f>
        <v>0</v>
      </c>
      <c r="AZ657" s="166" t="n">
        <f aca="false">IF(AZ452=0,0,(SUMIF(Resource_Planning!$P$49:$P$356,$P657,Resource_Planning!AZ$49:AZ$356))/AZ452-1)</f>
        <v>0</v>
      </c>
      <c r="BA657" s="166" t="n">
        <f aca="false">IF(BA452=0,0,(SUMIF(Resource_Planning!$P$49:$P$356,$P657,Resource_Planning!BA$49:BA$356))/BA452-1)</f>
        <v>0</v>
      </c>
      <c r="BB657" s="166" t="n">
        <f aca="false">IF(BB452=0,0,(SUMIF(Resource_Planning!$P$49:$P$356,$P657,Resource_Planning!BB$49:BB$356))/BB452-1)</f>
        <v>0</v>
      </c>
    </row>
    <row r="658" s="173" customFormat="true" ht="15" hidden="true" customHeight="false" outlineLevel="1" collapsed="false">
      <c r="E658" s="40"/>
      <c r="K658" s="40"/>
      <c r="L658" s="40"/>
      <c r="M658" s="40"/>
      <c r="N658" s="40"/>
      <c r="P658" s="177" t="n">
        <f aca="false">P316</f>
        <v>0</v>
      </c>
      <c r="Q658" s="40"/>
      <c r="R658" s="178"/>
      <c r="S658" s="166" t="n">
        <f aca="false">IF(S453=0,0,(SUMIF(Resource_Planning!$P$49:$P$356,$P658,Resource_Planning!S$49:S$356))/S453-1)</f>
        <v>0</v>
      </c>
      <c r="T658" s="166" t="n">
        <f aca="false">IF(T453=0,0,(SUMIF(Resource_Planning!$P$49:$P$356,$P658,Resource_Planning!T$49:T$356))/T453-1)</f>
        <v>0</v>
      </c>
      <c r="U658" s="166" t="n">
        <f aca="false">IF(U453=0,0,(SUMIF(Resource_Planning!$P$49:$P$356,$P658,Resource_Planning!U$49:U$356))/U453-1)</f>
        <v>0</v>
      </c>
      <c r="V658" s="166" t="n">
        <f aca="false">IF(V453=0,0,(SUMIF(Resource_Planning!$P$49:$P$356,$P658,Resource_Planning!V$49:V$356))/V453-1)</f>
        <v>0</v>
      </c>
      <c r="W658" s="166" t="n">
        <f aca="false">IF(W453=0,0,(SUMIF(Resource_Planning!$P$49:$P$356,$P658,Resource_Planning!W$49:W$356))/W453-1)</f>
        <v>0</v>
      </c>
      <c r="X658" s="166" t="n">
        <f aca="false">IF(X453=0,0,(SUMIF(Resource_Planning!$P$49:$P$356,$P658,Resource_Planning!X$49:X$356))/X453-1)</f>
        <v>0</v>
      </c>
      <c r="Y658" s="166" t="n">
        <f aca="false">IF(Y453=0,0,(SUMIF(Resource_Planning!$P$49:$P$356,$P658,Resource_Planning!Y$49:Y$356))/Y453-1)</f>
        <v>0</v>
      </c>
      <c r="Z658" s="166" t="n">
        <f aca="false">IF(Z453=0,0,(SUMIF(Resource_Planning!$P$49:$P$356,$P658,Resource_Planning!Z$49:Z$356))/Z453-1)</f>
        <v>0</v>
      </c>
      <c r="AA658" s="166" t="n">
        <f aca="false">IF(AA453=0,0,(SUMIF(Resource_Planning!$P$49:$P$356,$P658,Resource_Planning!AA$49:AA$356))/AA453-1)</f>
        <v>0</v>
      </c>
      <c r="AB658" s="166" t="n">
        <f aca="false">IF(AB453=0,0,(SUMIF(Resource_Planning!$P$49:$P$356,$P658,Resource_Planning!AB$49:AB$356))/AB453-1)</f>
        <v>0</v>
      </c>
      <c r="AC658" s="166" t="n">
        <f aca="false">IF(AC453=0,0,(SUMIF(Resource_Planning!$P$49:$P$356,$P658,Resource_Planning!AC$49:AC$356))/AC453-1)</f>
        <v>0</v>
      </c>
      <c r="AD658" s="166" t="n">
        <f aca="false">IF(AD453=0,0,(SUMIF(Resource_Planning!$P$49:$P$356,$P658,Resource_Planning!AD$49:AD$356))/AD453-1)</f>
        <v>0</v>
      </c>
      <c r="AE658" s="166" t="n">
        <f aca="false">IF(AE453=0,0,(SUMIF(Resource_Planning!$P$49:$P$356,$P658,Resource_Planning!AE$49:AE$356))/AE453-1)</f>
        <v>0</v>
      </c>
      <c r="AF658" s="166" t="n">
        <f aca="false">IF(AF453=0,0,(SUMIF(Resource_Planning!$P$49:$P$356,$P658,Resource_Planning!AF$49:AF$356))/AF453-1)</f>
        <v>0</v>
      </c>
      <c r="AG658" s="166" t="n">
        <f aca="false">IF(AG453=0,0,(SUMIF(Resource_Planning!$P$49:$P$356,$P658,Resource_Planning!AG$49:AG$356))/AG453-1)</f>
        <v>0</v>
      </c>
      <c r="AH658" s="166" t="n">
        <f aca="false">IF(AH453=0,0,(SUMIF(Resource_Planning!$P$49:$P$356,$P658,Resource_Planning!AH$49:AH$356))/AH453-1)</f>
        <v>0</v>
      </c>
      <c r="AI658" s="166" t="n">
        <f aca="false">IF(AI453=0,0,(SUMIF(Resource_Planning!$P$49:$P$356,$P658,Resource_Planning!AI$49:AI$356))/AI453-1)</f>
        <v>0</v>
      </c>
      <c r="AJ658" s="166" t="n">
        <f aca="false">IF(AJ453=0,0,(SUMIF(Resource_Planning!$P$49:$P$356,$P658,Resource_Planning!AJ$49:AJ$356))/AJ453-1)</f>
        <v>0</v>
      </c>
      <c r="AK658" s="166" t="n">
        <f aca="false">IF(AK453=0,0,(SUMIF(Resource_Planning!$P$49:$P$356,$P658,Resource_Planning!AK$49:AK$356))/AK453-1)</f>
        <v>0</v>
      </c>
      <c r="AL658" s="166" t="n">
        <f aca="false">IF(AL453=0,0,(SUMIF(Resource_Planning!$P$49:$P$356,$P658,Resource_Planning!AL$49:AL$356))/AL453-1)</f>
        <v>0</v>
      </c>
      <c r="AM658" s="166" t="n">
        <f aca="false">IF(AM453=0,0,(SUMIF(Resource_Planning!$P$49:$P$356,$P658,Resource_Planning!AM$49:AM$356))/AM453-1)</f>
        <v>0</v>
      </c>
      <c r="AN658" s="166" t="n">
        <f aca="false">IF(AN453=0,0,(SUMIF(Resource_Planning!$P$49:$P$356,$P658,Resource_Planning!AN$49:AN$356))/AN453-1)</f>
        <v>0</v>
      </c>
      <c r="AO658" s="166" t="n">
        <f aca="false">IF(AO453=0,0,(SUMIF(Resource_Planning!$P$49:$P$356,$P658,Resource_Planning!AO$49:AO$356))/AO453-1)</f>
        <v>0</v>
      </c>
      <c r="AP658" s="166" t="n">
        <f aca="false">IF(AP453=0,0,(SUMIF(Resource_Planning!$P$49:$P$356,$P658,Resource_Planning!AP$49:AP$356))/AP453-1)</f>
        <v>0</v>
      </c>
      <c r="AQ658" s="166" t="n">
        <f aca="false">IF(AQ453=0,0,(SUMIF(Resource_Planning!$P$49:$P$356,$P658,Resource_Planning!AQ$49:AQ$356))/AQ453-1)</f>
        <v>0</v>
      </c>
      <c r="AR658" s="166" t="n">
        <f aca="false">IF(AR453=0,0,(SUMIF(Resource_Planning!$P$49:$P$356,$P658,Resource_Planning!AR$49:AR$356))/AR453-1)</f>
        <v>0</v>
      </c>
      <c r="AS658" s="166" t="n">
        <f aca="false">IF(AS453=0,0,(SUMIF(Resource_Planning!$P$49:$P$356,$P658,Resource_Planning!AS$49:AS$356))/AS453-1)</f>
        <v>0</v>
      </c>
      <c r="AT658" s="166" t="n">
        <f aca="false">IF(AT453=0,0,(SUMIF(Resource_Planning!$P$49:$P$356,$P658,Resource_Planning!AT$49:AT$356))/AT453-1)</f>
        <v>0</v>
      </c>
      <c r="AU658" s="166" t="n">
        <f aca="false">IF(AU453=0,0,(SUMIF(Resource_Planning!$P$49:$P$356,$P658,Resource_Planning!AU$49:AU$356))/AU453-1)</f>
        <v>0</v>
      </c>
      <c r="AV658" s="166" t="n">
        <f aca="false">IF(AV453=0,0,(SUMIF(Resource_Planning!$P$49:$P$356,$P658,Resource_Planning!AV$49:AV$356))/AV453-1)</f>
        <v>0</v>
      </c>
      <c r="AW658" s="166" t="n">
        <f aca="false">IF(AW453=0,0,(SUMIF(Resource_Planning!$P$49:$P$356,$P658,Resource_Planning!AW$49:AW$356))/AW453-1)</f>
        <v>0</v>
      </c>
      <c r="AX658" s="166" t="n">
        <f aca="false">IF(AX453=0,0,(SUMIF(Resource_Planning!$P$49:$P$356,$P658,Resource_Planning!AX$49:AX$356))/AX453-1)</f>
        <v>0</v>
      </c>
      <c r="AY658" s="166" t="n">
        <f aca="false">IF(AY453=0,0,(SUMIF(Resource_Planning!$P$49:$P$356,$P658,Resource_Planning!AY$49:AY$356))/AY453-1)</f>
        <v>0</v>
      </c>
      <c r="AZ658" s="166" t="n">
        <f aca="false">IF(AZ453=0,0,(SUMIF(Resource_Planning!$P$49:$P$356,$P658,Resource_Planning!AZ$49:AZ$356))/AZ453-1)</f>
        <v>0</v>
      </c>
      <c r="BA658" s="166" t="n">
        <f aca="false">IF(BA453=0,0,(SUMIF(Resource_Planning!$P$49:$P$356,$P658,Resource_Planning!BA$49:BA$356))/BA453-1)</f>
        <v>0</v>
      </c>
      <c r="BB658" s="166" t="n">
        <f aca="false">IF(BB453=0,0,(SUMIF(Resource_Planning!$P$49:$P$356,$P658,Resource_Planning!BB$49:BB$356))/BB453-1)</f>
        <v>0</v>
      </c>
    </row>
    <row r="659" s="173" customFormat="true" ht="15" hidden="true" customHeight="false" outlineLevel="1" collapsed="false">
      <c r="E659" s="40"/>
      <c r="K659" s="40"/>
      <c r="L659" s="40"/>
      <c r="M659" s="40"/>
      <c r="N659" s="40"/>
      <c r="P659" s="177" t="n">
        <f aca="false">P317</f>
        <v>0</v>
      </c>
      <c r="Q659" s="40"/>
      <c r="R659" s="178"/>
      <c r="S659" s="166" t="n">
        <f aca="false">IF(S454=0,0,(SUMIF(Resource_Planning!$P$49:$P$356,$P659,Resource_Planning!S$49:S$356))/S454-1)</f>
        <v>0</v>
      </c>
      <c r="T659" s="166" t="n">
        <f aca="false">IF(T454=0,0,(SUMIF(Resource_Planning!$P$49:$P$356,$P659,Resource_Planning!T$49:T$356))/T454-1)</f>
        <v>0</v>
      </c>
      <c r="U659" s="166" t="n">
        <f aca="false">IF(U454=0,0,(SUMIF(Resource_Planning!$P$49:$P$356,$P659,Resource_Planning!U$49:U$356))/U454-1)</f>
        <v>0</v>
      </c>
      <c r="V659" s="166" t="n">
        <f aca="false">IF(V454=0,0,(SUMIF(Resource_Planning!$P$49:$P$356,$P659,Resource_Planning!V$49:V$356))/V454-1)</f>
        <v>0</v>
      </c>
      <c r="W659" s="166" t="n">
        <f aca="false">IF(W454=0,0,(SUMIF(Resource_Planning!$P$49:$P$356,$P659,Resource_Planning!W$49:W$356))/W454-1)</f>
        <v>0</v>
      </c>
      <c r="X659" s="166" t="n">
        <f aca="false">IF(X454=0,0,(SUMIF(Resource_Planning!$P$49:$P$356,$P659,Resource_Planning!X$49:X$356))/X454-1)</f>
        <v>0</v>
      </c>
      <c r="Y659" s="166" t="n">
        <f aca="false">IF(Y454=0,0,(SUMIF(Resource_Planning!$P$49:$P$356,$P659,Resource_Planning!Y$49:Y$356))/Y454-1)</f>
        <v>0</v>
      </c>
      <c r="Z659" s="166" t="n">
        <f aca="false">IF(Z454=0,0,(SUMIF(Resource_Planning!$P$49:$P$356,$P659,Resource_Planning!Z$49:Z$356))/Z454-1)</f>
        <v>0</v>
      </c>
      <c r="AA659" s="166" t="n">
        <f aca="false">IF(AA454=0,0,(SUMIF(Resource_Planning!$P$49:$P$356,$P659,Resource_Planning!AA$49:AA$356))/AA454-1)</f>
        <v>0</v>
      </c>
      <c r="AB659" s="166" t="n">
        <f aca="false">IF(AB454=0,0,(SUMIF(Resource_Planning!$P$49:$P$356,$P659,Resource_Planning!AB$49:AB$356))/AB454-1)</f>
        <v>0</v>
      </c>
      <c r="AC659" s="166" t="n">
        <f aca="false">IF(AC454=0,0,(SUMIF(Resource_Planning!$P$49:$P$356,$P659,Resource_Planning!AC$49:AC$356))/AC454-1)</f>
        <v>0</v>
      </c>
      <c r="AD659" s="166" t="n">
        <f aca="false">IF(AD454=0,0,(SUMIF(Resource_Planning!$P$49:$P$356,$P659,Resource_Planning!AD$49:AD$356))/AD454-1)</f>
        <v>0</v>
      </c>
      <c r="AE659" s="166" t="n">
        <f aca="false">IF(AE454=0,0,(SUMIF(Resource_Planning!$P$49:$P$356,$P659,Resource_Planning!AE$49:AE$356))/AE454-1)</f>
        <v>0</v>
      </c>
      <c r="AF659" s="166" t="n">
        <f aca="false">IF(AF454=0,0,(SUMIF(Resource_Planning!$P$49:$P$356,$P659,Resource_Planning!AF$49:AF$356))/AF454-1)</f>
        <v>0</v>
      </c>
      <c r="AG659" s="166" t="n">
        <f aca="false">IF(AG454=0,0,(SUMIF(Resource_Planning!$P$49:$P$356,$P659,Resource_Planning!AG$49:AG$356))/AG454-1)</f>
        <v>0</v>
      </c>
      <c r="AH659" s="166" t="n">
        <f aca="false">IF(AH454=0,0,(SUMIF(Resource_Planning!$P$49:$P$356,$P659,Resource_Planning!AH$49:AH$356))/AH454-1)</f>
        <v>0</v>
      </c>
      <c r="AI659" s="166" t="n">
        <f aca="false">IF(AI454=0,0,(SUMIF(Resource_Planning!$P$49:$P$356,$P659,Resource_Planning!AI$49:AI$356))/AI454-1)</f>
        <v>0</v>
      </c>
      <c r="AJ659" s="166" t="n">
        <f aca="false">IF(AJ454=0,0,(SUMIF(Resource_Planning!$P$49:$P$356,$P659,Resource_Planning!AJ$49:AJ$356))/AJ454-1)</f>
        <v>0</v>
      </c>
      <c r="AK659" s="166" t="n">
        <f aca="false">IF(AK454=0,0,(SUMIF(Resource_Planning!$P$49:$P$356,$P659,Resource_Planning!AK$49:AK$356))/AK454-1)</f>
        <v>0</v>
      </c>
      <c r="AL659" s="166" t="n">
        <f aca="false">IF(AL454=0,0,(SUMIF(Resource_Planning!$P$49:$P$356,$P659,Resource_Planning!AL$49:AL$356))/AL454-1)</f>
        <v>0</v>
      </c>
      <c r="AM659" s="166" t="n">
        <f aca="false">IF(AM454=0,0,(SUMIF(Resource_Planning!$P$49:$P$356,$P659,Resource_Planning!AM$49:AM$356))/AM454-1)</f>
        <v>0</v>
      </c>
      <c r="AN659" s="166" t="n">
        <f aca="false">IF(AN454=0,0,(SUMIF(Resource_Planning!$P$49:$P$356,$P659,Resource_Planning!AN$49:AN$356))/AN454-1)</f>
        <v>0</v>
      </c>
      <c r="AO659" s="166" t="n">
        <f aca="false">IF(AO454=0,0,(SUMIF(Resource_Planning!$P$49:$P$356,$P659,Resource_Planning!AO$49:AO$356))/AO454-1)</f>
        <v>0</v>
      </c>
      <c r="AP659" s="166" t="n">
        <f aca="false">IF(AP454=0,0,(SUMIF(Resource_Planning!$P$49:$P$356,$P659,Resource_Planning!AP$49:AP$356))/AP454-1)</f>
        <v>0</v>
      </c>
      <c r="AQ659" s="166" t="n">
        <f aca="false">IF(AQ454=0,0,(SUMIF(Resource_Planning!$P$49:$P$356,$P659,Resource_Planning!AQ$49:AQ$356))/AQ454-1)</f>
        <v>0</v>
      </c>
      <c r="AR659" s="166" t="n">
        <f aca="false">IF(AR454=0,0,(SUMIF(Resource_Planning!$P$49:$P$356,$P659,Resource_Planning!AR$49:AR$356))/AR454-1)</f>
        <v>0</v>
      </c>
      <c r="AS659" s="166" t="n">
        <f aca="false">IF(AS454=0,0,(SUMIF(Resource_Planning!$P$49:$P$356,$P659,Resource_Planning!AS$49:AS$356))/AS454-1)</f>
        <v>0</v>
      </c>
      <c r="AT659" s="166" t="n">
        <f aca="false">IF(AT454=0,0,(SUMIF(Resource_Planning!$P$49:$P$356,$P659,Resource_Planning!AT$49:AT$356))/AT454-1)</f>
        <v>0</v>
      </c>
      <c r="AU659" s="166" t="n">
        <f aca="false">IF(AU454=0,0,(SUMIF(Resource_Planning!$P$49:$P$356,$P659,Resource_Planning!AU$49:AU$356))/AU454-1)</f>
        <v>0</v>
      </c>
      <c r="AV659" s="166" t="n">
        <f aca="false">IF(AV454=0,0,(SUMIF(Resource_Planning!$P$49:$P$356,$P659,Resource_Planning!AV$49:AV$356))/AV454-1)</f>
        <v>0</v>
      </c>
      <c r="AW659" s="166" t="n">
        <f aca="false">IF(AW454=0,0,(SUMIF(Resource_Planning!$P$49:$P$356,$P659,Resource_Planning!AW$49:AW$356))/AW454-1)</f>
        <v>0</v>
      </c>
      <c r="AX659" s="166" t="n">
        <f aca="false">IF(AX454=0,0,(SUMIF(Resource_Planning!$P$49:$P$356,$P659,Resource_Planning!AX$49:AX$356))/AX454-1)</f>
        <v>0</v>
      </c>
      <c r="AY659" s="166" t="n">
        <f aca="false">IF(AY454=0,0,(SUMIF(Resource_Planning!$P$49:$P$356,$P659,Resource_Planning!AY$49:AY$356))/AY454-1)</f>
        <v>0</v>
      </c>
      <c r="AZ659" s="166" t="n">
        <f aca="false">IF(AZ454=0,0,(SUMIF(Resource_Planning!$P$49:$P$356,$P659,Resource_Planning!AZ$49:AZ$356))/AZ454-1)</f>
        <v>0</v>
      </c>
      <c r="BA659" s="166" t="n">
        <f aca="false">IF(BA454=0,0,(SUMIF(Resource_Planning!$P$49:$P$356,$P659,Resource_Planning!BA$49:BA$356))/BA454-1)</f>
        <v>0</v>
      </c>
      <c r="BB659" s="166" t="n">
        <f aca="false">IF(BB454=0,0,(SUMIF(Resource_Planning!$P$49:$P$356,$P659,Resource_Planning!BB$49:BB$356))/BB454-1)</f>
        <v>0</v>
      </c>
    </row>
    <row r="660" s="173" customFormat="true" ht="15" hidden="true" customHeight="false" outlineLevel="1" collapsed="false">
      <c r="E660" s="40"/>
      <c r="K660" s="40"/>
      <c r="L660" s="40"/>
      <c r="M660" s="40"/>
      <c r="N660" s="40"/>
      <c r="P660" s="177" t="n">
        <f aca="false">P318</f>
        <v>0</v>
      </c>
      <c r="Q660" s="40"/>
      <c r="R660" s="178"/>
      <c r="S660" s="166" t="n">
        <f aca="false">IF(S455=0,0,(SUMIF(Resource_Planning!$P$49:$P$356,$P660,Resource_Planning!S$49:S$356))/S455-1)</f>
        <v>0</v>
      </c>
      <c r="T660" s="166" t="n">
        <f aca="false">IF(T455=0,0,(SUMIF(Resource_Planning!$P$49:$P$356,$P660,Resource_Planning!T$49:T$356))/T455-1)</f>
        <v>0</v>
      </c>
      <c r="U660" s="166" t="n">
        <f aca="false">IF(U455=0,0,(SUMIF(Resource_Planning!$P$49:$P$356,$P660,Resource_Planning!U$49:U$356))/U455-1)</f>
        <v>0</v>
      </c>
      <c r="V660" s="166" t="n">
        <f aca="false">IF(V455=0,0,(SUMIF(Resource_Planning!$P$49:$P$356,$P660,Resource_Planning!V$49:V$356))/V455-1)</f>
        <v>0</v>
      </c>
      <c r="W660" s="166" t="n">
        <f aca="false">IF(W455=0,0,(SUMIF(Resource_Planning!$P$49:$P$356,$P660,Resource_Planning!W$49:W$356))/W455-1)</f>
        <v>0</v>
      </c>
      <c r="X660" s="166" t="n">
        <f aca="false">IF(X455=0,0,(SUMIF(Resource_Planning!$P$49:$P$356,$P660,Resource_Planning!X$49:X$356))/X455-1)</f>
        <v>0</v>
      </c>
      <c r="Y660" s="166" t="n">
        <f aca="false">IF(Y455=0,0,(SUMIF(Resource_Planning!$P$49:$P$356,$P660,Resource_Planning!Y$49:Y$356))/Y455-1)</f>
        <v>0</v>
      </c>
      <c r="Z660" s="166" t="n">
        <f aca="false">IF(Z455=0,0,(SUMIF(Resource_Planning!$P$49:$P$356,$P660,Resource_Planning!Z$49:Z$356))/Z455-1)</f>
        <v>0</v>
      </c>
      <c r="AA660" s="166" t="n">
        <f aca="false">IF(AA455=0,0,(SUMIF(Resource_Planning!$P$49:$P$356,$P660,Resource_Planning!AA$49:AA$356))/AA455-1)</f>
        <v>0</v>
      </c>
      <c r="AB660" s="166" t="n">
        <f aca="false">IF(AB455=0,0,(SUMIF(Resource_Planning!$P$49:$P$356,$P660,Resource_Planning!AB$49:AB$356))/AB455-1)</f>
        <v>0</v>
      </c>
      <c r="AC660" s="166" t="n">
        <f aca="false">IF(AC455=0,0,(SUMIF(Resource_Planning!$P$49:$P$356,$P660,Resource_Planning!AC$49:AC$356))/AC455-1)</f>
        <v>0</v>
      </c>
      <c r="AD660" s="166" t="n">
        <f aca="false">IF(AD455=0,0,(SUMIF(Resource_Planning!$P$49:$P$356,$P660,Resource_Planning!AD$49:AD$356))/AD455-1)</f>
        <v>0</v>
      </c>
      <c r="AE660" s="166" t="n">
        <f aca="false">IF(AE455=0,0,(SUMIF(Resource_Planning!$P$49:$P$356,$P660,Resource_Planning!AE$49:AE$356))/AE455-1)</f>
        <v>0</v>
      </c>
      <c r="AF660" s="166" t="n">
        <f aca="false">IF(AF455=0,0,(SUMIF(Resource_Planning!$P$49:$P$356,$P660,Resource_Planning!AF$49:AF$356))/AF455-1)</f>
        <v>0</v>
      </c>
      <c r="AG660" s="166" t="n">
        <f aca="false">IF(AG455=0,0,(SUMIF(Resource_Planning!$P$49:$P$356,$P660,Resource_Planning!AG$49:AG$356))/AG455-1)</f>
        <v>0</v>
      </c>
      <c r="AH660" s="166" t="n">
        <f aca="false">IF(AH455=0,0,(SUMIF(Resource_Planning!$P$49:$P$356,$P660,Resource_Planning!AH$49:AH$356))/AH455-1)</f>
        <v>0</v>
      </c>
      <c r="AI660" s="166" t="n">
        <f aca="false">IF(AI455=0,0,(SUMIF(Resource_Planning!$P$49:$P$356,$P660,Resource_Planning!AI$49:AI$356))/AI455-1)</f>
        <v>0</v>
      </c>
      <c r="AJ660" s="166" t="n">
        <f aca="false">IF(AJ455=0,0,(SUMIF(Resource_Planning!$P$49:$P$356,$P660,Resource_Planning!AJ$49:AJ$356))/AJ455-1)</f>
        <v>0</v>
      </c>
      <c r="AK660" s="166" t="n">
        <f aca="false">IF(AK455=0,0,(SUMIF(Resource_Planning!$P$49:$P$356,$P660,Resource_Planning!AK$49:AK$356))/AK455-1)</f>
        <v>0</v>
      </c>
      <c r="AL660" s="166" t="n">
        <f aca="false">IF(AL455=0,0,(SUMIF(Resource_Planning!$P$49:$P$356,$P660,Resource_Planning!AL$49:AL$356))/AL455-1)</f>
        <v>0</v>
      </c>
      <c r="AM660" s="166" t="n">
        <f aca="false">IF(AM455=0,0,(SUMIF(Resource_Planning!$P$49:$P$356,$P660,Resource_Planning!AM$49:AM$356))/AM455-1)</f>
        <v>0</v>
      </c>
      <c r="AN660" s="166" t="n">
        <f aca="false">IF(AN455=0,0,(SUMIF(Resource_Planning!$P$49:$P$356,$P660,Resource_Planning!AN$49:AN$356))/AN455-1)</f>
        <v>0</v>
      </c>
      <c r="AO660" s="166" t="n">
        <f aca="false">IF(AO455=0,0,(SUMIF(Resource_Planning!$P$49:$P$356,$P660,Resource_Planning!AO$49:AO$356))/AO455-1)</f>
        <v>0</v>
      </c>
      <c r="AP660" s="166" t="n">
        <f aca="false">IF(AP455=0,0,(SUMIF(Resource_Planning!$P$49:$P$356,$P660,Resource_Planning!AP$49:AP$356))/AP455-1)</f>
        <v>0</v>
      </c>
      <c r="AQ660" s="166" t="n">
        <f aca="false">IF(AQ455=0,0,(SUMIF(Resource_Planning!$P$49:$P$356,$P660,Resource_Planning!AQ$49:AQ$356))/AQ455-1)</f>
        <v>0</v>
      </c>
      <c r="AR660" s="166" t="n">
        <f aca="false">IF(AR455=0,0,(SUMIF(Resource_Planning!$P$49:$P$356,$P660,Resource_Planning!AR$49:AR$356))/AR455-1)</f>
        <v>0</v>
      </c>
      <c r="AS660" s="166" t="n">
        <f aca="false">IF(AS455=0,0,(SUMIF(Resource_Planning!$P$49:$P$356,$P660,Resource_Planning!AS$49:AS$356))/AS455-1)</f>
        <v>0</v>
      </c>
      <c r="AT660" s="166" t="n">
        <f aca="false">IF(AT455=0,0,(SUMIF(Resource_Planning!$P$49:$P$356,$P660,Resource_Planning!AT$49:AT$356))/AT455-1)</f>
        <v>0</v>
      </c>
      <c r="AU660" s="166" t="n">
        <f aca="false">IF(AU455=0,0,(SUMIF(Resource_Planning!$P$49:$P$356,$P660,Resource_Planning!AU$49:AU$356))/AU455-1)</f>
        <v>0</v>
      </c>
      <c r="AV660" s="166" t="n">
        <f aca="false">IF(AV455=0,0,(SUMIF(Resource_Planning!$P$49:$P$356,$P660,Resource_Planning!AV$49:AV$356))/AV455-1)</f>
        <v>0</v>
      </c>
      <c r="AW660" s="166" t="n">
        <f aca="false">IF(AW455=0,0,(SUMIF(Resource_Planning!$P$49:$P$356,$P660,Resource_Planning!AW$49:AW$356))/AW455-1)</f>
        <v>0</v>
      </c>
      <c r="AX660" s="166" t="n">
        <f aca="false">IF(AX455=0,0,(SUMIF(Resource_Planning!$P$49:$P$356,$P660,Resource_Planning!AX$49:AX$356))/AX455-1)</f>
        <v>0</v>
      </c>
      <c r="AY660" s="166" t="n">
        <f aca="false">IF(AY455=0,0,(SUMIF(Resource_Planning!$P$49:$P$356,$P660,Resource_Planning!AY$49:AY$356))/AY455-1)</f>
        <v>0</v>
      </c>
      <c r="AZ660" s="166" t="n">
        <f aca="false">IF(AZ455=0,0,(SUMIF(Resource_Planning!$P$49:$P$356,$P660,Resource_Planning!AZ$49:AZ$356))/AZ455-1)</f>
        <v>0</v>
      </c>
      <c r="BA660" s="166" t="n">
        <f aca="false">IF(BA455=0,0,(SUMIF(Resource_Planning!$P$49:$P$356,$P660,Resource_Planning!BA$49:BA$356))/BA455-1)</f>
        <v>0</v>
      </c>
      <c r="BB660" s="166" t="n">
        <f aca="false">IF(BB455=0,0,(SUMIF(Resource_Planning!$P$49:$P$356,$P660,Resource_Planning!BB$49:BB$356))/BB455-1)</f>
        <v>0</v>
      </c>
    </row>
    <row r="661" s="173" customFormat="true" ht="15" hidden="true" customHeight="false" outlineLevel="1" collapsed="false">
      <c r="E661" s="40"/>
      <c r="K661" s="40"/>
      <c r="L661" s="40"/>
      <c r="M661" s="40"/>
      <c r="N661" s="40"/>
      <c r="P661" s="177" t="n">
        <f aca="false">P319</f>
        <v>0</v>
      </c>
      <c r="Q661" s="40"/>
      <c r="R661" s="178"/>
      <c r="S661" s="166" t="n">
        <f aca="false">IF(S456=0,0,(SUMIF(Resource_Planning!$P$49:$P$356,$P661,Resource_Planning!S$49:S$356))/S456-1)</f>
        <v>0</v>
      </c>
      <c r="T661" s="166" t="n">
        <f aca="false">IF(T456=0,0,(SUMIF(Resource_Planning!$P$49:$P$356,$P661,Resource_Planning!T$49:T$356))/T456-1)</f>
        <v>0</v>
      </c>
      <c r="U661" s="166" t="n">
        <f aca="false">IF(U456=0,0,(SUMIF(Resource_Planning!$P$49:$P$356,$P661,Resource_Planning!U$49:U$356))/U456-1)</f>
        <v>0</v>
      </c>
      <c r="V661" s="166" t="n">
        <f aca="false">IF(V456=0,0,(SUMIF(Resource_Planning!$P$49:$P$356,$P661,Resource_Planning!V$49:V$356))/V456-1)</f>
        <v>0</v>
      </c>
      <c r="W661" s="166" t="n">
        <f aca="false">IF(W456=0,0,(SUMIF(Resource_Planning!$P$49:$P$356,$P661,Resource_Planning!W$49:W$356))/W456-1)</f>
        <v>0</v>
      </c>
      <c r="X661" s="166" t="n">
        <f aca="false">IF(X456=0,0,(SUMIF(Resource_Planning!$P$49:$P$356,$P661,Resource_Planning!X$49:X$356))/X456-1)</f>
        <v>0</v>
      </c>
      <c r="Y661" s="166" t="n">
        <f aca="false">IF(Y456=0,0,(SUMIF(Resource_Planning!$P$49:$P$356,$P661,Resource_Planning!Y$49:Y$356))/Y456-1)</f>
        <v>0</v>
      </c>
      <c r="Z661" s="166" t="n">
        <f aca="false">IF(Z456=0,0,(SUMIF(Resource_Planning!$P$49:$P$356,$P661,Resource_Planning!Z$49:Z$356))/Z456-1)</f>
        <v>0</v>
      </c>
      <c r="AA661" s="166" t="n">
        <f aca="false">IF(AA456=0,0,(SUMIF(Resource_Planning!$P$49:$P$356,$P661,Resource_Planning!AA$49:AA$356))/AA456-1)</f>
        <v>0</v>
      </c>
      <c r="AB661" s="166" t="n">
        <f aca="false">IF(AB456=0,0,(SUMIF(Resource_Planning!$P$49:$P$356,$P661,Resource_Planning!AB$49:AB$356))/AB456-1)</f>
        <v>0</v>
      </c>
      <c r="AC661" s="166" t="n">
        <f aca="false">IF(AC456=0,0,(SUMIF(Resource_Planning!$P$49:$P$356,$P661,Resource_Planning!AC$49:AC$356))/AC456-1)</f>
        <v>0</v>
      </c>
      <c r="AD661" s="166" t="n">
        <f aca="false">IF(AD456=0,0,(SUMIF(Resource_Planning!$P$49:$P$356,$P661,Resource_Planning!AD$49:AD$356))/AD456-1)</f>
        <v>0</v>
      </c>
      <c r="AE661" s="166" t="n">
        <f aca="false">IF(AE456=0,0,(SUMIF(Resource_Planning!$P$49:$P$356,$P661,Resource_Planning!AE$49:AE$356))/AE456-1)</f>
        <v>0</v>
      </c>
      <c r="AF661" s="166" t="n">
        <f aca="false">IF(AF456=0,0,(SUMIF(Resource_Planning!$P$49:$P$356,$P661,Resource_Planning!AF$49:AF$356))/AF456-1)</f>
        <v>0</v>
      </c>
      <c r="AG661" s="166" t="n">
        <f aca="false">IF(AG456=0,0,(SUMIF(Resource_Planning!$P$49:$P$356,$P661,Resource_Planning!AG$49:AG$356))/AG456-1)</f>
        <v>0</v>
      </c>
      <c r="AH661" s="166" t="n">
        <f aca="false">IF(AH456=0,0,(SUMIF(Resource_Planning!$P$49:$P$356,$P661,Resource_Planning!AH$49:AH$356))/AH456-1)</f>
        <v>0</v>
      </c>
      <c r="AI661" s="166" t="n">
        <f aca="false">IF(AI456=0,0,(SUMIF(Resource_Planning!$P$49:$P$356,$P661,Resource_Planning!AI$49:AI$356))/AI456-1)</f>
        <v>0</v>
      </c>
      <c r="AJ661" s="166" t="n">
        <f aca="false">IF(AJ456=0,0,(SUMIF(Resource_Planning!$P$49:$P$356,$P661,Resource_Planning!AJ$49:AJ$356))/AJ456-1)</f>
        <v>0</v>
      </c>
      <c r="AK661" s="166" t="n">
        <f aca="false">IF(AK456=0,0,(SUMIF(Resource_Planning!$P$49:$P$356,$P661,Resource_Planning!AK$49:AK$356))/AK456-1)</f>
        <v>0</v>
      </c>
      <c r="AL661" s="166" t="n">
        <f aca="false">IF(AL456=0,0,(SUMIF(Resource_Planning!$P$49:$P$356,$P661,Resource_Planning!AL$49:AL$356))/AL456-1)</f>
        <v>0</v>
      </c>
      <c r="AM661" s="166" t="n">
        <f aca="false">IF(AM456=0,0,(SUMIF(Resource_Planning!$P$49:$P$356,$P661,Resource_Planning!AM$49:AM$356))/AM456-1)</f>
        <v>0</v>
      </c>
      <c r="AN661" s="166" t="n">
        <f aca="false">IF(AN456=0,0,(SUMIF(Resource_Planning!$P$49:$P$356,$P661,Resource_Planning!AN$49:AN$356))/AN456-1)</f>
        <v>0</v>
      </c>
      <c r="AO661" s="166" t="n">
        <f aca="false">IF(AO456=0,0,(SUMIF(Resource_Planning!$P$49:$P$356,$P661,Resource_Planning!AO$49:AO$356))/AO456-1)</f>
        <v>0</v>
      </c>
      <c r="AP661" s="166" t="n">
        <f aca="false">IF(AP456=0,0,(SUMIF(Resource_Planning!$P$49:$P$356,$P661,Resource_Planning!AP$49:AP$356))/AP456-1)</f>
        <v>0</v>
      </c>
      <c r="AQ661" s="166" t="n">
        <f aca="false">IF(AQ456=0,0,(SUMIF(Resource_Planning!$P$49:$P$356,$P661,Resource_Planning!AQ$49:AQ$356))/AQ456-1)</f>
        <v>0</v>
      </c>
      <c r="AR661" s="166" t="n">
        <f aca="false">IF(AR456=0,0,(SUMIF(Resource_Planning!$P$49:$P$356,$P661,Resource_Planning!AR$49:AR$356))/AR456-1)</f>
        <v>0</v>
      </c>
      <c r="AS661" s="166" t="n">
        <f aca="false">IF(AS456=0,0,(SUMIF(Resource_Planning!$P$49:$P$356,$P661,Resource_Planning!AS$49:AS$356))/AS456-1)</f>
        <v>0</v>
      </c>
      <c r="AT661" s="166" t="n">
        <f aca="false">IF(AT456=0,0,(SUMIF(Resource_Planning!$P$49:$P$356,$P661,Resource_Planning!AT$49:AT$356))/AT456-1)</f>
        <v>0</v>
      </c>
      <c r="AU661" s="166" t="n">
        <f aca="false">IF(AU456=0,0,(SUMIF(Resource_Planning!$P$49:$P$356,$P661,Resource_Planning!AU$49:AU$356))/AU456-1)</f>
        <v>0</v>
      </c>
      <c r="AV661" s="166" t="n">
        <f aca="false">IF(AV456=0,0,(SUMIF(Resource_Planning!$P$49:$P$356,$P661,Resource_Planning!AV$49:AV$356))/AV456-1)</f>
        <v>0</v>
      </c>
      <c r="AW661" s="166" t="n">
        <f aca="false">IF(AW456=0,0,(SUMIF(Resource_Planning!$P$49:$P$356,$P661,Resource_Planning!AW$49:AW$356))/AW456-1)</f>
        <v>0</v>
      </c>
      <c r="AX661" s="166" t="n">
        <f aca="false">IF(AX456=0,0,(SUMIF(Resource_Planning!$P$49:$P$356,$P661,Resource_Planning!AX$49:AX$356))/AX456-1)</f>
        <v>0</v>
      </c>
      <c r="AY661" s="166" t="n">
        <f aca="false">IF(AY456=0,0,(SUMIF(Resource_Planning!$P$49:$P$356,$P661,Resource_Planning!AY$49:AY$356))/AY456-1)</f>
        <v>0</v>
      </c>
      <c r="AZ661" s="166" t="n">
        <f aca="false">IF(AZ456=0,0,(SUMIF(Resource_Planning!$P$49:$P$356,$P661,Resource_Planning!AZ$49:AZ$356))/AZ456-1)</f>
        <v>0</v>
      </c>
      <c r="BA661" s="166" t="n">
        <f aca="false">IF(BA456=0,0,(SUMIF(Resource_Planning!$P$49:$P$356,$P661,Resource_Planning!BA$49:BA$356))/BA456-1)</f>
        <v>0</v>
      </c>
      <c r="BB661" s="166" t="n">
        <f aca="false">IF(BB456=0,0,(SUMIF(Resource_Planning!$P$49:$P$356,$P661,Resource_Planning!BB$49:BB$356))/BB456-1)</f>
        <v>0</v>
      </c>
    </row>
    <row r="662" s="173" customFormat="true" ht="15" hidden="true" customHeight="false" outlineLevel="1" collapsed="false">
      <c r="E662" s="40"/>
      <c r="K662" s="40"/>
      <c r="L662" s="40"/>
      <c r="M662" s="40"/>
      <c r="N662" s="40"/>
      <c r="P662" s="177" t="n">
        <f aca="false">P320</f>
        <v>0</v>
      </c>
      <c r="Q662" s="40"/>
      <c r="R662" s="178"/>
      <c r="S662" s="166" t="n">
        <f aca="false">IF(S457=0,0,(SUMIF(Resource_Planning!$P$49:$P$356,$P662,Resource_Planning!S$49:S$356))/S457-1)</f>
        <v>0</v>
      </c>
      <c r="T662" s="166" t="n">
        <f aca="false">IF(T457=0,0,(SUMIF(Resource_Planning!$P$49:$P$356,$P662,Resource_Planning!T$49:T$356))/T457-1)</f>
        <v>0</v>
      </c>
      <c r="U662" s="166" t="n">
        <f aca="false">IF(U457=0,0,(SUMIF(Resource_Planning!$P$49:$P$356,$P662,Resource_Planning!U$49:U$356))/U457-1)</f>
        <v>0</v>
      </c>
      <c r="V662" s="166" t="n">
        <f aca="false">IF(V457=0,0,(SUMIF(Resource_Planning!$P$49:$P$356,$P662,Resource_Planning!V$49:V$356))/V457-1)</f>
        <v>0</v>
      </c>
      <c r="W662" s="166" t="n">
        <f aca="false">IF(W457=0,0,(SUMIF(Resource_Planning!$P$49:$P$356,$P662,Resource_Planning!W$49:W$356))/W457-1)</f>
        <v>0</v>
      </c>
      <c r="X662" s="166" t="n">
        <f aca="false">IF(X457=0,0,(SUMIF(Resource_Planning!$P$49:$P$356,$P662,Resource_Planning!X$49:X$356))/X457-1)</f>
        <v>0</v>
      </c>
      <c r="Y662" s="166" t="n">
        <f aca="false">IF(Y457=0,0,(SUMIF(Resource_Planning!$P$49:$P$356,$P662,Resource_Planning!Y$49:Y$356))/Y457-1)</f>
        <v>0</v>
      </c>
      <c r="Z662" s="166" t="n">
        <f aca="false">IF(Z457=0,0,(SUMIF(Resource_Planning!$P$49:$P$356,$P662,Resource_Planning!Z$49:Z$356))/Z457-1)</f>
        <v>0</v>
      </c>
      <c r="AA662" s="166" t="n">
        <f aca="false">IF(AA457=0,0,(SUMIF(Resource_Planning!$P$49:$P$356,$P662,Resource_Planning!AA$49:AA$356))/AA457-1)</f>
        <v>0</v>
      </c>
      <c r="AB662" s="166" t="n">
        <f aca="false">IF(AB457=0,0,(SUMIF(Resource_Planning!$P$49:$P$356,$P662,Resource_Planning!AB$49:AB$356))/AB457-1)</f>
        <v>0</v>
      </c>
      <c r="AC662" s="166" t="n">
        <f aca="false">IF(AC457=0,0,(SUMIF(Resource_Planning!$P$49:$P$356,$P662,Resource_Planning!AC$49:AC$356))/AC457-1)</f>
        <v>0</v>
      </c>
      <c r="AD662" s="166" t="n">
        <f aca="false">IF(AD457=0,0,(SUMIF(Resource_Planning!$P$49:$P$356,$P662,Resource_Planning!AD$49:AD$356))/AD457-1)</f>
        <v>0</v>
      </c>
      <c r="AE662" s="166" t="n">
        <f aca="false">IF(AE457=0,0,(SUMIF(Resource_Planning!$P$49:$P$356,$P662,Resource_Planning!AE$49:AE$356))/AE457-1)</f>
        <v>0</v>
      </c>
      <c r="AF662" s="166" t="n">
        <f aca="false">IF(AF457=0,0,(SUMIF(Resource_Planning!$P$49:$P$356,$P662,Resource_Planning!AF$49:AF$356))/AF457-1)</f>
        <v>0</v>
      </c>
      <c r="AG662" s="166" t="n">
        <f aca="false">IF(AG457=0,0,(SUMIF(Resource_Planning!$P$49:$P$356,$P662,Resource_Planning!AG$49:AG$356))/AG457-1)</f>
        <v>0</v>
      </c>
      <c r="AH662" s="166" t="n">
        <f aca="false">IF(AH457=0,0,(SUMIF(Resource_Planning!$P$49:$P$356,$P662,Resource_Planning!AH$49:AH$356))/AH457-1)</f>
        <v>0</v>
      </c>
      <c r="AI662" s="166" t="n">
        <f aca="false">IF(AI457=0,0,(SUMIF(Resource_Planning!$P$49:$P$356,$P662,Resource_Planning!AI$49:AI$356))/AI457-1)</f>
        <v>0</v>
      </c>
      <c r="AJ662" s="166" t="n">
        <f aca="false">IF(AJ457=0,0,(SUMIF(Resource_Planning!$P$49:$P$356,$P662,Resource_Planning!AJ$49:AJ$356))/AJ457-1)</f>
        <v>0</v>
      </c>
      <c r="AK662" s="166" t="n">
        <f aca="false">IF(AK457=0,0,(SUMIF(Resource_Planning!$P$49:$P$356,$P662,Resource_Planning!AK$49:AK$356))/AK457-1)</f>
        <v>0</v>
      </c>
      <c r="AL662" s="166" t="n">
        <f aca="false">IF(AL457=0,0,(SUMIF(Resource_Planning!$P$49:$P$356,$P662,Resource_Planning!AL$49:AL$356))/AL457-1)</f>
        <v>0</v>
      </c>
      <c r="AM662" s="166" t="n">
        <f aca="false">IF(AM457=0,0,(SUMIF(Resource_Planning!$P$49:$P$356,$P662,Resource_Planning!AM$49:AM$356))/AM457-1)</f>
        <v>0</v>
      </c>
      <c r="AN662" s="166" t="n">
        <f aca="false">IF(AN457=0,0,(SUMIF(Resource_Planning!$P$49:$P$356,$P662,Resource_Planning!AN$49:AN$356))/AN457-1)</f>
        <v>0</v>
      </c>
      <c r="AO662" s="166" t="n">
        <f aca="false">IF(AO457=0,0,(SUMIF(Resource_Planning!$P$49:$P$356,$P662,Resource_Planning!AO$49:AO$356))/AO457-1)</f>
        <v>0</v>
      </c>
      <c r="AP662" s="166" t="n">
        <f aca="false">IF(AP457=0,0,(SUMIF(Resource_Planning!$P$49:$P$356,$P662,Resource_Planning!AP$49:AP$356))/AP457-1)</f>
        <v>0</v>
      </c>
      <c r="AQ662" s="166" t="n">
        <f aca="false">IF(AQ457=0,0,(SUMIF(Resource_Planning!$P$49:$P$356,$P662,Resource_Planning!AQ$49:AQ$356))/AQ457-1)</f>
        <v>0</v>
      </c>
      <c r="AR662" s="166" t="n">
        <f aca="false">IF(AR457=0,0,(SUMIF(Resource_Planning!$P$49:$P$356,$P662,Resource_Planning!AR$49:AR$356))/AR457-1)</f>
        <v>0</v>
      </c>
      <c r="AS662" s="166" t="n">
        <f aca="false">IF(AS457=0,0,(SUMIF(Resource_Planning!$P$49:$P$356,$P662,Resource_Planning!AS$49:AS$356))/AS457-1)</f>
        <v>0</v>
      </c>
      <c r="AT662" s="166" t="n">
        <f aca="false">IF(AT457=0,0,(SUMIF(Resource_Planning!$P$49:$P$356,$P662,Resource_Planning!AT$49:AT$356))/AT457-1)</f>
        <v>0</v>
      </c>
      <c r="AU662" s="166" t="n">
        <f aca="false">IF(AU457=0,0,(SUMIF(Resource_Planning!$P$49:$P$356,$P662,Resource_Planning!AU$49:AU$356))/AU457-1)</f>
        <v>0</v>
      </c>
      <c r="AV662" s="166" t="n">
        <f aca="false">IF(AV457=0,0,(SUMIF(Resource_Planning!$P$49:$P$356,$P662,Resource_Planning!AV$49:AV$356))/AV457-1)</f>
        <v>0</v>
      </c>
      <c r="AW662" s="166" t="n">
        <f aca="false">IF(AW457=0,0,(SUMIF(Resource_Planning!$P$49:$P$356,$P662,Resource_Planning!AW$49:AW$356))/AW457-1)</f>
        <v>0</v>
      </c>
      <c r="AX662" s="166" t="n">
        <f aca="false">IF(AX457=0,0,(SUMIF(Resource_Planning!$P$49:$P$356,$P662,Resource_Planning!AX$49:AX$356))/AX457-1)</f>
        <v>0</v>
      </c>
      <c r="AY662" s="166" t="n">
        <f aca="false">IF(AY457=0,0,(SUMIF(Resource_Planning!$P$49:$P$356,$P662,Resource_Planning!AY$49:AY$356))/AY457-1)</f>
        <v>0</v>
      </c>
      <c r="AZ662" s="166" t="n">
        <f aca="false">IF(AZ457=0,0,(SUMIF(Resource_Planning!$P$49:$P$356,$P662,Resource_Planning!AZ$49:AZ$356))/AZ457-1)</f>
        <v>0</v>
      </c>
      <c r="BA662" s="166" t="n">
        <f aca="false">IF(BA457=0,0,(SUMIF(Resource_Planning!$P$49:$P$356,$P662,Resource_Planning!BA$49:BA$356))/BA457-1)</f>
        <v>0</v>
      </c>
      <c r="BB662" s="166" t="n">
        <f aca="false">IF(BB457=0,0,(SUMIF(Resource_Planning!$P$49:$P$356,$P662,Resource_Planning!BB$49:BB$356))/BB457-1)</f>
        <v>0</v>
      </c>
    </row>
    <row r="663" s="173" customFormat="true" ht="15" hidden="true" customHeight="false" outlineLevel="1" collapsed="false">
      <c r="E663" s="40"/>
      <c r="K663" s="40"/>
      <c r="L663" s="40"/>
      <c r="M663" s="40"/>
      <c r="N663" s="40"/>
      <c r="P663" s="177" t="n">
        <f aca="false">P321</f>
        <v>0</v>
      </c>
      <c r="Q663" s="40"/>
      <c r="R663" s="178"/>
      <c r="S663" s="166" t="n">
        <f aca="false">IF(S458=0,0,(SUMIF(Resource_Planning!$P$49:$P$356,$P663,Resource_Planning!S$49:S$356))/S458-1)</f>
        <v>0</v>
      </c>
      <c r="T663" s="166" t="n">
        <f aca="false">IF(T458=0,0,(SUMIF(Resource_Planning!$P$49:$P$356,$P663,Resource_Planning!T$49:T$356))/T458-1)</f>
        <v>0</v>
      </c>
      <c r="U663" s="166" t="n">
        <f aca="false">IF(U458=0,0,(SUMIF(Resource_Planning!$P$49:$P$356,$P663,Resource_Planning!U$49:U$356))/U458-1)</f>
        <v>0</v>
      </c>
      <c r="V663" s="166" t="n">
        <f aca="false">IF(V458=0,0,(SUMIF(Resource_Planning!$P$49:$P$356,$P663,Resource_Planning!V$49:V$356))/V458-1)</f>
        <v>0</v>
      </c>
      <c r="W663" s="166" t="n">
        <f aca="false">IF(W458=0,0,(SUMIF(Resource_Planning!$P$49:$P$356,$P663,Resource_Planning!W$49:W$356))/W458-1)</f>
        <v>0</v>
      </c>
      <c r="X663" s="166" t="n">
        <f aca="false">IF(X458=0,0,(SUMIF(Resource_Planning!$P$49:$P$356,$P663,Resource_Planning!X$49:X$356))/X458-1)</f>
        <v>0</v>
      </c>
      <c r="Y663" s="166" t="n">
        <f aca="false">IF(Y458=0,0,(SUMIF(Resource_Planning!$P$49:$P$356,$P663,Resource_Planning!Y$49:Y$356))/Y458-1)</f>
        <v>0</v>
      </c>
      <c r="Z663" s="166" t="n">
        <f aca="false">IF(Z458=0,0,(SUMIF(Resource_Planning!$P$49:$P$356,$P663,Resource_Planning!Z$49:Z$356))/Z458-1)</f>
        <v>0</v>
      </c>
      <c r="AA663" s="166" t="n">
        <f aca="false">IF(AA458=0,0,(SUMIF(Resource_Planning!$P$49:$P$356,$P663,Resource_Planning!AA$49:AA$356))/AA458-1)</f>
        <v>0</v>
      </c>
      <c r="AB663" s="166" t="n">
        <f aca="false">IF(AB458=0,0,(SUMIF(Resource_Planning!$P$49:$P$356,$P663,Resource_Planning!AB$49:AB$356))/AB458-1)</f>
        <v>0</v>
      </c>
      <c r="AC663" s="166" t="n">
        <f aca="false">IF(AC458=0,0,(SUMIF(Resource_Planning!$P$49:$P$356,$P663,Resource_Planning!AC$49:AC$356))/AC458-1)</f>
        <v>0</v>
      </c>
      <c r="AD663" s="166" t="n">
        <f aca="false">IF(AD458=0,0,(SUMIF(Resource_Planning!$P$49:$P$356,$P663,Resource_Planning!AD$49:AD$356))/AD458-1)</f>
        <v>0</v>
      </c>
      <c r="AE663" s="166" t="n">
        <f aca="false">IF(AE458=0,0,(SUMIF(Resource_Planning!$P$49:$P$356,$P663,Resource_Planning!AE$49:AE$356))/AE458-1)</f>
        <v>0</v>
      </c>
      <c r="AF663" s="166" t="n">
        <f aca="false">IF(AF458=0,0,(SUMIF(Resource_Planning!$P$49:$P$356,$P663,Resource_Planning!AF$49:AF$356))/AF458-1)</f>
        <v>0</v>
      </c>
      <c r="AG663" s="166" t="n">
        <f aca="false">IF(AG458=0,0,(SUMIF(Resource_Planning!$P$49:$P$356,$P663,Resource_Planning!AG$49:AG$356))/AG458-1)</f>
        <v>0</v>
      </c>
      <c r="AH663" s="166" t="n">
        <f aca="false">IF(AH458=0,0,(SUMIF(Resource_Planning!$P$49:$P$356,$P663,Resource_Planning!AH$49:AH$356))/AH458-1)</f>
        <v>0</v>
      </c>
      <c r="AI663" s="166" t="n">
        <f aca="false">IF(AI458=0,0,(SUMIF(Resource_Planning!$P$49:$P$356,$P663,Resource_Planning!AI$49:AI$356))/AI458-1)</f>
        <v>0</v>
      </c>
      <c r="AJ663" s="166" t="n">
        <f aca="false">IF(AJ458=0,0,(SUMIF(Resource_Planning!$P$49:$P$356,$P663,Resource_Planning!AJ$49:AJ$356))/AJ458-1)</f>
        <v>0</v>
      </c>
      <c r="AK663" s="166" t="n">
        <f aca="false">IF(AK458=0,0,(SUMIF(Resource_Planning!$P$49:$P$356,$P663,Resource_Planning!AK$49:AK$356))/AK458-1)</f>
        <v>0</v>
      </c>
      <c r="AL663" s="166" t="n">
        <f aca="false">IF(AL458=0,0,(SUMIF(Resource_Planning!$P$49:$P$356,$P663,Resource_Planning!AL$49:AL$356))/AL458-1)</f>
        <v>0</v>
      </c>
      <c r="AM663" s="166" t="n">
        <f aca="false">IF(AM458=0,0,(SUMIF(Resource_Planning!$P$49:$P$356,$P663,Resource_Planning!AM$49:AM$356))/AM458-1)</f>
        <v>0</v>
      </c>
      <c r="AN663" s="166" t="n">
        <f aca="false">IF(AN458=0,0,(SUMIF(Resource_Planning!$P$49:$P$356,$P663,Resource_Planning!AN$49:AN$356))/AN458-1)</f>
        <v>0</v>
      </c>
      <c r="AO663" s="166" t="n">
        <f aca="false">IF(AO458=0,0,(SUMIF(Resource_Planning!$P$49:$P$356,$P663,Resource_Planning!AO$49:AO$356))/AO458-1)</f>
        <v>0</v>
      </c>
      <c r="AP663" s="166" t="n">
        <f aca="false">IF(AP458=0,0,(SUMIF(Resource_Planning!$P$49:$P$356,$P663,Resource_Planning!AP$49:AP$356))/AP458-1)</f>
        <v>0</v>
      </c>
      <c r="AQ663" s="166" t="n">
        <f aca="false">IF(AQ458=0,0,(SUMIF(Resource_Planning!$P$49:$P$356,$P663,Resource_Planning!AQ$49:AQ$356))/AQ458-1)</f>
        <v>0</v>
      </c>
      <c r="AR663" s="166" t="n">
        <f aca="false">IF(AR458=0,0,(SUMIF(Resource_Planning!$P$49:$P$356,$P663,Resource_Planning!AR$49:AR$356))/AR458-1)</f>
        <v>0</v>
      </c>
      <c r="AS663" s="166" t="n">
        <f aca="false">IF(AS458=0,0,(SUMIF(Resource_Planning!$P$49:$P$356,$P663,Resource_Planning!AS$49:AS$356))/AS458-1)</f>
        <v>0</v>
      </c>
      <c r="AT663" s="166" t="n">
        <f aca="false">IF(AT458=0,0,(SUMIF(Resource_Planning!$P$49:$P$356,$P663,Resource_Planning!AT$49:AT$356))/AT458-1)</f>
        <v>0</v>
      </c>
      <c r="AU663" s="166" t="n">
        <f aca="false">IF(AU458=0,0,(SUMIF(Resource_Planning!$P$49:$P$356,$P663,Resource_Planning!AU$49:AU$356))/AU458-1)</f>
        <v>0</v>
      </c>
      <c r="AV663" s="166" t="n">
        <f aca="false">IF(AV458=0,0,(SUMIF(Resource_Planning!$P$49:$P$356,$P663,Resource_Planning!AV$49:AV$356))/AV458-1)</f>
        <v>0</v>
      </c>
      <c r="AW663" s="166" t="n">
        <f aca="false">IF(AW458=0,0,(SUMIF(Resource_Planning!$P$49:$P$356,$P663,Resource_Planning!AW$49:AW$356))/AW458-1)</f>
        <v>0</v>
      </c>
      <c r="AX663" s="166" t="n">
        <f aca="false">IF(AX458=0,0,(SUMIF(Resource_Planning!$P$49:$P$356,$P663,Resource_Planning!AX$49:AX$356))/AX458-1)</f>
        <v>0</v>
      </c>
      <c r="AY663" s="166" t="n">
        <f aca="false">IF(AY458=0,0,(SUMIF(Resource_Planning!$P$49:$P$356,$P663,Resource_Planning!AY$49:AY$356))/AY458-1)</f>
        <v>0</v>
      </c>
      <c r="AZ663" s="166" t="n">
        <f aca="false">IF(AZ458=0,0,(SUMIF(Resource_Planning!$P$49:$P$356,$P663,Resource_Planning!AZ$49:AZ$356))/AZ458-1)</f>
        <v>0</v>
      </c>
      <c r="BA663" s="166" t="n">
        <f aca="false">IF(BA458=0,0,(SUMIF(Resource_Planning!$P$49:$P$356,$P663,Resource_Planning!BA$49:BA$356))/BA458-1)</f>
        <v>0</v>
      </c>
      <c r="BB663" s="166" t="n">
        <f aca="false">IF(BB458=0,0,(SUMIF(Resource_Planning!$P$49:$P$356,$P663,Resource_Planning!BB$49:BB$356))/BB458-1)</f>
        <v>0</v>
      </c>
    </row>
    <row r="664" s="173" customFormat="true" ht="15" hidden="true" customHeight="false" outlineLevel="1" collapsed="false">
      <c r="E664" s="40"/>
      <c r="K664" s="40"/>
      <c r="L664" s="40"/>
      <c r="M664" s="40"/>
      <c r="N664" s="40"/>
      <c r="P664" s="177" t="n">
        <f aca="false">P322</f>
        <v>0</v>
      </c>
      <c r="Q664" s="40"/>
      <c r="R664" s="178"/>
      <c r="S664" s="166" t="n">
        <f aca="false">IF(S459=0,0,(SUMIF(Resource_Planning!$P$49:$P$356,$P664,Resource_Planning!S$49:S$356))/S459-1)</f>
        <v>0</v>
      </c>
      <c r="T664" s="166" t="n">
        <f aca="false">IF(T459=0,0,(SUMIF(Resource_Planning!$P$49:$P$356,$P664,Resource_Planning!T$49:T$356))/T459-1)</f>
        <v>0</v>
      </c>
      <c r="U664" s="166" t="n">
        <f aca="false">IF(U459=0,0,(SUMIF(Resource_Planning!$P$49:$P$356,$P664,Resource_Planning!U$49:U$356))/U459-1)</f>
        <v>0</v>
      </c>
      <c r="V664" s="166" t="n">
        <f aca="false">IF(V459=0,0,(SUMIF(Resource_Planning!$P$49:$P$356,$P664,Resource_Planning!V$49:V$356))/V459-1)</f>
        <v>0</v>
      </c>
      <c r="W664" s="166" t="n">
        <f aca="false">IF(W459=0,0,(SUMIF(Resource_Planning!$P$49:$P$356,$P664,Resource_Planning!W$49:W$356))/W459-1)</f>
        <v>0</v>
      </c>
      <c r="X664" s="166" t="n">
        <f aca="false">IF(X459=0,0,(SUMIF(Resource_Planning!$P$49:$P$356,$P664,Resource_Planning!X$49:X$356))/X459-1)</f>
        <v>0</v>
      </c>
      <c r="Y664" s="166" t="n">
        <f aca="false">IF(Y459=0,0,(SUMIF(Resource_Planning!$P$49:$P$356,$P664,Resource_Planning!Y$49:Y$356))/Y459-1)</f>
        <v>0</v>
      </c>
      <c r="Z664" s="166" t="n">
        <f aca="false">IF(Z459=0,0,(SUMIF(Resource_Planning!$P$49:$P$356,$P664,Resource_Planning!Z$49:Z$356))/Z459-1)</f>
        <v>0</v>
      </c>
      <c r="AA664" s="166" t="n">
        <f aca="false">IF(AA459=0,0,(SUMIF(Resource_Planning!$P$49:$P$356,$P664,Resource_Planning!AA$49:AA$356))/AA459-1)</f>
        <v>0</v>
      </c>
      <c r="AB664" s="166" t="n">
        <f aca="false">IF(AB459=0,0,(SUMIF(Resource_Planning!$P$49:$P$356,$P664,Resource_Planning!AB$49:AB$356))/AB459-1)</f>
        <v>0</v>
      </c>
      <c r="AC664" s="166" t="n">
        <f aca="false">IF(AC459=0,0,(SUMIF(Resource_Planning!$P$49:$P$356,$P664,Resource_Planning!AC$49:AC$356))/AC459-1)</f>
        <v>0</v>
      </c>
      <c r="AD664" s="166" t="n">
        <f aca="false">IF(AD459=0,0,(SUMIF(Resource_Planning!$P$49:$P$356,$P664,Resource_Planning!AD$49:AD$356))/AD459-1)</f>
        <v>0</v>
      </c>
      <c r="AE664" s="166" t="n">
        <f aca="false">IF(AE459=0,0,(SUMIF(Resource_Planning!$P$49:$P$356,$P664,Resource_Planning!AE$49:AE$356))/AE459-1)</f>
        <v>0</v>
      </c>
      <c r="AF664" s="166" t="n">
        <f aca="false">IF(AF459=0,0,(SUMIF(Resource_Planning!$P$49:$P$356,$P664,Resource_Planning!AF$49:AF$356))/AF459-1)</f>
        <v>0</v>
      </c>
      <c r="AG664" s="166" t="n">
        <f aca="false">IF(AG459=0,0,(SUMIF(Resource_Planning!$P$49:$P$356,$P664,Resource_Planning!AG$49:AG$356))/AG459-1)</f>
        <v>0</v>
      </c>
      <c r="AH664" s="166" t="n">
        <f aca="false">IF(AH459=0,0,(SUMIF(Resource_Planning!$P$49:$P$356,$P664,Resource_Planning!AH$49:AH$356))/AH459-1)</f>
        <v>0</v>
      </c>
      <c r="AI664" s="166" t="n">
        <f aca="false">IF(AI459=0,0,(SUMIF(Resource_Planning!$P$49:$P$356,$P664,Resource_Planning!AI$49:AI$356))/AI459-1)</f>
        <v>0</v>
      </c>
      <c r="AJ664" s="166" t="n">
        <f aca="false">IF(AJ459=0,0,(SUMIF(Resource_Planning!$P$49:$P$356,$P664,Resource_Planning!AJ$49:AJ$356))/AJ459-1)</f>
        <v>0</v>
      </c>
      <c r="AK664" s="166" t="n">
        <f aca="false">IF(AK459=0,0,(SUMIF(Resource_Planning!$P$49:$P$356,$P664,Resource_Planning!AK$49:AK$356))/AK459-1)</f>
        <v>0</v>
      </c>
      <c r="AL664" s="166" t="n">
        <f aca="false">IF(AL459=0,0,(SUMIF(Resource_Planning!$P$49:$P$356,$P664,Resource_Planning!AL$49:AL$356))/AL459-1)</f>
        <v>0</v>
      </c>
      <c r="AM664" s="166" t="n">
        <f aca="false">IF(AM459=0,0,(SUMIF(Resource_Planning!$P$49:$P$356,$P664,Resource_Planning!AM$49:AM$356))/AM459-1)</f>
        <v>0</v>
      </c>
      <c r="AN664" s="166" t="n">
        <f aca="false">IF(AN459=0,0,(SUMIF(Resource_Planning!$P$49:$P$356,$P664,Resource_Planning!AN$49:AN$356))/AN459-1)</f>
        <v>0</v>
      </c>
      <c r="AO664" s="166" t="n">
        <f aca="false">IF(AO459=0,0,(SUMIF(Resource_Planning!$P$49:$P$356,$P664,Resource_Planning!AO$49:AO$356))/AO459-1)</f>
        <v>0</v>
      </c>
      <c r="AP664" s="166" t="n">
        <f aca="false">IF(AP459=0,0,(SUMIF(Resource_Planning!$P$49:$P$356,$P664,Resource_Planning!AP$49:AP$356))/AP459-1)</f>
        <v>0</v>
      </c>
      <c r="AQ664" s="166" t="n">
        <f aca="false">IF(AQ459=0,0,(SUMIF(Resource_Planning!$P$49:$P$356,$P664,Resource_Planning!AQ$49:AQ$356))/AQ459-1)</f>
        <v>0</v>
      </c>
      <c r="AR664" s="166" t="n">
        <f aca="false">IF(AR459=0,0,(SUMIF(Resource_Planning!$P$49:$P$356,$P664,Resource_Planning!AR$49:AR$356))/AR459-1)</f>
        <v>0</v>
      </c>
      <c r="AS664" s="166" t="n">
        <f aca="false">IF(AS459=0,0,(SUMIF(Resource_Planning!$P$49:$P$356,$P664,Resource_Planning!AS$49:AS$356))/AS459-1)</f>
        <v>0</v>
      </c>
      <c r="AT664" s="166" t="n">
        <f aca="false">IF(AT459=0,0,(SUMIF(Resource_Planning!$P$49:$P$356,$P664,Resource_Planning!AT$49:AT$356))/AT459-1)</f>
        <v>0</v>
      </c>
      <c r="AU664" s="166" t="n">
        <f aca="false">IF(AU459=0,0,(SUMIF(Resource_Planning!$P$49:$P$356,$P664,Resource_Planning!AU$49:AU$356))/AU459-1)</f>
        <v>0</v>
      </c>
      <c r="AV664" s="166" t="n">
        <f aca="false">IF(AV459=0,0,(SUMIF(Resource_Planning!$P$49:$P$356,$P664,Resource_Planning!AV$49:AV$356))/AV459-1)</f>
        <v>0</v>
      </c>
      <c r="AW664" s="166" t="n">
        <f aca="false">IF(AW459=0,0,(SUMIF(Resource_Planning!$P$49:$P$356,$P664,Resource_Planning!AW$49:AW$356))/AW459-1)</f>
        <v>0</v>
      </c>
      <c r="AX664" s="166" t="n">
        <f aca="false">IF(AX459=0,0,(SUMIF(Resource_Planning!$P$49:$P$356,$P664,Resource_Planning!AX$49:AX$356))/AX459-1)</f>
        <v>0</v>
      </c>
      <c r="AY664" s="166" t="n">
        <f aca="false">IF(AY459=0,0,(SUMIF(Resource_Planning!$P$49:$P$356,$P664,Resource_Planning!AY$49:AY$356))/AY459-1)</f>
        <v>0</v>
      </c>
      <c r="AZ664" s="166" t="n">
        <f aca="false">IF(AZ459=0,0,(SUMIF(Resource_Planning!$P$49:$P$356,$P664,Resource_Planning!AZ$49:AZ$356))/AZ459-1)</f>
        <v>0</v>
      </c>
      <c r="BA664" s="166" t="n">
        <f aca="false">IF(BA459=0,0,(SUMIF(Resource_Planning!$P$49:$P$356,$P664,Resource_Planning!BA$49:BA$356))/BA459-1)</f>
        <v>0</v>
      </c>
      <c r="BB664" s="166" t="n">
        <f aca="false">IF(BB459=0,0,(SUMIF(Resource_Planning!$P$49:$P$356,$P664,Resource_Planning!BB$49:BB$356))/BB459-1)</f>
        <v>0</v>
      </c>
    </row>
    <row r="665" s="173" customFormat="true" ht="15" hidden="true" customHeight="false" outlineLevel="1" collapsed="false">
      <c r="E665" s="40"/>
      <c r="K665" s="40"/>
      <c r="L665" s="40"/>
      <c r="M665" s="40"/>
      <c r="N665" s="40"/>
      <c r="P665" s="177" t="n">
        <f aca="false">P323</f>
        <v>0</v>
      </c>
      <c r="Q665" s="40"/>
      <c r="R665" s="178"/>
      <c r="S665" s="166" t="n">
        <f aca="false">IF(S460=0,0,(SUMIF(Resource_Planning!$P$49:$P$356,$P665,Resource_Planning!S$49:S$356))/S460-1)</f>
        <v>0</v>
      </c>
      <c r="T665" s="166" t="n">
        <f aca="false">IF(T460=0,0,(SUMIF(Resource_Planning!$P$49:$P$356,$P665,Resource_Planning!T$49:T$356))/T460-1)</f>
        <v>0</v>
      </c>
      <c r="U665" s="166" t="n">
        <f aca="false">IF(U460=0,0,(SUMIF(Resource_Planning!$P$49:$P$356,$P665,Resource_Planning!U$49:U$356))/U460-1)</f>
        <v>0</v>
      </c>
      <c r="V665" s="166" t="n">
        <f aca="false">IF(V460=0,0,(SUMIF(Resource_Planning!$P$49:$P$356,$P665,Resource_Planning!V$49:V$356))/V460-1)</f>
        <v>0</v>
      </c>
      <c r="W665" s="166" t="n">
        <f aca="false">IF(W460=0,0,(SUMIF(Resource_Planning!$P$49:$P$356,$P665,Resource_Planning!W$49:W$356))/W460-1)</f>
        <v>0</v>
      </c>
      <c r="X665" s="166" t="n">
        <f aca="false">IF(X460=0,0,(SUMIF(Resource_Planning!$P$49:$P$356,$P665,Resource_Planning!X$49:X$356))/X460-1)</f>
        <v>0</v>
      </c>
      <c r="Y665" s="166" t="n">
        <f aca="false">IF(Y460=0,0,(SUMIF(Resource_Planning!$P$49:$P$356,$P665,Resource_Planning!Y$49:Y$356))/Y460-1)</f>
        <v>0</v>
      </c>
      <c r="Z665" s="166" t="n">
        <f aca="false">IF(Z460=0,0,(SUMIF(Resource_Planning!$P$49:$P$356,$P665,Resource_Planning!Z$49:Z$356))/Z460-1)</f>
        <v>0</v>
      </c>
      <c r="AA665" s="166" t="n">
        <f aca="false">IF(AA460=0,0,(SUMIF(Resource_Planning!$P$49:$P$356,$P665,Resource_Planning!AA$49:AA$356))/AA460-1)</f>
        <v>0</v>
      </c>
      <c r="AB665" s="166" t="n">
        <f aca="false">IF(AB460=0,0,(SUMIF(Resource_Planning!$P$49:$P$356,$P665,Resource_Planning!AB$49:AB$356))/AB460-1)</f>
        <v>0</v>
      </c>
      <c r="AC665" s="166" t="n">
        <f aca="false">IF(AC460=0,0,(SUMIF(Resource_Planning!$P$49:$P$356,$P665,Resource_Planning!AC$49:AC$356))/AC460-1)</f>
        <v>0</v>
      </c>
      <c r="AD665" s="166" t="n">
        <f aca="false">IF(AD460=0,0,(SUMIF(Resource_Planning!$P$49:$P$356,$P665,Resource_Planning!AD$49:AD$356))/AD460-1)</f>
        <v>0</v>
      </c>
      <c r="AE665" s="166" t="n">
        <f aca="false">IF(AE460=0,0,(SUMIF(Resource_Planning!$P$49:$P$356,$P665,Resource_Planning!AE$49:AE$356))/AE460-1)</f>
        <v>0</v>
      </c>
      <c r="AF665" s="166" t="n">
        <f aca="false">IF(AF460=0,0,(SUMIF(Resource_Planning!$P$49:$P$356,$P665,Resource_Planning!AF$49:AF$356))/AF460-1)</f>
        <v>0</v>
      </c>
      <c r="AG665" s="166" t="n">
        <f aca="false">IF(AG460=0,0,(SUMIF(Resource_Planning!$P$49:$P$356,$P665,Resource_Planning!AG$49:AG$356))/AG460-1)</f>
        <v>0</v>
      </c>
      <c r="AH665" s="166" t="n">
        <f aca="false">IF(AH460=0,0,(SUMIF(Resource_Planning!$P$49:$P$356,$P665,Resource_Planning!AH$49:AH$356))/AH460-1)</f>
        <v>0</v>
      </c>
      <c r="AI665" s="166" t="n">
        <f aca="false">IF(AI460=0,0,(SUMIF(Resource_Planning!$P$49:$P$356,$P665,Resource_Planning!AI$49:AI$356))/AI460-1)</f>
        <v>0</v>
      </c>
      <c r="AJ665" s="166" t="n">
        <f aca="false">IF(AJ460=0,0,(SUMIF(Resource_Planning!$P$49:$P$356,$P665,Resource_Planning!AJ$49:AJ$356))/AJ460-1)</f>
        <v>0</v>
      </c>
      <c r="AK665" s="166" t="n">
        <f aca="false">IF(AK460=0,0,(SUMIF(Resource_Planning!$P$49:$P$356,$P665,Resource_Planning!AK$49:AK$356))/AK460-1)</f>
        <v>0</v>
      </c>
      <c r="AL665" s="166" t="n">
        <f aca="false">IF(AL460=0,0,(SUMIF(Resource_Planning!$P$49:$P$356,$P665,Resource_Planning!AL$49:AL$356))/AL460-1)</f>
        <v>0</v>
      </c>
      <c r="AM665" s="166" t="n">
        <f aca="false">IF(AM460=0,0,(SUMIF(Resource_Planning!$P$49:$P$356,$P665,Resource_Planning!AM$49:AM$356))/AM460-1)</f>
        <v>0</v>
      </c>
      <c r="AN665" s="166" t="n">
        <f aca="false">IF(AN460=0,0,(SUMIF(Resource_Planning!$P$49:$P$356,$P665,Resource_Planning!AN$49:AN$356))/AN460-1)</f>
        <v>0</v>
      </c>
      <c r="AO665" s="166" t="n">
        <f aca="false">IF(AO460=0,0,(SUMIF(Resource_Planning!$P$49:$P$356,$P665,Resource_Planning!AO$49:AO$356))/AO460-1)</f>
        <v>0</v>
      </c>
      <c r="AP665" s="166" t="n">
        <f aca="false">IF(AP460=0,0,(SUMIF(Resource_Planning!$P$49:$P$356,$P665,Resource_Planning!AP$49:AP$356))/AP460-1)</f>
        <v>0</v>
      </c>
      <c r="AQ665" s="166" t="n">
        <f aca="false">IF(AQ460=0,0,(SUMIF(Resource_Planning!$P$49:$P$356,$P665,Resource_Planning!AQ$49:AQ$356))/AQ460-1)</f>
        <v>0</v>
      </c>
      <c r="AR665" s="166" t="n">
        <f aca="false">IF(AR460=0,0,(SUMIF(Resource_Planning!$P$49:$P$356,$P665,Resource_Planning!AR$49:AR$356))/AR460-1)</f>
        <v>0</v>
      </c>
      <c r="AS665" s="166" t="n">
        <f aca="false">IF(AS460=0,0,(SUMIF(Resource_Planning!$P$49:$P$356,$P665,Resource_Planning!AS$49:AS$356))/AS460-1)</f>
        <v>0</v>
      </c>
      <c r="AT665" s="166" t="n">
        <f aca="false">IF(AT460=0,0,(SUMIF(Resource_Planning!$P$49:$P$356,$P665,Resource_Planning!AT$49:AT$356))/AT460-1)</f>
        <v>0</v>
      </c>
      <c r="AU665" s="166" t="n">
        <f aca="false">IF(AU460=0,0,(SUMIF(Resource_Planning!$P$49:$P$356,$P665,Resource_Planning!AU$49:AU$356))/AU460-1)</f>
        <v>0</v>
      </c>
      <c r="AV665" s="166" t="n">
        <f aca="false">IF(AV460=0,0,(SUMIF(Resource_Planning!$P$49:$P$356,$P665,Resource_Planning!AV$49:AV$356))/AV460-1)</f>
        <v>0</v>
      </c>
      <c r="AW665" s="166" t="n">
        <f aca="false">IF(AW460=0,0,(SUMIF(Resource_Planning!$P$49:$P$356,$P665,Resource_Planning!AW$49:AW$356))/AW460-1)</f>
        <v>0</v>
      </c>
      <c r="AX665" s="166" t="n">
        <f aca="false">IF(AX460=0,0,(SUMIF(Resource_Planning!$P$49:$P$356,$P665,Resource_Planning!AX$49:AX$356))/AX460-1)</f>
        <v>0</v>
      </c>
      <c r="AY665" s="166" t="n">
        <f aca="false">IF(AY460=0,0,(SUMIF(Resource_Planning!$P$49:$P$356,$P665,Resource_Planning!AY$49:AY$356))/AY460-1)</f>
        <v>0</v>
      </c>
      <c r="AZ665" s="166" t="n">
        <f aca="false">IF(AZ460=0,0,(SUMIF(Resource_Planning!$P$49:$P$356,$P665,Resource_Planning!AZ$49:AZ$356))/AZ460-1)</f>
        <v>0</v>
      </c>
      <c r="BA665" s="166" t="n">
        <f aca="false">IF(BA460=0,0,(SUMIF(Resource_Planning!$P$49:$P$356,$P665,Resource_Planning!BA$49:BA$356))/BA460-1)</f>
        <v>0</v>
      </c>
      <c r="BB665" s="166" t="n">
        <f aca="false">IF(BB460=0,0,(SUMIF(Resource_Planning!$P$49:$P$356,$P665,Resource_Planning!BB$49:BB$356))/BB460-1)</f>
        <v>0</v>
      </c>
    </row>
    <row r="666" s="173" customFormat="true" ht="15" hidden="true" customHeight="false" outlineLevel="1" collapsed="false">
      <c r="E666" s="40"/>
      <c r="K666" s="40"/>
      <c r="L666" s="40"/>
      <c r="M666" s="40"/>
      <c r="N666" s="40"/>
      <c r="P666" s="177" t="n">
        <f aca="false">P324</f>
        <v>0</v>
      </c>
      <c r="Q666" s="40"/>
      <c r="R666" s="178"/>
      <c r="S666" s="166" t="n">
        <f aca="false">IF(S461=0,0,(SUMIF(Resource_Planning!$P$49:$P$356,$P666,Resource_Planning!S$49:S$356))/S461-1)</f>
        <v>0</v>
      </c>
      <c r="T666" s="166" t="n">
        <f aca="false">IF(T461=0,0,(SUMIF(Resource_Planning!$P$49:$P$356,$P666,Resource_Planning!T$49:T$356))/T461-1)</f>
        <v>0</v>
      </c>
      <c r="U666" s="166" t="n">
        <f aca="false">IF(U461=0,0,(SUMIF(Resource_Planning!$P$49:$P$356,$P666,Resource_Planning!U$49:U$356))/U461-1)</f>
        <v>0</v>
      </c>
      <c r="V666" s="166" t="n">
        <f aca="false">IF(V461=0,0,(SUMIF(Resource_Planning!$P$49:$P$356,$P666,Resource_Planning!V$49:V$356))/V461-1)</f>
        <v>0</v>
      </c>
      <c r="W666" s="166" t="n">
        <f aca="false">IF(W461=0,0,(SUMIF(Resource_Planning!$P$49:$P$356,$P666,Resource_Planning!W$49:W$356))/W461-1)</f>
        <v>0</v>
      </c>
      <c r="X666" s="166" t="n">
        <f aca="false">IF(X461=0,0,(SUMIF(Resource_Planning!$P$49:$P$356,$P666,Resource_Planning!X$49:X$356))/X461-1)</f>
        <v>0</v>
      </c>
      <c r="Y666" s="166" t="n">
        <f aca="false">IF(Y461=0,0,(SUMIF(Resource_Planning!$P$49:$P$356,$P666,Resource_Planning!Y$49:Y$356))/Y461-1)</f>
        <v>0</v>
      </c>
      <c r="Z666" s="166" t="n">
        <f aca="false">IF(Z461=0,0,(SUMIF(Resource_Planning!$P$49:$P$356,$P666,Resource_Planning!Z$49:Z$356))/Z461-1)</f>
        <v>0</v>
      </c>
      <c r="AA666" s="166" t="n">
        <f aca="false">IF(AA461=0,0,(SUMIF(Resource_Planning!$P$49:$P$356,$P666,Resource_Planning!AA$49:AA$356))/AA461-1)</f>
        <v>0</v>
      </c>
      <c r="AB666" s="166" t="n">
        <f aca="false">IF(AB461=0,0,(SUMIF(Resource_Planning!$P$49:$P$356,$P666,Resource_Planning!AB$49:AB$356))/AB461-1)</f>
        <v>0</v>
      </c>
      <c r="AC666" s="166" t="n">
        <f aca="false">IF(AC461=0,0,(SUMIF(Resource_Planning!$P$49:$P$356,$P666,Resource_Planning!AC$49:AC$356))/AC461-1)</f>
        <v>0</v>
      </c>
      <c r="AD666" s="166" t="n">
        <f aca="false">IF(AD461=0,0,(SUMIF(Resource_Planning!$P$49:$P$356,$P666,Resource_Planning!AD$49:AD$356))/AD461-1)</f>
        <v>0</v>
      </c>
      <c r="AE666" s="166" t="n">
        <f aca="false">IF(AE461=0,0,(SUMIF(Resource_Planning!$P$49:$P$356,$P666,Resource_Planning!AE$49:AE$356))/AE461-1)</f>
        <v>0</v>
      </c>
      <c r="AF666" s="166" t="n">
        <f aca="false">IF(AF461=0,0,(SUMIF(Resource_Planning!$P$49:$P$356,$P666,Resource_Planning!AF$49:AF$356))/AF461-1)</f>
        <v>0</v>
      </c>
      <c r="AG666" s="166" t="n">
        <f aca="false">IF(AG461=0,0,(SUMIF(Resource_Planning!$P$49:$P$356,$P666,Resource_Planning!AG$49:AG$356))/AG461-1)</f>
        <v>0</v>
      </c>
      <c r="AH666" s="166" t="n">
        <f aca="false">IF(AH461=0,0,(SUMIF(Resource_Planning!$P$49:$P$356,$P666,Resource_Planning!AH$49:AH$356))/AH461-1)</f>
        <v>0</v>
      </c>
      <c r="AI666" s="166" t="n">
        <f aca="false">IF(AI461=0,0,(SUMIF(Resource_Planning!$P$49:$P$356,$P666,Resource_Planning!AI$49:AI$356))/AI461-1)</f>
        <v>0</v>
      </c>
      <c r="AJ666" s="166" t="n">
        <f aca="false">IF(AJ461=0,0,(SUMIF(Resource_Planning!$P$49:$P$356,$P666,Resource_Planning!AJ$49:AJ$356))/AJ461-1)</f>
        <v>0</v>
      </c>
      <c r="AK666" s="166" t="n">
        <f aca="false">IF(AK461=0,0,(SUMIF(Resource_Planning!$P$49:$P$356,$P666,Resource_Planning!AK$49:AK$356))/AK461-1)</f>
        <v>0</v>
      </c>
      <c r="AL666" s="166" t="n">
        <f aca="false">IF(AL461=0,0,(SUMIF(Resource_Planning!$P$49:$P$356,$P666,Resource_Planning!AL$49:AL$356))/AL461-1)</f>
        <v>0</v>
      </c>
      <c r="AM666" s="166" t="n">
        <f aca="false">IF(AM461=0,0,(SUMIF(Resource_Planning!$P$49:$P$356,$P666,Resource_Planning!AM$49:AM$356))/AM461-1)</f>
        <v>0</v>
      </c>
      <c r="AN666" s="166" t="n">
        <f aca="false">IF(AN461=0,0,(SUMIF(Resource_Planning!$P$49:$P$356,$P666,Resource_Planning!AN$49:AN$356))/AN461-1)</f>
        <v>0</v>
      </c>
      <c r="AO666" s="166" t="n">
        <f aca="false">IF(AO461=0,0,(SUMIF(Resource_Planning!$P$49:$P$356,$P666,Resource_Planning!AO$49:AO$356))/AO461-1)</f>
        <v>0</v>
      </c>
      <c r="AP666" s="166" t="n">
        <f aca="false">IF(AP461=0,0,(SUMIF(Resource_Planning!$P$49:$P$356,$P666,Resource_Planning!AP$49:AP$356))/AP461-1)</f>
        <v>0</v>
      </c>
      <c r="AQ666" s="166" t="n">
        <f aca="false">IF(AQ461=0,0,(SUMIF(Resource_Planning!$P$49:$P$356,$P666,Resource_Planning!AQ$49:AQ$356))/AQ461-1)</f>
        <v>0</v>
      </c>
      <c r="AR666" s="166" t="n">
        <f aca="false">IF(AR461=0,0,(SUMIF(Resource_Planning!$P$49:$P$356,$P666,Resource_Planning!AR$49:AR$356))/AR461-1)</f>
        <v>0</v>
      </c>
      <c r="AS666" s="166" t="n">
        <f aca="false">IF(AS461=0,0,(SUMIF(Resource_Planning!$P$49:$P$356,$P666,Resource_Planning!AS$49:AS$356))/AS461-1)</f>
        <v>0</v>
      </c>
      <c r="AT666" s="166" t="n">
        <f aca="false">IF(AT461=0,0,(SUMIF(Resource_Planning!$P$49:$P$356,$P666,Resource_Planning!AT$49:AT$356))/AT461-1)</f>
        <v>0</v>
      </c>
      <c r="AU666" s="166" t="n">
        <f aca="false">IF(AU461=0,0,(SUMIF(Resource_Planning!$P$49:$P$356,$P666,Resource_Planning!AU$49:AU$356))/AU461-1)</f>
        <v>0</v>
      </c>
      <c r="AV666" s="166" t="n">
        <f aca="false">IF(AV461=0,0,(SUMIF(Resource_Planning!$P$49:$P$356,$P666,Resource_Planning!AV$49:AV$356))/AV461-1)</f>
        <v>0</v>
      </c>
      <c r="AW666" s="166" t="n">
        <f aca="false">IF(AW461=0,0,(SUMIF(Resource_Planning!$P$49:$P$356,$P666,Resource_Planning!AW$49:AW$356))/AW461-1)</f>
        <v>0</v>
      </c>
      <c r="AX666" s="166" t="n">
        <f aca="false">IF(AX461=0,0,(SUMIF(Resource_Planning!$P$49:$P$356,$P666,Resource_Planning!AX$49:AX$356))/AX461-1)</f>
        <v>0</v>
      </c>
      <c r="AY666" s="166" t="n">
        <f aca="false">IF(AY461=0,0,(SUMIF(Resource_Planning!$P$49:$P$356,$P666,Resource_Planning!AY$49:AY$356))/AY461-1)</f>
        <v>0</v>
      </c>
      <c r="AZ666" s="166" t="n">
        <f aca="false">IF(AZ461=0,0,(SUMIF(Resource_Planning!$P$49:$P$356,$P666,Resource_Planning!AZ$49:AZ$356))/AZ461-1)</f>
        <v>0</v>
      </c>
      <c r="BA666" s="166" t="n">
        <f aca="false">IF(BA461=0,0,(SUMIF(Resource_Planning!$P$49:$P$356,$P666,Resource_Planning!BA$49:BA$356))/BA461-1)</f>
        <v>0</v>
      </c>
      <c r="BB666" s="166" t="n">
        <f aca="false">IF(BB461=0,0,(SUMIF(Resource_Planning!$P$49:$P$356,$P666,Resource_Planning!BB$49:BB$356))/BB461-1)</f>
        <v>0</v>
      </c>
    </row>
    <row r="667" s="173" customFormat="true" ht="15" hidden="true" customHeight="false" outlineLevel="1" collapsed="false">
      <c r="E667" s="40"/>
      <c r="K667" s="40"/>
      <c r="L667" s="40"/>
      <c r="M667" s="40"/>
      <c r="N667" s="40"/>
      <c r="P667" s="177" t="n">
        <f aca="false">P325</f>
        <v>0</v>
      </c>
      <c r="Q667" s="40"/>
      <c r="R667" s="178"/>
      <c r="S667" s="166" t="n">
        <f aca="false">IF(S462=0,0,(SUMIF(Resource_Planning!$P$49:$P$356,$P667,Resource_Planning!S$49:S$356))/S462-1)</f>
        <v>0</v>
      </c>
      <c r="T667" s="166" t="n">
        <f aca="false">IF(T462=0,0,(SUMIF(Resource_Planning!$P$49:$P$356,$P667,Resource_Planning!T$49:T$356))/T462-1)</f>
        <v>0</v>
      </c>
      <c r="U667" s="166" t="n">
        <f aca="false">IF(U462=0,0,(SUMIF(Resource_Planning!$P$49:$P$356,$P667,Resource_Planning!U$49:U$356))/U462-1)</f>
        <v>0</v>
      </c>
      <c r="V667" s="166" t="n">
        <f aca="false">IF(V462=0,0,(SUMIF(Resource_Planning!$P$49:$P$356,$P667,Resource_Planning!V$49:V$356))/V462-1)</f>
        <v>0</v>
      </c>
      <c r="W667" s="166" t="n">
        <f aca="false">IF(W462=0,0,(SUMIF(Resource_Planning!$P$49:$P$356,$P667,Resource_Planning!W$49:W$356))/W462-1)</f>
        <v>0</v>
      </c>
      <c r="X667" s="166" t="n">
        <f aca="false">IF(X462=0,0,(SUMIF(Resource_Planning!$P$49:$P$356,$P667,Resource_Planning!X$49:X$356))/X462-1)</f>
        <v>0</v>
      </c>
      <c r="Y667" s="166" t="n">
        <f aca="false">IF(Y462=0,0,(SUMIF(Resource_Planning!$P$49:$P$356,$P667,Resource_Planning!Y$49:Y$356))/Y462-1)</f>
        <v>0</v>
      </c>
      <c r="Z667" s="166" t="n">
        <f aca="false">IF(Z462=0,0,(SUMIF(Resource_Planning!$P$49:$P$356,$P667,Resource_Planning!Z$49:Z$356))/Z462-1)</f>
        <v>0</v>
      </c>
      <c r="AA667" s="166" t="n">
        <f aca="false">IF(AA462=0,0,(SUMIF(Resource_Planning!$P$49:$P$356,$P667,Resource_Planning!AA$49:AA$356))/AA462-1)</f>
        <v>0</v>
      </c>
      <c r="AB667" s="166" t="n">
        <f aca="false">IF(AB462=0,0,(SUMIF(Resource_Planning!$P$49:$P$356,$P667,Resource_Planning!AB$49:AB$356))/AB462-1)</f>
        <v>0</v>
      </c>
      <c r="AC667" s="166" t="n">
        <f aca="false">IF(AC462=0,0,(SUMIF(Resource_Planning!$P$49:$P$356,$P667,Resource_Planning!AC$49:AC$356))/AC462-1)</f>
        <v>0</v>
      </c>
      <c r="AD667" s="166" t="n">
        <f aca="false">IF(AD462=0,0,(SUMIF(Resource_Planning!$P$49:$P$356,$P667,Resource_Planning!AD$49:AD$356))/AD462-1)</f>
        <v>0</v>
      </c>
      <c r="AE667" s="166" t="n">
        <f aca="false">IF(AE462=0,0,(SUMIF(Resource_Planning!$P$49:$P$356,$P667,Resource_Planning!AE$49:AE$356))/AE462-1)</f>
        <v>0</v>
      </c>
      <c r="AF667" s="166" t="n">
        <f aca="false">IF(AF462=0,0,(SUMIF(Resource_Planning!$P$49:$P$356,$P667,Resource_Planning!AF$49:AF$356))/AF462-1)</f>
        <v>0</v>
      </c>
      <c r="AG667" s="166" t="n">
        <f aca="false">IF(AG462=0,0,(SUMIF(Resource_Planning!$P$49:$P$356,$P667,Resource_Planning!AG$49:AG$356))/AG462-1)</f>
        <v>0</v>
      </c>
      <c r="AH667" s="166" t="n">
        <f aca="false">IF(AH462=0,0,(SUMIF(Resource_Planning!$P$49:$P$356,$P667,Resource_Planning!AH$49:AH$356))/AH462-1)</f>
        <v>0</v>
      </c>
      <c r="AI667" s="166" t="n">
        <f aca="false">IF(AI462=0,0,(SUMIF(Resource_Planning!$P$49:$P$356,$P667,Resource_Planning!AI$49:AI$356))/AI462-1)</f>
        <v>0</v>
      </c>
      <c r="AJ667" s="166" t="n">
        <f aca="false">IF(AJ462=0,0,(SUMIF(Resource_Planning!$P$49:$P$356,$P667,Resource_Planning!AJ$49:AJ$356))/AJ462-1)</f>
        <v>0</v>
      </c>
      <c r="AK667" s="166" t="n">
        <f aca="false">IF(AK462=0,0,(SUMIF(Resource_Planning!$P$49:$P$356,$P667,Resource_Planning!AK$49:AK$356))/AK462-1)</f>
        <v>0</v>
      </c>
      <c r="AL667" s="166" t="n">
        <f aca="false">IF(AL462=0,0,(SUMIF(Resource_Planning!$P$49:$P$356,$P667,Resource_Planning!AL$49:AL$356))/AL462-1)</f>
        <v>0</v>
      </c>
      <c r="AM667" s="166" t="n">
        <f aca="false">IF(AM462=0,0,(SUMIF(Resource_Planning!$P$49:$P$356,$P667,Resource_Planning!AM$49:AM$356))/AM462-1)</f>
        <v>0</v>
      </c>
      <c r="AN667" s="166" t="n">
        <f aca="false">IF(AN462=0,0,(SUMIF(Resource_Planning!$P$49:$P$356,$P667,Resource_Planning!AN$49:AN$356))/AN462-1)</f>
        <v>0</v>
      </c>
      <c r="AO667" s="166" t="n">
        <f aca="false">IF(AO462=0,0,(SUMIF(Resource_Planning!$P$49:$P$356,$P667,Resource_Planning!AO$49:AO$356))/AO462-1)</f>
        <v>0</v>
      </c>
      <c r="AP667" s="166" t="n">
        <f aca="false">IF(AP462=0,0,(SUMIF(Resource_Planning!$P$49:$P$356,$P667,Resource_Planning!AP$49:AP$356))/AP462-1)</f>
        <v>0</v>
      </c>
      <c r="AQ667" s="166" t="n">
        <f aca="false">IF(AQ462=0,0,(SUMIF(Resource_Planning!$P$49:$P$356,$P667,Resource_Planning!AQ$49:AQ$356))/AQ462-1)</f>
        <v>0</v>
      </c>
      <c r="AR667" s="166" t="n">
        <f aca="false">IF(AR462=0,0,(SUMIF(Resource_Planning!$P$49:$P$356,$P667,Resource_Planning!AR$49:AR$356))/AR462-1)</f>
        <v>0</v>
      </c>
      <c r="AS667" s="166" t="n">
        <f aca="false">IF(AS462=0,0,(SUMIF(Resource_Planning!$P$49:$P$356,$P667,Resource_Planning!AS$49:AS$356))/AS462-1)</f>
        <v>0</v>
      </c>
      <c r="AT667" s="166" t="n">
        <f aca="false">IF(AT462=0,0,(SUMIF(Resource_Planning!$P$49:$P$356,$P667,Resource_Planning!AT$49:AT$356))/AT462-1)</f>
        <v>0</v>
      </c>
      <c r="AU667" s="166" t="n">
        <f aca="false">IF(AU462=0,0,(SUMIF(Resource_Planning!$P$49:$P$356,$P667,Resource_Planning!AU$49:AU$356))/AU462-1)</f>
        <v>0</v>
      </c>
      <c r="AV667" s="166" t="n">
        <f aca="false">IF(AV462=0,0,(SUMIF(Resource_Planning!$P$49:$P$356,$P667,Resource_Planning!AV$49:AV$356))/AV462-1)</f>
        <v>0</v>
      </c>
      <c r="AW667" s="166" t="n">
        <f aca="false">IF(AW462=0,0,(SUMIF(Resource_Planning!$P$49:$P$356,$P667,Resource_Planning!AW$49:AW$356))/AW462-1)</f>
        <v>0</v>
      </c>
      <c r="AX667" s="166" t="n">
        <f aca="false">IF(AX462=0,0,(SUMIF(Resource_Planning!$P$49:$P$356,$P667,Resource_Planning!AX$49:AX$356))/AX462-1)</f>
        <v>0</v>
      </c>
      <c r="AY667" s="166" t="n">
        <f aca="false">IF(AY462=0,0,(SUMIF(Resource_Planning!$P$49:$P$356,$P667,Resource_Planning!AY$49:AY$356))/AY462-1)</f>
        <v>0</v>
      </c>
      <c r="AZ667" s="166" t="n">
        <f aca="false">IF(AZ462=0,0,(SUMIF(Resource_Planning!$P$49:$P$356,$P667,Resource_Planning!AZ$49:AZ$356))/AZ462-1)</f>
        <v>0</v>
      </c>
      <c r="BA667" s="166" t="n">
        <f aca="false">IF(BA462=0,0,(SUMIF(Resource_Planning!$P$49:$P$356,$P667,Resource_Planning!BA$49:BA$356))/BA462-1)</f>
        <v>0</v>
      </c>
      <c r="BB667" s="166" t="n">
        <f aca="false">IF(BB462=0,0,(SUMIF(Resource_Planning!$P$49:$P$356,$P667,Resource_Planning!BB$49:BB$356))/BB462-1)</f>
        <v>0</v>
      </c>
    </row>
    <row r="668" s="173" customFormat="true" ht="15" hidden="true" customHeight="false" outlineLevel="1" collapsed="false">
      <c r="E668" s="40"/>
      <c r="K668" s="40"/>
      <c r="L668" s="40"/>
      <c r="M668" s="40"/>
      <c r="N668" s="40"/>
      <c r="P668" s="177" t="n">
        <f aca="false">P326</f>
        <v>0</v>
      </c>
      <c r="Q668" s="40"/>
      <c r="R668" s="178"/>
      <c r="S668" s="166" t="n">
        <f aca="false">IF(S463=0,0,(SUMIF(Resource_Planning!$P$49:$P$356,$P668,Resource_Planning!S$49:S$356))/S463-1)</f>
        <v>0</v>
      </c>
      <c r="T668" s="166" t="n">
        <f aca="false">IF(T463=0,0,(SUMIF(Resource_Planning!$P$49:$P$356,$P668,Resource_Planning!T$49:T$356))/T463-1)</f>
        <v>0</v>
      </c>
      <c r="U668" s="166" t="n">
        <f aca="false">IF(U463=0,0,(SUMIF(Resource_Planning!$P$49:$P$356,$P668,Resource_Planning!U$49:U$356))/U463-1)</f>
        <v>0</v>
      </c>
      <c r="V668" s="166" t="n">
        <f aca="false">IF(V463=0,0,(SUMIF(Resource_Planning!$P$49:$P$356,$P668,Resource_Planning!V$49:V$356))/V463-1)</f>
        <v>0</v>
      </c>
      <c r="W668" s="166" t="n">
        <f aca="false">IF(W463=0,0,(SUMIF(Resource_Planning!$P$49:$P$356,$P668,Resource_Planning!W$49:W$356))/W463-1)</f>
        <v>0</v>
      </c>
      <c r="X668" s="166" t="n">
        <f aca="false">IF(X463=0,0,(SUMIF(Resource_Planning!$P$49:$P$356,$P668,Resource_Planning!X$49:X$356))/X463-1)</f>
        <v>0</v>
      </c>
      <c r="Y668" s="166" t="n">
        <f aca="false">IF(Y463=0,0,(SUMIF(Resource_Planning!$P$49:$P$356,$P668,Resource_Planning!Y$49:Y$356))/Y463-1)</f>
        <v>0</v>
      </c>
      <c r="Z668" s="166" t="n">
        <f aca="false">IF(Z463=0,0,(SUMIF(Resource_Planning!$P$49:$P$356,$P668,Resource_Planning!Z$49:Z$356))/Z463-1)</f>
        <v>0</v>
      </c>
      <c r="AA668" s="166" t="n">
        <f aca="false">IF(AA463=0,0,(SUMIF(Resource_Planning!$P$49:$P$356,$P668,Resource_Planning!AA$49:AA$356))/AA463-1)</f>
        <v>0</v>
      </c>
      <c r="AB668" s="166" t="n">
        <f aca="false">IF(AB463=0,0,(SUMIF(Resource_Planning!$P$49:$P$356,$P668,Resource_Planning!AB$49:AB$356))/AB463-1)</f>
        <v>0</v>
      </c>
      <c r="AC668" s="166" t="n">
        <f aca="false">IF(AC463=0,0,(SUMIF(Resource_Planning!$P$49:$P$356,$P668,Resource_Planning!AC$49:AC$356))/AC463-1)</f>
        <v>0</v>
      </c>
      <c r="AD668" s="166" t="n">
        <f aca="false">IF(AD463=0,0,(SUMIF(Resource_Planning!$P$49:$P$356,$P668,Resource_Planning!AD$49:AD$356))/AD463-1)</f>
        <v>0</v>
      </c>
      <c r="AE668" s="166" t="n">
        <f aca="false">IF(AE463=0,0,(SUMIF(Resource_Planning!$P$49:$P$356,$P668,Resource_Planning!AE$49:AE$356))/AE463-1)</f>
        <v>0</v>
      </c>
      <c r="AF668" s="166" t="n">
        <f aca="false">IF(AF463=0,0,(SUMIF(Resource_Planning!$P$49:$P$356,$P668,Resource_Planning!AF$49:AF$356))/AF463-1)</f>
        <v>0</v>
      </c>
      <c r="AG668" s="166" t="n">
        <f aca="false">IF(AG463=0,0,(SUMIF(Resource_Planning!$P$49:$P$356,$P668,Resource_Planning!AG$49:AG$356))/AG463-1)</f>
        <v>0</v>
      </c>
      <c r="AH668" s="166" t="n">
        <f aca="false">IF(AH463=0,0,(SUMIF(Resource_Planning!$P$49:$P$356,$P668,Resource_Planning!AH$49:AH$356))/AH463-1)</f>
        <v>0</v>
      </c>
      <c r="AI668" s="166" t="n">
        <f aca="false">IF(AI463=0,0,(SUMIF(Resource_Planning!$P$49:$P$356,$P668,Resource_Planning!AI$49:AI$356))/AI463-1)</f>
        <v>0</v>
      </c>
      <c r="AJ668" s="166" t="n">
        <f aca="false">IF(AJ463=0,0,(SUMIF(Resource_Planning!$P$49:$P$356,$P668,Resource_Planning!AJ$49:AJ$356))/AJ463-1)</f>
        <v>0</v>
      </c>
      <c r="AK668" s="166" t="n">
        <f aca="false">IF(AK463=0,0,(SUMIF(Resource_Planning!$P$49:$P$356,$P668,Resource_Planning!AK$49:AK$356))/AK463-1)</f>
        <v>0</v>
      </c>
      <c r="AL668" s="166" t="n">
        <f aca="false">IF(AL463=0,0,(SUMIF(Resource_Planning!$P$49:$P$356,$P668,Resource_Planning!AL$49:AL$356))/AL463-1)</f>
        <v>0</v>
      </c>
      <c r="AM668" s="166" t="n">
        <f aca="false">IF(AM463=0,0,(SUMIF(Resource_Planning!$P$49:$P$356,$P668,Resource_Planning!AM$49:AM$356))/AM463-1)</f>
        <v>0</v>
      </c>
      <c r="AN668" s="166" t="n">
        <f aca="false">IF(AN463=0,0,(SUMIF(Resource_Planning!$P$49:$P$356,$P668,Resource_Planning!AN$49:AN$356))/AN463-1)</f>
        <v>0</v>
      </c>
      <c r="AO668" s="166" t="n">
        <f aca="false">IF(AO463=0,0,(SUMIF(Resource_Planning!$P$49:$P$356,$P668,Resource_Planning!AO$49:AO$356))/AO463-1)</f>
        <v>0</v>
      </c>
      <c r="AP668" s="166" t="n">
        <f aca="false">IF(AP463=0,0,(SUMIF(Resource_Planning!$P$49:$P$356,$P668,Resource_Planning!AP$49:AP$356))/AP463-1)</f>
        <v>0</v>
      </c>
      <c r="AQ668" s="166" t="n">
        <f aca="false">IF(AQ463=0,0,(SUMIF(Resource_Planning!$P$49:$P$356,$P668,Resource_Planning!AQ$49:AQ$356))/AQ463-1)</f>
        <v>0</v>
      </c>
      <c r="AR668" s="166" t="n">
        <f aca="false">IF(AR463=0,0,(SUMIF(Resource_Planning!$P$49:$P$356,$P668,Resource_Planning!AR$49:AR$356))/AR463-1)</f>
        <v>0</v>
      </c>
      <c r="AS668" s="166" t="n">
        <f aca="false">IF(AS463=0,0,(SUMIF(Resource_Planning!$P$49:$P$356,$P668,Resource_Planning!AS$49:AS$356))/AS463-1)</f>
        <v>0</v>
      </c>
      <c r="AT668" s="166" t="n">
        <f aca="false">IF(AT463=0,0,(SUMIF(Resource_Planning!$P$49:$P$356,$P668,Resource_Planning!AT$49:AT$356))/AT463-1)</f>
        <v>0</v>
      </c>
      <c r="AU668" s="166" t="n">
        <f aca="false">IF(AU463=0,0,(SUMIF(Resource_Planning!$P$49:$P$356,$P668,Resource_Planning!AU$49:AU$356))/AU463-1)</f>
        <v>0</v>
      </c>
      <c r="AV668" s="166" t="n">
        <f aca="false">IF(AV463=0,0,(SUMIF(Resource_Planning!$P$49:$P$356,$P668,Resource_Planning!AV$49:AV$356))/AV463-1)</f>
        <v>0</v>
      </c>
      <c r="AW668" s="166" t="n">
        <f aca="false">IF(AW463=0,0,(SUMIF(Resource_Planning!$P$49:$P$356,$P668,Resource_Planning!AW$49:AW$356))/AW463-1)</f>
        <v>0</v>
      </c>
      <c r="AX668" s="166" t="n">
        <f aca="false">IF(AX463=0,0,(SUMIF(Resource_Planning!$P$49:$P$356,$P668,Resource_Planning!AX$49:AX$356))/AX463-1)</f>
        <v>0</v>
      </c>
      <c r="AY668" s="166" t="n">
        <f aca="false">IF(AY463=0,0,(SUMIF(Resource_Planning!$P$49:$P$356,$P668,Resource_Planning!AY$49:AY$356))/AY463-1)</f>
        <v>0</v>
      </c>
      <c r="AZ668" s="166" t="n">
        <f aca="false">IF(AZ463=0,0,(SUMIF(Resource_Planning!$P$49:$P$356,$P668,Resource_Planning!AZ$49:AZ$356))/AZ463-1)</f>
        <v>0</v>
      </c>
      <c r="BA668" s="166" t="n">
        <f aca="false">IF(BA463=0,0,(SUMIF(Resource_Planning!$P$49:$P$356,$P668,Resource_Planning!BA$49:BA$356))/BA463-1)</f>
        <v>0</v>
      </c>
      <c r="BB668" s="166" t="n">
        <f aca="false">IF(BB463=0,0,(SUMIF(Resource_Planning!$P$49:$P$356,$P668,Resource_Planning!BB$49:BB$356))/BB463-1)</f>
        <v>0</v>
      </c>
    </row>
    <row r="669" s="173" customFormat="true" ht="15" hidden="true" customHeight="false" outlineLevel="1" collapsed="false">
      <c r="E669" s="40"/>
      <c r="K669" s="40"/>
      <c r="L669" s="40"/>
      <c r="M669" s="40"/>
      <c r="N669" s="40"/>
      <c r="P669" s="177" t="n">
        <f aca="false">P327</f>
        <v>0</v>
      </c>
      <c r="Q669" s="40"/>
      <c r="R669" s="178"/>
      <c r="S669" s="166" t="n">
        <f aca="false">IF(S464=0,0,(SUMIF(Resource_Planning!$P$49:$P$356,$P669,Resource_Planning!S$49:S$356))/S464-1)</f>
        <v>0</v>
      </c>
      <c r="T669" s="166" t="n">
        <f aca="false">IF(T464=0,0,(SUMIF(Resource_Planning!$P$49:$P$356,$P669,Resource_Planning!T$49:T$356))/T464-1)</f>
        <v>0</v>
      </c>
      <c r="U669" s="166" t="n">
        <f aca="false">IF(U464=0,0,(SUMIF(Resource_Planning!$P$49:$P$356,$P669,Resource_Planning!U$49:U$356))/U464-1)</f>
        <v>0</v>
      </c>
      <c r="V669" s="166" t="n">
        <f aca="false">IF(V464=0,0,(SUMIF(Resource_Planning!$P$49:$P$356,$P669,Resource_Planning!V$49:V$356))/V464-1)</f>
        <v>0</v>
      </c>
      <c r="W669" s="166" t="n">
        <f aca="false">IF(W464=0,0,(SUMIF(Resource_Planning!$P$49:$P$356,$P669,Resource_Planning!W$49:W$356))/W464-1)</f>
        <v>0</v>
      </c>
      <c r="X669" s="166" t="n">
        <f aca="false">IF(X464=0,0,(SUMIF(Resource_Planning!$P$49:$P$356,$P669,Resource_Planning!X$49:X$356))/X464-1)</f>
        <v>0</v>
      </c>
      <c r="Y669" s="166" t="n">
        <f aca="false">IF(Y464=0,0,(SUMIF(Resource_Planning!$P$49:$P$356,$P669,Resource_Planning!Y$49:Y$356))/Y464-1)</f>
        <v>0</v>
      </c>
      <c r="Z669" s="166" t="n">
        <f aca="false">IF(Z464=0,0,(SUMIF(Resource_Planning!$P$49:$P$356,$P669,Resource_Planning!Z$49:Z$356))/Z464-1)</f>
        <v>0</v>
      </c>
      <c r="AA669" s="166" t="n">
        <f aca="false">IF(AA464=0,0,(SUMIF(Resource_Planning!$P$49:$P$356,$P669,Resource_Planning!AA$49:AA$356))/AA464-1)</f>
        <v>0</v>
      </c>
      <c r="AB669" s="166" t="n">
        <f aca="false">IF(AB464=0,0,(SUMIF(Resource_Planning!$P$49:$P$356,$P669,Resource_Planning!AB$49:AB$356))/AB464-1)</f>
        <v>0</v>
      </c>
      <c r="AC669" s="166" t="n">
        <f aca="false">IF(AC464=0,0,(SUMIF(Resource_Planning!$P$49:$P$356,$P669,Resource_Planning!AC$49:AC$356))/AC464-1)</f>
        <v>0</v>
      </c>
      <c r="AD669" s="166" t="n">
        <f aca="false">IF(AD464=0,0,(SUMIF(Resource_Planning!$P$49:$P$356,$P669,Resource_Planning!AD$49:AD$356))/AD464-1)</f>
        <v>0</v>
      </c>
      <c r="AE669" s="166" t="n">
        <f aca="false">IF(AE464=0,0,(SUMIF(Resource_Planning!$P$49:$P$356,$P669,Resource_Planning!AE$49:AE$356))/AE464-1)</f>
        <v>0</v>
      </c>
      <c r="AF669" s="166" t="n">
        <f aca="false">IF(AF464=0,0,(SUMIF(Resource_Planning!$P$49:$P$356,$P669,Resource_Planning!AF$49:AF$356))/AF464-1)</f>
        <v>0</v>
      </c>
      <c r="AG669" s="166" t="n">
        <f aca="false">IF(AG464=0,0,(SUMIF(Resource_Planning!$P$49:$P$356,$P669,Resource_Planning!AG$49:AG$356))/AG464-1)</f>
        <v>0</v>
      </c>
      <c r="AH669" s="166" t="n">
        <f aca="false">IF(AH464=0,0,(SUMIF(Resource_Planning!$P$49:$P$356,$P669,Resource_Planning!AH$49:AH$356))/AH464-1)</f>
        <v>0</v>
      </c>
      <c r="AI669" s="166" t="n">
        <f aca="false">IF(AI464=0,0,(SUMIF(Resource_Planning!$P$49:$P$356,$P669,Resource_Planning!AI$49:AI$356))/AI464-1)</f>
        <v>0</v>
      </c>
      <c r="AJ669" s="166" t="n">
        <f aca="false">IF(AJ464=0,0,(SUMIF(Resource_Planning!$P$49:$P$356,$P669,Resource_Planning!AJ$49:AJ$356))/AJ464-1)</f>
        <v>0</v>
      </c>
      <c r="AK669" s="166" t="n">
        <f aca="false">IF(AK464=0,0,(SUMIF(Resource_Planning!$P$49:$P$356,$P669,Resource_Planning!AK$49:AK$356))/AK464-1)</f>
        <v>0</v>
      </c>
      <c r="AL669" s="166" t="n">
        <f aca="false">IF(AL464=0,0,(SUMIF(Resource_Planning!$P$49:$P$356,$P669,Resource_Planning!AL$49:AL$356))/AL464-1)</f>
        <v>0</v>
      </c>
      <c r="AM669" s="166" t="n">
        <f aca="false">IF(AM464=0,0,(SUMIF(Resource_Planning!$P$49:$P$356,$P669,Resource_Planning!AM$49:AM$356))/AM464-1)</f>
        <v>0</v>
      </c>
      <c r="AN669" s="166" t="n">
        <f aca="false">IF(AN464=0,0,(SUMIF(Resource_Planning!$P$49:$P$356,$P669,Resource_Planning!AN$49:AN$356))/AN464-1)</f>
        <v>0</v>
      </c>
      <c r="AO669" s="166" t="n">
        <f aca="false">IF(AO464=0,0,(SUMIF(Resource_Planning!$P$49:$P$356,$P669,Resource_Planning!AO$49:AO$356))/AO464-1)</f>
        <v>0</v>
      </c>
      <c r="AP669" s="166" t="n">
        <f aca="false">IF(AP464=0,0,(SUMIF(Resource_Planning!$P$49:$P$356,$P669,Resource_Planning!AP$49:AP$356))/AP464-1)</f>
        <v>0</v>
      </c>
      <c r="AQ669" s="166" t="n">
        <f aca="false">IF(AQ464=0,0,(SUMIF(Resource_Planning!$P$49:$P$356,$P669,Resource_Planning!AQ$49:AQ$356))/AQ464-1)</f>
        <v>0</v>
      </c>
      <c r="AR669" s="166" t="n">
        <f aca="false">IF(AR464=0,0,(SUMIF(Resource_Planning!$P$49:$P$356,$P669,Resource_Planning!AR$49:AR$356))/AR464-1)</f>
        <v>0</v>
      </c>
      <c r="AS669" s="166" t="n">
        <f aca="false">IF(AS464=0,0,(SUMIF(Resource_Planning!$P$49:$P$356,$P669,Resource_Planning!AS$49:AS$356))/AS464-1)</f>
        <v>0</v>
      </c>
      <c r="AT669" s="166" t="n">
        <f aca="false">IF(AT464=0,0,(SUMIF(Resource_Planning!$P$49:$P$356,$P669,Resource_Planning!AT$49:AT$356))/AT464-1)</f>
        <v>0</v>
      </c>
      <c r="AU669" s="166" t="n">
        <f aca="false">IF(AU464=0,0,(SUMIF(Resource_Planning!$P$49:$P$356,$P669,Resource_Planning!AU$49:AU$356))/AU464-1)</f>
        <v>0</v>
      </c>
      <c r="AV669" s="166" t="n">
        <f aca="false">IF(AV464=0,0,(SUMIF(Resource_Planning!$P$49:$P$356,$P669,Resource_Planning!AV$49:AV$356))/AV464-1)</f>
        <v>0</v>
      </c>
      <c r="AW669" s="166" t="n">
        <f aca="false">IF(AW464=0,0,(SUMIF(Resource_Planning!$P$49:$P$356,$P669,Resource_Planning!AW$49:AW$356))/AW464-1)</f>
        <v>0</v>
      </c>
      <c r="AX669" s="166" t="n">
        <f aca="false">IF(AX464=0,0,(SUMIF(Resource_Planning!$P$49:$P$356,$P669,Resource_Planning!AX$49:AX$356))/AX464-1)</f>
        <v>0</v>
      </c>
      <c r="AY669" s="166" t="n">
        <f aca="false">IF(AY464=0,0,(SUMIF(Resource_Planning!$P$49:$P$356,$P669,Resource_Planning!AY$49:AY$356))/AY464-1)</f>
        <v>0</v>
      </c>
      <c r="AZ669" s="166" t="n">
        <f aca="false">IF(AZ464=0,0,(SUMIF(Resource_Planning!$P$49:$P$356,$P669,Resource_Planning!AZ$49:AZ$356))/AZ464-1)</f>
        <v>0</v>
      </c>
      <c r="BA669" s="166" t="n">
        <f aca="false">IF(BA464=0,0,(SUMIF(Resource_Planning!$P$49:$P$356,$P669,Resource_Planning!BA$49:BA$356))/BA464-1)</f>
        <v>0</v>
      </c>
      <c r="BB669" s="166" t="n">
        <f aca="false">IF(BB464=0,0,(SUMIF(Resource_Planning!$P$49:$P$356,$P669,Resource_Planning!BB$49:BB$356))/BB464-1)</f>
        <v>0</v>
      </c>
    </row>
    <row r="670" s="173" customFormat="true" ht="15" hidden="true" customHeight="false" outlineLevel="1" collapsed="false">
      <c r="E670" s="40"/>
      <c r="K670" s="40"/>
      <c r="L670" s="40"/>
      <c r="M670" s="40"/>
      <c r="N670" s="40"/>
      <c r="P670" s="177" t="n">
        <f aca="false">P328</f>
        <v>0</v>
      </c>
      <c r="Q670" s="40"/>
      <c r="R670" s="178"/>
      <c r="S670" s="166" t="n">
        <f aca="false">IF(S465=0,0,(SUMIF(Resource_Planning!$P$49:$P$356,$P670,Resource_Planning!S$49:S$356))/S465-1)</f>
        <v>0</v>
      </c>
      <c r="T670" s="166" t="n">
        <f aca="false">IF(T465=0,0,(SUMIF(Resource_Planning!$P$49:$P$356,$P670,Resource_Planning!T$49:T$356))/T465-1)</f>
        <v>0</v>
      </c>
      <c r="U670" s="166" t="n">
        <f aca="false">IF(U465=0,0,(SUMIF(Resource_Planning!$P$49:$P$356,$P670,Resource_Planning!U$49:U$356))/U465-1)</f>
        <v>0</v>
      </c>
      <c r="V670" s="166" t="n">
        <f aca="false">IF(V465=0,0,(SUMIF(Resource_Planning!$P$49:$P$356,$P670,Resource_Planning!V$49:V$356))/V465-1)</f>
        <v>0</v>
      </c>
      <c r="W670" s="166" t="n">
        <f aca="false">IF(W465=0,0,(SUMIF(Resource_Planning!$P$49:$P$356,$P670,Resource_Planning!W$49:W$356))/W465-1)</f>
        <v>0</v>
      </c>
      <c r="X670" s="166" t="n">
        <f aca="false">IF(X465=0,0,(SUMIF(Resource_Planning!$P$49:$P$356,$P670,Resource_Planning!X$49:X$356))/X465-1)</f>
        <v>0</v>
      </c>
      <c r="Y670" s="166" t="n">
        <f aca="false">IF(Y465=0,0,(SUMIF(Resource_Planning!$P$49:$P$356,$P670,Resource_Planning!Y$49:Y$356))/Y465-1)</f>
        <v>0</v>
      </c>
      <c r="Z670" s="166" t="n">
        <f aca="false">IF(Z465=0,0,(SUMIF(Resource_Planning!$P$49:$P$356,$P670,Resource_Planning!Z$49:Z$356))/Z465-1)</f>
        <v>0</v>
      </c>
      <c r="AA670" s="166" t="n">
        <f aca="false">IF(AA465=0,0,(SUMIF(Resource_Planning!$P$49:$P$356,$P670,Resource_Planning!AA$49:AA$356))/AA465-1)</f>
        <v>0</v>
      </c>
      <c r="AB670" s="166" t="n">
        <f aca="false">IF(AB465=0,0,(SUMIF(Resource_Planning!$P$49:$P$356,$P670,Resource_Planning!AB$49:AB$356))/AB465-1)</f>
        <v>0</v>
      </c>
      <c r="AC670" s="166" t="n">
        <f aca="false">IF(AC465=0,0,(SUMIF(Resource_Planning!$P$49:$P$356,$P670,Resource_Planning!AC$49:AC$356))/AC465-1)</f>
        <v>0</v>
      </c>
      <c r="AD670" s="166" t="n">
        <f aca="false">IF(AD465=0,0,(SUMIF(Resource_Planning!$P$49:$P$356,$P670,Resource_Planning!AD$49:AD$356))/AD465-1)</f>
        <v>0</v>
      </c>
      <c r="AE670" s="166" t="n">
        <f aca="false">IF(AE465=0,0,(SUMIF(Resource_Planning!$P$49:$P$356,$P670,Resource_Planning!AE$49:AE$356))/AE465-1)</f>
        <v>0</v>
      </c>
      <c r="AF670" s="166" t="n">
        <f aca="false">IF(AF465=0,0,(SUMIF(Resource_Planning!$P$49:$P$356,$P670,Resource_Planning!AF$49:AF$356))/AF465-1)</f>
        <v>0</v>
      </c>
      <c r="AG670" s="166" t="n">
        <f aca="false">IF(AG465=0,0,(SUMIF(Resource_Planning!$P$49:$P$356,$P670,Resource_Planning!AG$49:AG$356))/AG465-1)</f>
        <v>0</v>
      </c>
      <c r="AH670" s="166" t="n">
        <f aca="false">IF(AH465=0,0,(SUMIF(Resource_Planning!$P$49:$P$356,$P670,Resource_Planning!AH$49:AH$356))/AH465-1)</f>
        <v>0</v>
      </c>
      <c r="AI670" s="166" t="n">
        <f aca="false">IF(AI465=0,0,(SUMIF(Resource_Planning!$P$49:$P$356,$P670,Resource_Planning!AI$49:AI$356))/AI465-1)</f>
        <v>0</v>
      </c>
      <c r="AJ670" s="166" t="n">
        <f aca="false">IF(AJ465=0,0,(SUMIF(Resource_Planning!$P$49:$P$356,$P670,Resource_Planning!AJ$49:AJ$356))/AJ465-1)</f>
        <v>0</v>
      </c>
      <c r="AK670" s="166" t="n">
        <f aca="false">IF(AK465=0,0,(SUMIF(Resource_Planning!$P$49:$P$356,$P670,Resource_Planning!AK$49:AK$356))/AK465-1)</f>
        <v>0</v>
      </c>
      <c r="AL670" s="166" t="n">
        <f aca="false">IF(AL465=0,0,(SUMIF(Resource_Planning!$P$49:$P$356,$P670,Resource_Planning!AL$49:AL$356))/AL465-1)</f>
        <v>0</v>
      </c>
      <c r="AM670" s="166" t="n">
        <f aca="false">IF(AM465=0,0,(SUMIF(Resource_Planning!$P$49:$P$356,$P670,Resource_Planning!AM$49:AM$356))/AM465-1)</f>
        <v>0</v>
      </c>
      <c r="AN670" s="166" t="n">
        <f aca="false">IF(AN465=0,0,(SUMIF(Resource_Planning!$P$49:$P$356,$P670,Resource_Planning!AN$49:AN$356))/AN465-1)</f>
        <v>0</v>
      </c>
      <c r="AO670" s="166" t="n">
        <f aca="false">IF(AO465=0,0,(SUMIF(Resource_Planning!$P$49:$P$356,$P670,Resource_Planning!AO$49:AO$356))/AO465-1)</f>
        <v>0</v>
      </c>
      <c r="AP670" s="166" t="n">
        <f aca="false">IF(AP465=0,0,(SUMIF(Resource_Planning!$P$49:$P$356,$P670,Resource_Planning!AP$49:AP$356))/AP465-1)</f>
        <v>0</v>
      </c>
      <c r="AQ670" s="166" t="n">
        <f aca="false">IF(AQ465=0,0,(SUMIF(Resource_Planning!$P$49:$P$356,$P670,Resource_Planning!AQ$49:AQ$356))/AQ465-1)</f>
        <v>0</v>
      </c>
      <c r="AR670" s="166" t="n">
        <f aca="false">IF(AR465=0,0,(SUMIF(Resource_Planning!$P$49:$P$356,$P670,Resource_Planning!AR$49:AR$356))/AR465-1)</f>
        <v>0</v>
      </c>
      <c r="AS670" s="166" t="n">
        <f aca="false">IF(AS465=0,0,(SUMIF(Resource_Planning!$P$49:$P$356,$P670,Resource_Planning!AS$49:AS$356))/AS465-1)</f>
        <v>0</v>
      </c>
      <c r="AT670" s="166" t="n">
        <f aca="false">IF(AT465=0,0,(SUMIF(Resource_Planning!$P$49:$P$356,$P670,Resource_Planning!AT$49:AT$356))/AT465-1)</f>
        <v>0</v>
      </c>
      <c r="AU670" s="166" t="n">
        <f aca="false">IF(AU465=0,0,(SUMIF(Resource_Planning!$P$49:$P$356,$P670,Resource_Planning!AU$49:AU$356))/AU465-1)</f>
        <v>0</v>
      </c>
      <c r="AV670" s="166" t="n">
        <f aca="false">IF(AV465=0,0,(SUMIF(Resource_Planning!$P$49:$P$356,$P670,Resource_Planning!AV$49:AV$356))/AV465-1)</f>
        <v>0</v>
      </c>
      <c r="AW670" s="166" t="n">
        <f aca="false">IF(AW465=0,0,(SUMIF(Resource_Planning!$P$49:$P$356,$P670,Resource_Planning!AW$49:AW$356))/AW465-1)</f>
        <v>0</v>
      </c>
      <c r="AX670" s="166" t="n">
        <f aca="false">IF(AX465=0,0,(SUMIF(Resource_Planning!$P$49:$P$356,$P670,Resource_Planning!AX$49:AX$356))/AX465-1)</f>
        <v>0</v>
      </c>
      <c r="AY670" s="166" t="n">
        <f aca="false">IF(AY465=0,0,(SUMIF(Resource_Planning!$P$49:$P$356,$P670,Resource_Planning!AY$49:AY$356))/AY465-1)</f>
        <v>0</v>
      </c>
      <c r="AZ670" s="166" t="n">
        <f aca="false">IF(AZ465=0,0,(SUMIF(Resource_Planning!$P$49:$P$356,$P670,Resource_Planning!AZ$49:AZ$356))/AZ465-1)</f>
        <v>0</v>
      </c>
      <c r="BA670" s="166" t="n">
        <f aca="false">IF(BA465=0,0,(SUMIF(Resource_Planning!$P$49:$P$356,$P670,Resource_Planning!BA$49:BA$356))/BA465-1)</f>
        <v>0</v>
      </c>
      <c r="BB670" s="166" t="n">
        <f aca="false">IF(BB465=0,0,(SUMIF(Resource_Planning!$P$49:$P$356,$P670,Resource_Planning!BB$49:BB$356))/BB465-1)</f>
        <v>0</v>
      </c>
    </row>
    <row r="671" s="173" customFormat="true" ht="15" hidden="true" customHeight="false" outlineLevel="1" collapsed="false">
      <c r="E671" s="40"/>
      <c r="K671" s="40"/>
      <c r="L671" s="40"/>
      <c r="M671" s="40"/>
      <c r="N671" s="40"/>
      <c r="P671" s="177" t="n">
        <f aca="false">P329</f>
        <v>0</v>
      </c>
      <c r="Q671" s="40"/>
      <c r="R671" s="178"/>
      <c r="S671" s="166" t="n">
        <f aca="false">IF(S466=0,0,(SUMIF(Resource_Planning!$P$49:$P$356,$P671,Resource_Planning!S$49:S$356))/S466-1)</f>
        <v>0</v>
      </c>
      <c r="T671" s="166" t="n">
        <f aca="false">IF(T466=0,0,(SUMIF(Resource_Planning!$P$49:$P$356,$P671,Resource_Planning!T$49:T$356))/T466-1)</f>
        <v>0</v>
      </c>
      <c r="U671" s="166" t="n">
        <f aca="false">IF(U466=0,0,(SUMIF(Resource_Planning!$P$49:$P$356,$P671,Resource_Planning!U$49:U$356))/U466-1)</f>
        <v>0</v>
      </c>
      <c r="V671" s="166" t="n">
        <f aca="false">IF(V466=0,0,(SUMIF(Resource_Planning!$P$49:$P$356,$P671,Resource_Planning!V$49:V$356))/V466-1)</f>
        <v>0</v>
      </c>
      <c r="W671" s="166" t="n">
        <f aca="false">IF(W466=0,0,(SUMIF(Resource_Planning!$P$49:$P$356,$P671,Resource_Planning!W$49:W$356))/W466-1)</f>
        <v>0</v>
      </c>
      <c r="X671" s="166" t="n">
        <f aca="false">IF(X466=0,0,(SUMIF(Resource_Planning!$P$49:$P$356,$P671,Resource_Planning!X$49:X$356))/X466-1)</f>
        <v>0</v>
      </c>
      <c r="Y671" s="166" t="n">
        <f aca="false">IF(Y466=0,0,(SUMIF(Resource_Planning!$P$49:$P$356,$P671,Resource_Planning!Y$49:Y$356))/Y466-1)</f>
        <v>0</v>
      </c>
      <c r="Z671" s="166" t="n">
        <f aca="false">IF(Z466=0,0,(SUMIF(Resource_Planning!$P$49:$P$356,$P671,Resource_Planning!Z$49:Z$356))/Z466-1)</f>
        <v>0</v>
      </c>
      <c r="AA671" s="166" t="n">
        <f aca="false">IF(AA466=0,0,(SUMIF(Resource_Planning!$P$49:$P$356,$P671,Resource_Planning!AA$49:AA$356))/AA466-1)</f>
        <v>0</v>
      </c>
      <c r="AB671" s="166" t="n">
        <f aca="false">IF(AB466=0,0,(SUMIF(Resource_Planning!$P$49:$P$356,$P671,Resource_Planning!AB$49:AB$356))/AB466-1)</f>
        <v>0</v>
      </c>
      <c r="AC671" s="166" t="n">
        <f aca="false">IF(AC466=0,0,(SUMIF(Resource_Planning!$P$49:$P$356,$P671,Resource_Planning!AC$49:AC$356))/AC466-1)</f>
        <v>0</v>
      </c>
      <c r="AD671" s="166" t="n">
        <f aca="false">IF(AD466=0,0,(SUMIF(Resource_Planning!$P$49:$P$356,$P671,Resource_Planning!AD$49:AD$356))/AD466-1)</f>
        <v>0</v>
      </c>
      <c r="AE671" s="166" t="n">
        <f aca="false">IF(AE466=0,0,(SUMIF(Resource_Planning!$P$49:$P$356,$P671,Resource_Planning!AE$49:AE$356))/AE466-1)</f>
        <v>0</v>
      </c>
      <c r="AF671" s="166" t="n">
        <f aca="false">IF(AF466=0,0,(SUMIF(Resource_Planning!$P$49:$P$356,$P671,Resource_Planning!AF$49:AF$356))/AF466-1)</f>
        <v>0</v>
      </c>
      <c r="AG671" s="166" t="n">
        <f aca="false">IF(AG466=0,0,(SUMIF(Resource_Planning!$P$49:$P$356,$P671,Resource_Planning!AG$49:AG$356))/AG466-1)</f>
        <v>0</v>
      </c>
      <c r="AH671" s="166" t="n">
        <f aca="false">IF(AH466=0,0,(SUMIF(Resource_Planning!$P$49:$P$356,$P671,Resource_Planning!AH$49:AH$356))/AH466-1)</f>
        <v>0</v>
      </c>
      <c r="AI671" s="166" t="n">
        <f aca="false">IF(AI466=0,0,(SUMIF(Resource_Planning!$P$49:$P$356,$P671,Resource_Planning!AI$49:AI$356))/AI466-1)</f>
        <v>0</v>
      </c>
      <c r="AJ671" s="166" t="n">
        <f aca="false">IF(AJ466=0,0,(SUMIF(Resource_Planning!$P$49:$P$356,$P671,Resource_Planning!AJ$49:AJ$356))/AJ466-1)</f>
        <v>0</v>
      </c>
      <c r="AK671" s="166" t="n">
        <f aca="false">IF(AK466=0,0,(SUMIF(Resource_Planning!$P$49:$P$356,$P671,Resource_Planning!AK$49:AK$356))/AK466-1)</f>
        <v>0</v>
      </c>
      <c r="AL671" s="166" t="n">
        <f aca="false">IF(AL466=0,0,(SUMIF(Resource_Planning!$P$49:$P$356,$P671,Resource_Planning!AL$49:AL$356))/AL466-1)</f>
        <v>0</v>
      </c>
      <c r="AM671" s="166" t="n">
        <f aca="false">IF(AM466=0,0,(SUMIF(Resource_Planning!$P$49:$P$356,$P671,Resource_Planning!AM$49:AM$356))/AM466-1)</f>
        <v>0</v>
      </c>
      <c r="AN671" s="166" t="n">
        <f aca="false">IF(AN466=0,0,(SUMIF(Resource_Planning!$P$49:$P$356,$P671,Resource_Planning!AN$49:AN$356))/AN466-1)</f>
        <v>0</v>
      </c>
      <c r="AO671" s="166" t="n">
        <f aca="false">IF(AO466=0,0,(SUMIF(Resource_Planning!$P$49:$P$356,$P671,Resource_Planning!AO$49:AO$356))/AO466-1)</f>
        <v>0</v>
      </c>
      <c r="AP671" s="166" t="n">
        <f aca="false">IF(AP466=0,0,(SUMIF(Resource_Planning!$P$49:$P$356,$P671,Resource_Planning!AP$49:AP$356))/AP466-1)</f>
        <v>0</v>
      </c>
      <c r="AQ671" s="166" t="n">
        <f aca="false">IF(AQ466=0,0,(SUMIF(Resource_Planning!$P$49:$P$356,$P671,Resource_Planning!AQ$49:AQ$356))/AQ466-1)</f>
        <v>0</v>
      </c>
      <c r="AR671" s="166" t="n">
        <f aca="false">IF(AR466=0,0,(SUMIF(Resource_Planning!$P$49:$P$356,$P671,Resource_Planning!AR$49:AR$356))/AR466-1)</f>
        <v>0</v>
      </c>
      <c r="AS671" s="166" t="n">
        <f aca="false">IF(AS466=0,0,(SUMIF(Resource_Planning!$P$49:$P$356,$P671,Resource_Planning!AS$49:AS$356))/AS466-1)</f>
        <v>0</v>
      </c>
      <c r="AT671" s="166" t="n">
        <f aca="false">IF(AT466=0,0,(SUMIF(Resource_Planning!$P$49:$P$356,$P671,Resource_Planning!AT$49:AT$356))/AT466-1)</f>
        <v>0</v>
      </c>
      <c r="AU671" s="166" t="n">
        <f aca="false">IF(AU466=0,0,(SUMIF(Resource_Planning!$P$49:$P$356,$P671,Resource_Planning!AU$49:AU$356))/AU466-1)</f>
        <v>0</v>
      </c>
      <c r="AV671" s="166" t="n">
        <f aca="false">IF(AV466=0,0,(SUMIF(Resource_Planning!$P$49:$P$356,$P671,Resource_Planning!AV$49:AV$356))/AV466-1)</f>
        <v>0</v>
      </c>
      <c r="AW671" s="166" t="n">
        <f aca="false">IF(AW466=0,0,(SUMIF(Resource_Planning!$P$49:$P$356,$P671,Resource_Planning!AW$49:AW$356))/AW466-1)</f>
        <v>0</v>
      </c>
      <c r="AX671" s="166" t="n">
        <f aca="false">IF(AX466=0,0,(SUMIF(Resource_Planning!$P$49:$P$356,$P671,Resource_Planning!AX$49:AX$356))/AX466-1)</f>
        <v>0</v>
      </c>
      <c r="AY671" s="166" t="n">
        <f aca="false">IF(AY466=0,0,(SUMIF(Resource_Planning!$P$49:$P$356,$P671,Resource_Planning!AY$49:AY$356))/AY466-1)</f>
        <v>0</v>
      </c>
      <c r="AZ671" s="166" t="n">
        <f aca="false">IF(AZ466=0,0,(SUMIF(Resource_Planning!$P$49:$P$356,$P671,Resource_Planning!AZ$49:AZ$356))/AZ466-1)</f>
        <v>0</v>
      </c>
      <c r="BA671" s="166" t="n">
        <f aca="false">IF(BA466=0,0,(SUMIF(Resource_Planning!$P$49:$P$356,$P671,Resource_Planning!BA$49:BA$356))/BA466-1)</f>
        <v>0</v>
      </c>
      <c r="BB671" s="166" t="n">
        <f aca="false">IF(BB466=0,0,(SUMIF(Resource_Planning!$P$49:$P$356,$P671,Resource_Planning!BB$49:BB$356))/BB466-1)</f>
        <v>0</v>
      </c>
    </row>
    <row r="672" s="173" customFormat="true" ht="15" hidden="true" customHeight="false" outlineLevel="1" collapsed="false">
      <c r="E672" s="40"/>
      <c r="K672" s="40"/>
      <c r="L672" s="40"/>
      <c r="M672" s="40"/>
      <c r="N672" s="40"/>
      <c r="P672" s="177" t="n">
        <f aca="false">P330</f>
        <v>0</v>
      </c>
      <c r="Q672" s="40"/>
      <c r="R672" s="178"/>
      <c r="S672" s="166" t="n">
        <f aca="false">IF(S467=0,0,(SUMIF(Resource_Planning!$P$49:$P$356,$P672,Resource_Planning!S$49:S$356))/S467-1)</f>
        <v>0</v>
      </c>
      <c r="T672" s="166" t="n">
        <f aca="false">IF(T467=0,0,(SUMIF(Resource_Planning!$P$49:$P$356,$P672,Resource_Planning!T$49:T$356))/T467-1)</f>
        <v>0</v>
      </c>
      <c r="U672" s="166" t="n">
        <f aca="false">IF(U467=0,0,(SUMIF(Resource_Planning!$P$49:$P$356,$P672,Resource_Planning!U$49:U$356))/U467-1)</f>
        <v>0</v>
      </c>
      <c r="V672" s="166" t="n">
        <f aca="false">IF(V467=0,0,(SUMIF(Resource_Planning!$P$49:$P$356,$P672,Resource_Planning!V$49:V$356))/V467-1)</f>
        <v>0</v>
      </c>
      <c r="W672" s="166" t="n">
        <f aca="false">IF(W467=0,0,(SUMIF(Resource_Planning!$P$49:$P$356,$P672,Resource_Planning!W$49:W$356))/W467-1)</f>
        <v>0</v>
      </c>
      <c r="X672" s="166" t="n">
        <f aca="false">IF(X467=0,0,(SUMIF(Resource_Planning!$P$49:$P$356,$P672,Resource_Planning!X$49:X$356))/X467-1)</f>
        <v>0</v>
      </c>
      <c r="Y672" s="166" t="n">
        <f aca="false">IF(Y467=0,0,(SUMIF(Resource_Planning!$P$49:$P$356,$P672,Resource_Planning!Y$49:Y$356))/Y467-1)</f>
        <v>0</v>
      </c>
      <c r="Z672" s="166" t="n">
        <f aca="false">IF(Z467=0,0,(SUMIF(Resource_Planning!$P$49:$P$356,$P672,Resource_Planning!Z$49:Z$356))/Z467-1)</f>
        <v>0</v>
      </c>
      <c r="AA672" s="166" t="n">
        <f aca="false">IF(AA467=0,0,(SUMIF(Resource_Planning!$P$49:$P$356,$P672,Resource_Planning!AA$49:AA$356))/AA467-1)</f>
        <v>0</v>
      </c>
      <c r="AB672" s="166" t="n">
        <f aca="false">IF(AB467=0,0,(SUMIF(Resource_Planning!$P$49:$P$356,$P672,Resource_Planning!AB$49:AB$356))/AB467-1)</f>
        <v>0</v>
      </c>
      <c r="AC672" s="166" t="n">
        <f aca="false">IF(AC467=0,0,(SUMIF(Resource_Planning!$P$49:$P$356,$P672,Resource_Planning!AC$49:AC$356))/AC467-1)</f>
        <v>0</v>
      </c>
      <c r="AD672" s="166" t="n">
        <f aca="false">IF(AD467=0,0,(SUMIF(Resource_Planning!$P$49:$P$356,$P672,Resource_Planning!AD$49:AD$356))/AD467-1)</f>
        <v>0</v>
      </c>
      <c r="AE672" s="166" t="n">
        <f aca="false">IF(AE467=0,0,(SUMIF(Resource_Planning!$P$49:$P$356,$P672,Resource_Planning!AE$49:AE$356))/AE467-1)</f>
        <v>0</v>
      </c>
      <c r="AF672" s="166" t="n">
        <f aca="false">IF(AF467=0,0,(SUMIF(Resource_Planning!$P$49:$P$356,$P672,Resource_Planning!AF$49:AF$356))/AF467-1)</f>
        <v>0</v>
      </c>
      <c r="AG672" s="166" t="n">
        <f aca="false">IF(AG467=0,0,(SUMIF(Resource_Planning!$P$49:$P$356,$P672,Resource_Planning!AG$49:AG$356))/AG467-1)</f>
        <v>0</v>
      </c>
      <c r="AH672" s="166" t="n">
        <f aca="false">IF(AH467=0,0,(SUMIF(Resource_Planning!$P$49:$P$356,$P672,Resource_Planning!AH$49:AH$356))/AH467-1)</f>
        <v>0</v>
      </c>
      <c r="AI672" s="166" t="n">
        <f aca="false">IF(AI467=0,0,(SUMIF(Resource_Planning!$P$49:$P$356,$P672,Resource_Planning!AI$49:AI$356))/AI467-1)</f>
        <v>0</v>
      </c>
      <c r="AJ672" s="166" t="n">
        <f aca="false">IF(AJ467=0,0,(SUMIF(Resource_Planning!$P$49:$P$356,$P672,Resource_Planning!AJ$49:AJ$356))/AJ467-1)</f>
        <v>0</v>
      </c>
      <c r="AK672" s="166" t="n">
        <f aca="false">IF(AK467=0,0,(SUMIF(Resource_Planning!$P$49:$P$356,$P672,Resource_Planning!AK$49:AK$356))/AK467-1)</f>
        <v>0</v>
      </c>
      <c r="AL672" s="166" t="n">
        <f aca="false">IF(AL467=0,0,(SUMIF(Resource_Planning!$P$49:$P$356,$P672,Resource_Planning!AL$49:AL$356))/AL467-1)</f>
        <v>0</v>
      </c>
      <c r="AM672" s="166" t="n">
        <f aca="false">IF(AM467=0,0,(SUMIF(Resource_Planning!$P$49:$P$356,$P672,Resource_Planning!AM$49:AM$356))/AM467-1)</f>
        <v>0</v>
      </c>
      <c r="AN672" s="166" t="n">
        <f aca="false">IF(AN467=0,0,(SUMIF(Resource_Planning!$P$49:$P$356,$P672,Resource_Planning!AN$49:AN$356))/AN467-1)</f>
        <v>0</v>
      </c>
      <c r="AO672" s="166" t="n">
        <f aca="false">IF(AO467=0,0,(SUMIF(Resource_Planning!$P$49:$P$356,$P672,Resource_Planning!AO$49:AO$356))/AO467-1)</f>
        <v>0</v>
      </c>
      <c r="AP672" s="166" t="n">
        <f aca="false">IF(AP467=0,0,(SUMIF(Resource_Planning!$P$49:$P$356,$P672,Resource_Planning!AP$49:AP$356))/AP467-1)</f>
        <v>0</v>
      </c>
      <c r="AQ672" s="166" t="n">
        <f aca="false">IF(AQ467=0,0,(SUMIF(Resource_Planning!$P$49:$P$356,$P672,Resource_Planning!AQ$49:AQ$356))/AQ467-1)</f>
        <v>0</v>
      </c>
      <c r="AR672" s="166" t="n">
        <f aca="false">IF(AR467=0,0,(SUMIF(Resource_Planning!$P$49:$P$356,$P672,Resource_Planning!AR$49:AR$356))/AR467-1)</f>
        <v>0</v>
      </c>
      <c r="AS672" s="166" t="n">
        <f aca="false">IF(AS467=0,0,(SUMIF(Resource_Planning!$P$49:$P$356,$P672,Resource_Planning!AS$49:AS$356))/AS467-1)</f>
        <v>0</v>
      </c>
      <c r="AT672" s="166" t="n">
        <f aca="false">IF(AT467=0,0,(SUMIF(Resource_Planning!$P$49:$P$356,$P672,Resource_Planning!AT$49:AT$356))/AT467-1)</f>
        <v>0</v>
      </c>
      <c r="AU672" s="166" t="n">
        <f aca="false">IF(AU467=0,0,(SUMIF(Resource_Planning!$P$49:$P$356,$P672,Resource_Planning!AU$49:AU$356))/AU467-1)</f>
        <v>0</v>
      </c>
      <c r="AV672" s="166" t="n">
        <f aca="false">IF(AV467=0,0,(SUMIF(Resource_Planning!$P$49:$P$356,$P672,Resource_Planning!AV$49:AV$356))/AV467-1)</f>
        <v>0</v>
      </c>
      <c r="AW672" s="166" t="n">
        <f aca="false">IF(AW467=0,0,(SUMIF(Resource_Planning!$P$49:$P$356,$P672,Resource_Planning!AW$49:AW$356))/AW467-1)</f>
        <v>0</v>
      </c>
      <c r="AX672" s="166" t="n">
        <f aca="false">IF(AX467=0,0,(SUMIF(Resource_Planning!$P$49:$P$356,$P672,Resource_Planning!AX$49:AX$356))/AX467-1)</f>
        <v>0</v>
      </c>
      <c r="AY672" s="166" t="n">
        <f aca="false">IF(AY467=0,0,(SUMIF(Resource_Planning!$P$49:$P$356,$P672,Resource_Planning!AY$49:AY$356))/AY467-1)</f>
        <v>0</v>
      </c>
      <c r="AZ672" s="166" t="n">
        <f aca="false">IF(AZ467=0,0,(SUMIF(Resource_Planning!$P$49:$P$356,$P672,Resource_Planning!AZ$49:AZ$356))/AZ467-1)</f>
        <v>0</v>
      </c>
      <c r="BA672" s="166" t="n">
        <f aca="false">IF(BA467=0,0,(SUMIF(Resource_Planning!$P$49:$P$356,$P672,Resource_Planning!BA$49:BA$356))/BA467-1)</f>
        <v>0</v>
      </c>
      <c r="BB672" s="166" t="n">
        <f aca="false">IF(BB467=0,0,(SUMIF(Resource_Planning!$P$49:$P$356,$P672,Resource_Planning!BB$49:BB$356))/BB467-1)</f>
        <v>0</v>
      </c>
    </row>
    <row r="673" s="173" customFormat="true" ht="15" hidden="true" customHeight="false" outlineLevel="1" collapsed="false">
      <c r="E673" s="40"/>
      <c r="K673" s="40"/>
      <c r="L673" s="40"/>
      <c r="M673" s="40"/>
      <c r="N673" s="40"/>
      <c r="P673" s="177" t="n">
        <f aca="false">P331</f>
        <v>0</v>
      </c>
      <c r="Q673" s="40"/>
      <c r="R673" s="178"/>
      <c r="S673" s="166" t="n">
        <f aca="false">IF(S468=0,0,(SUMIF(Resource_Planning!$P$49:$P$356,$P673,Resource_Planning!S$49:S$356))/S468-1)</f>
        <v>0</v>
      </c>
      <c r="T673" s="166" t="n">
        <f aca="false">IF(T468=0,0,(SUMIF(Resource_Planning!$P$49:$P$356,$P673,Resource_Planning!T$49:T$356))/T468-1)</f>
        <v>0</v>
      </c>
      <c r="U673" s="166" t="n">
        <f aca="false">IF(U468=0,0,(SUMIF(Resource_Planning!$P$49:$P$356,$P673,Resource_Planning!U$49:U$356))/U468-1)</f>
        <v>0</v>
      </c>
      <c r="V673" s="166" t="n">
        <f aca="false">IF(V468=0,0,(SUMIF(Resource_Planning!$P$49:$P$356,$P673,Resource_Planning!V$49:V$356))/V468-1)</f>
        <v>0</v>
      </c>
      <c r="W673" s="166" t="n">
        <f aca="false">IF(W468=0,0,(SUMIF(Resource_Planning!$P$49:$P$356,$P673,Resource_Planning!W$49:W$356))/W468-1)</f>
        <v>0</v>
      </c>
      <c r="X673" s="166" t="n">
        <f aca="false">IF(X468=0,0,(SUMIF(Resource_Planning!$P$49:$P$356,$P673,Resource_Planning!X$49:X$356))/X468-1)</f>
        <v>0</v>
      </c>
      <c r="Y673" s="166" t="n">
        <f aca="false">IF(Y468=0,0,(SUMIF(Resource_Planning!$P$49:$P$356,$P673,Resource_Planning!Y$49:Y$356))/Y468-1)</f>
        <v>0</v>
      </c>
      <c r="Z673" s="166" t="n">
        <f aca="false">IF(Z468=0,0,(SUMIF(Resource_Planning!$P$49:$P$356,$P673,Resource_Planning!Z$49:Z$356))/Z468-1)</f>
        <v>0</v>
      </c>
      <c r="AA673" s="166" t="n">
        <f aca="false">IF(AA468=0,0,(SUMIF(Resource_Planning!$P$49:$P$356,$P673,Resource_Planning!AA$49:AA$356))/AA468-1)</f>
        <v>0</v>
      </c>
      <c r="AB673" s="166" t="n">
        <f aca="false">IF(AB468=0,0,(SUMIF(Resource_Planning!$P$49:$P$356,$P673,Resource_Planning!AB$49:AB$356))/AB468-1)</f>
        <v>0</v>
      </c>
      <c r="AC673" s="166" t="n">
        <f aca="false">IF(AC468=0,0,(SUMIF(Resource_Planning!$P$49:$P$356,$P673,Resource_Planning!AC$49:AC$356))/AC468-1)</f>
        <v>0</v>
      </c>
      <c r="AD673" s="166" t="n">
        <f aca="false">IF(AD468=0,0,(SUMIF(Resource_Planning!$P$49:$P$356,$P673,Resource_Planning!AD$49:AD$356))/AD468-1)</f>
        <v>0</v>
      </c>
      <c r="AE673" s="166" t="n">
        <f aca="false">IF(AE468=0,0,(SUMIF(Resource_Planning!$P$49:$P$356,$P673,Resource_Planning!AE$49:AE$356))/AE468-1)</f>
        <v>0</v>
      </c>
      <c r="AF673" s="166" t="n">
        <f aca="false">IF(AF468=0,0,(SUMIF(Resource_Planning!$P$49:$P$356,$P673,Resource_Planning!AF$49:AF$356))/AF468-1)</f>
        <v>0</v>
      </c>
      <c r="AG673" s="166" t="n">
        <f aca="false">IF(AG468=0,0,(SUMIF(Resource_Planning!$P$49:$P$356,$P673,Resource_Planning!AG$49:AG$356))/AG468-1)</f>
        <v>0</v>
      </c>
      <c r="AH673" s="166" t="n">
        <f aca="false">IF(AH468=0,0,(SUMIF(Resource_Planning!$P$49:$P$356,$P673,Resource_Planning!AH$49:AH$356))/AH468-1)</f>
        <v>0</v>
      </c>
      <c r="AI673" s="166" t="n">
        <f aca="false">IF(AI468=0,0,(SUMIF(Resource_Planning!$P$49:$P$356,$P673,Resource_Planning!AI$49:AI$356))/AI468-1)</f>
        <v>0</v>
      </c>
      <c r="AJ673" s="166" t="n">
        <f aca="false">IF(AJ468=0,0,(SUMIF(Resource_Planning!$P$49:$P$356,$P673,Resource_Planning!AJ$49:AJ$356))/AJ468-1)</f>
        <v>0</v>
      </c>
      <c r="AK673" s="166" t="n">
        <f aca="false">IF(AK468=0,0,(SUMIF(Resource_Planning!$P$49:$P$356,$P673,Resource_Planning!AK$49:AK$356))/AK468-1)</f>
        <v>0</v>
      </c>
      <c r="AL673" s="166" t="n">
        <f aca="false">IF(AL468=0,0,(SUMIF(Resource_Planning!$P$49:$P$356,$P673,Resource_Planning!AL$49:AL$356))/AL468-1)</f>
        <v>0</v>
      </c>
      <c r="AM673" s="166" t="n">
        <f aca="false">IF(AM468=0,0,(SUMIF(Resource_Planning!$P$49:$P$356,$P673,Resource_Planning!AM$49:AM$356))/AM468-1)</f>
        <v>0</v>
      </c>
      <c r="AN673" s="166" t="n">
        <f aca="false">IF(AN468=0,0,(SUMIF(Resource_Planning!$P$49:$P$356,$P673,Resource_Planning!AN$49:AN$356))/AN468-1)</f>
        <v>0</v>
      </c>
      <c r="AO673" s="166" t="n">
        <f aca="false">IF(AO468=0,0,(SUMIF(Resource_Planning!$P$49:$P$356,$P673,Resource_Planning!AO$49:AO$356))/AO468-1)</f>
        <v>0</v>
      </c>
      <c r="AP673" s="166" t="n">
        <f aca="false">IF(AP468=0,0,(SUMIF(Resource_Planning!$P$49:$P$356,$P673,Resource_Planning!AP$49:AP$356))/AP468-1)</f>
        <v>0</v>
      </c>
      <c r="AQ673" s="166" t="n">
        <f aca="false">IF(AQ468=0,0,(SUMIF(Resource_Planning!$P$49:$P$356,$P673,Resource_Planning!AQ$49:AQ$356))/AQ468-1)</f>
        <v>0</v>
      </c>
      <c r="AR673" s="166" t="n">
        <f aca="false">IF(AR468=0,0,(SUMIF(Resource_Planning!$P$49:$P$356,$P673,Resource_Planning!AR$49:AR$356))/AR468-1)</f>
        <v>0</v>
      </c>
      <c r="AS673" s="166" t="n">
        <f aca="false">IF(AS468=0,0,(SUMIF(Resource_Planning!$P$49:$P$356,$P673,Resource_Planning!AS$49:AS$356))/AS468-1)</f>
        <v>0</v>
      </c>
      <c r="AT673" s="166" t="n">
        <f aca="false">IF(AT468=0,0,(SUMIF(Resource_Planning!$P$49:$P$356,$P673,Resource_Planning!AT$49:AT$356))/AT468-1)</f>
        <v>0</v>
      </c>
      <c r="AU673" s="166" t="n">
        <f aca="false">IF(AU468=0,0,(SUMIF(Resource_Planning!$P$49:$P$356,$P673,Resource_Planning!AU$49:AU$356))/AU468-1)</f>
        <v>0</v>
      </c>
      <c r="AV673" s="166" t="n">
        <f aca="false">IF(AV468=0,0,(SUMIF(Resource_Planning!$P$49:$P$356,$P673,Resource_Planning!AV$49:AV$356))/AV468-1)</f>
        <v>0</v>
      </c>
      <c r="AW673" s="166" t="n">
        <f aca="false">IF(AW468=0,0,(SUMIF(Resource_Planning!$P$49:$P$356,$P673,Resource_Planning!AW$49:AW$356))/AW468-1)</f>
        <v>0</v>
      </c>
      <c r="AX673" s="166" t="n">
        <f aca="false">IF(AX468=0,0,(SUMIF(Resource_Planning!$P$49:$P$356,$P673,Resource_Planning!AX$49:AX$356))/AX468-1)</f>
        <v>0</v>
      </c>
      <c r="AY673" s="166" t="n">
        <f aca="false">IF(AY468=0,0,(SUMIF(Resource_Planning!$P$49:$P$356,$P673,Resource_Planning!AY$49:AY$356))/AY468-1)</f>
        <v>0</v>
      </c>
      <c r="AZ673" s="166" t="n">
        <f aca="false">IF(AZ468=0,0,(SUMIF(Resource_Planning!$P$49:$P$356,$P673,Resource_Planning!AZ$49:AZ$356))/AZ468-1)</f>
        <v>0</v>
      </c>
      <c r="BA673" s="166" t="n">
        <f aca="false">IF(BA468=0,0,(SUMIF(Resource_Planning!$P$49:$P$356,$P673,Resource_Planning!BA$49:BA$356))/BA468-1)</f>
        <v>0</v>
      </c>
      <c r="BB673" s="166" t="n">
        <f aca="false">IF(BB468=0,0,(SUMIF(Resource_Planning!$P$49:$P$356,$P673,Resource_Planning!BB$49:BB$356))/BB468-1)</f>
        <v>0</v>
      </c>
    </row>
    <row r="674" s="173" customFormat="true" ht="15" hidden="true" customHeight="false" outlineLevel="1" collapsed="false">
      <c r="E674" s="40"/>
      <c r="K674" s="40"/>
      <c r="L674" s="40"/>
      <c r="M674" s="40"/>
      <c r="N674" s="40"/>
      <c r="P674" s="177" t="n">
        <f aca="false">P332</f>
        <v>0</v>
      </c>
      <c r="Q674" s="40"/>
      <c r="R674" s="178"/>
      <c r="S674" s="166" t="n">
        <f aca="false">IF(S469=0,0,(SUMIF(Resource_Planning!$P$49:$P$356,$P674,Resource_Planning!S$49:S$356))/S469-1)</f>
        <v>0</v>
      </c>
      <c r="T674" s="166" t="n">
        <f aca="false">IF(T469=0,0,(SUMIF(Resource_Planning!$P$49:$P$356,$P674,Resource_Planning!T$49:T$356))/T469-1)</f>
        <v>0</v>
      </c>
      <c r="U674" s="166" t="n">
        <f aca="false">IF(U469=0,0,(SUMIF(Resource_Planning!$P$49:$P$356,$P674,Resource_Planning!U$49:U$356))/U469-1)</f>
        <v>0</v>
      </c>
      <c r="V674" s="166" t="n">
        <f aca="false">IF(V469=0,0,(SUMIF(Resource_Planning!$P$49:$P$356,$P674,Resource_Planning!V$49:V$356))/V469-1)</f>
        <v>0</v>
      </c>
      <c r="W674" s="166" t="n">
        <f aca="false">IF(W469=0,0,(SUMIF(Resource_Planning!$P$49:$P$356,$P674,Resource_Planning!W$49:W$356))/W469-1)</f>
        <v>0</v>
      </c>
      <c r="X674" s="166" t="n">
        <f aca="false">IF(X469=0,0,(SUMIF(Resource_Planning!$P$49:$P$356,$P674,Resource_Planning!X$49:X$356))/X469-1)</f>
        <v>0</v>
      </c>
      <c r="Y674" s="166" t="n">
        <f aca="false">IF(Y469=0,0,(SUMIF(Resource_Planning!$P$49:$P$356,$P674,Resource_Planning!Y$49:Y$356))/Y469-1)</f>
        <v>0</v>
      </c>
      <c r="Z674" s="166" t="n">
        <f aca="false">IF(Z469=0,0,(SUMIF(Resource_Planning!$P$49:$P$356,$P674,Resource_Planning!Z$49:Z$356))/Z469-1)</f>
        <v>0</v>
      </c>
      <c r="AA674" s="166" t="n">
        <f aca="false">IF(AA469=0,0,(SUMIF(Resource_Planning!$P$49:$P$356,$P674,Resource_Planning!AA$49:AA$356))/AA469-1)</f>
        <v>0</v>
      </c>
      <c r="AB674" s="166" t="n">
        <f aca="false">IF(AB469=0,0,(SUMIF(Resource_Planning!$P$49:$P$356,$P674,Resource_Planning!AB$49:AB$356))/AB469-1)</f>
        <v>0</v>
      </c>
      <c r="AC674" s="166" t="n">
        <f aca="false">IF(AC469=0,0,(SUMIF(Resource_Planning!$P$49:$P$356,$P674,Resource_Planning!AC$49:AC$356))/AC469-1)</f>
        <v>0</v>
      </c>
      <c r="AD674" s="166" t="n">
        <f aca="false">IF(AD469=0,0,(SUMIF(Resource_Planning!$P$49:$P$356,$P674,Resource_Planning!AD$49:AD$356))/AD469-1)</f>
        <v>0</v>
      </c>
      <c r="AE674" s="166" t="n">
        <f aca="false">IF(AE469=0,0,(SUMIF(Resource_Planning!$P$49:$P$356,$P674,Resource_Planning!AE$49:AE$356))/AE469-1)</f>
        <v>0</v>
      </c>
      <c r="AF674" s="166" t="n">
        <f aca="false">IF(AF469=0,0,(SUMIF(Resource_Planning!$P$49:$P$356,$P674,Resource_Planning!AF$49:AF$356))/AF469-1)</f>
        <v>0</v>
      </c>
      <c r="AG674" s="166" t="n">
        <f aca="false">IF(AG469=0,0,(SUMIF(Resource_Planning!$P$49:$P$356,$P674,Resource_Planning!AG$49:AG$356))/AG469-1)</f>
        <v>0</v>
      </c>
      <c r="AH674" s="166" t="n">
        <f aca="false">IF(AH469=0,0,(SUMIF(Resource_Planning!$P$49:$P$356,$P674,Resource_Planning!AH$49:AH$356))/AH469-1)</f>
        <v>0</v>
      </c>
      <c r="AI674" s="166" t="n">
        <f aca="false">IF(AI469=0,0,(SUMIF(Resource_Planning!$P$49:$P$356,$P674,Resource_Planning!AI$49:AI$356))/AI469-1)</f>
        <v>0</v>
      </c>
      <c r="AJ674" s="166" t="n">
        <f aca="false">IF(AJ469=0,0,(SUMIF(Resource_Planning!$P$49:$P$356,$P674,Resource_Planning!AJ$49:AJ$356))/AJ469-1)</f>
        <v>0</v>
      </c>
      <c r="AK674" s="166" t="n">
        <f aca="false">IF(AK469=0,0,(SUMIF(Resource_Planning!$P$49:$P$356,$P674,Resource_Planning!AK$49:AK$356))/AK469-1)</f>
        <v>0</v>
      </c>
      <c r="AL674" s="166" t="n">
        <f aca="false">IF(AL469=0,0,(SUMIF(Resource_Planning!$P$49:$P$356,$P674,Resource_Planning!AL$49:AL$356))/AL469-1)</f>
        <v>0</v>
      </c>
      <c r="AM674" s="166" t="n">
        <f aca="false">IF(AM469=0,0,(SUMIF(Resource_Planning!$P$49:$P$356,$P674,Resource_Planning!AM$49:AM$356))/AM469-1)</f>
        <v>0</v>
      </c>
      <c r="AN674" s="166" t="n">
        <f aca="false">IF(AN469=0,0,(SUMIF(Resource_Planning!$P$49:$P$356,$P674,Resource_Planning!AN$49:AN$356))/AN469-1)</f>
        <v>0</v>
      </c>
      <c r="AO674" s="166" t="n">
        <f aca="false">IF(AO469=0,0,(SUMIF(Resource_Planning!$P$49:$P$356,$P674,Resource_Planning!AO$49:AO$356))/AO469-1)</f>
        <v>0</v>
      </c>
      <c r="AP674" s="166" t="n">
        <f aca="false">IF(AP469=0,0,(SUMIF(Resource_Planning!$P$49:$P$356,$P674,Resource_Planning!AP$49:AP$356))/AP469-1)</f>
        <v>0</v>
      </c>
      <c r="AQ674" s="166" t="n">
        <f aca="false">IF(AQ469=0,0,(SUMIF(Resource_Planning!$P$49:$P$356,$P674,Resource_Planning!AQ$49:AQ$356))/AQ469-1)</f>
        <v>0</v>
      </c>
      <c r="AR674" s="166" t="n">
        <f aca="false">IF(AR469=0,0,(SUMIF(Resource_Planning!$P$49:$P$356,$P674,Resource_Planning!AR$49:AR$356))/AR469-1)</f>
        <v>0</v>
      </c>
      <c r="AS674" s="166" t="n">
        <f aca="false">IF(AS469=0,0,(SUMIF(Resource_Planning!$P$49:$P$356,$P674,Resource_Planning!AS$49:AS$356))/AS469-1)</f>
        <v>0</v>
      </c>
      <c r="AT674" s="166" t="n">
        <f aca="false">IF(AT469=0,0,(SUMIF(Resource_Planning!$P$49:$P$356,$P674,Resource_Planning!AT$49:AT$356))/AT469-1)</f>
        <v>0</v>
      </c>
      <c r="AU674" s="166" t="n">
        <f aca="false">IF(AU469=0,0,(SUMIF(Resource_Planning!$P$49:$P$356,$P674,Resource_Planning!AU$49:AU$356))/AU469-1)</f>
        <v>0</v>
      </c>
      <c r="AV674" s="166" t="n">
        <f aca="false">IF(AV469=0,0,(SUMIF(Resource_Planning!$P$49:$P$356,$P674,Resource_Planning!AV$49:AV$356))/AV469-1)</f>
        <v>0</v>
      </c>
      <c r="AW674" s="166" t="n">
        <f aca="false">IF(AW469=0,0,(SUMIF(Resource_Planning!$P$49:$P$356,$P674,Resource_Planning!AW$49:AW$356))/AW469-1)</f>
        <v>0</v>
      </c>
      <c r="AX674" s="166" t="n">
        <f aca="false">IF(AX469=0,0,(SUMIF(Resource_Planning!$P$49:$P$356,$P674,Resource_Planning!AX$49:AX$356))/AX469-1)</f>
        <v>0</v>
      </c>
      <c r="AY674" s="166" t="n">
        <f aca="false">IF(AY469=0,0,(SUMIF(Resource_Planning!$P$49:$P$356,$P674,Resource_Planning!AY$49:AY$356))/AY469-1)</f>
        <v>0</v>
      </c>
      <c r="AZ674" s="166" t="n">
        <f aca="false">IF(AZ469=0,0,(SUMIF(Resource_Planning!$P$49:$P$356,$P674,Resource_Planning!AZ$49:AZ$356))/AZ469-1)</f>
        <v>0</v>
      </c>
      <c r="BA674" s="166" t="n">
        <f aca="false">IF(BA469=0,0,(SUMIF(Resource_Planning!$P$49:$P$356,$P674,Resource_Planning!BA$49:BA$356))/BA469-1)</f>
        <v>0</v>
      </c>
      <c r="BB674" s="166" t="n">
        <f aca="false">IF(BB469=0,0,(SUMIF(Resource_Planning!$P$49:$P$356,$P674,Resource_Planning!BB$49:BB$356))/BB469-1)</f>
        <v>0</v>
      </c>
    </row>
    <row r="675" s="173" customFormat="true" ht="15" hidden="true" customHeight="false" outlineLevel="1" collapsed="false">
      <c r="E675" s="40"/>
      <c r="K675" s="40"/>
      <c r="L675" s="40"/>
      <c r="M675" s="40"/>
      <c r="N675" s="40"/>
      <c r="P675" s="177" t="n">
        <f aca="false">P333</f>
        <v>0</v>
      </c>
      <c r="Q675" s="40"/>
      <c r="R675" s="178"/>
      <c r="S675" s="166" t="n">
        <f aca="false">IF(S470=0,0,(SUMIF(Resource_Planning!$P$49:$P$356,$P675,Resource_Planning!S$49:S$356))/S470-1)</f>
        <v>0</v>
      </c>
      <c r="T675" s="166" t="n">
        <f aca="false">IF(T470=0,0,(SUMIF(Resource_Planning!$P$49:$P$356,$P675,Resource_Planning!T$49:T$356))/T470-1)</f>
        <v>0</v>
      </c>
      <c r="U675" s="166" t="n">
        <f aca="false">IF(U470=0,0,(SUMIF(Resource_Planning!$P$49:$P$356,$P675,Resource_Planning!U$49:U$356))/U470-1)</f>
        <v>0</v>
      </c>
      <c r="V675" s="166" t="n">
        <f aca="false">IF(V470=0,0,(SUMIF(Resource_Planning!$P$49:$P$356,$P675,Resource_Planning!V$49:V$356))/V470-1)</f>
        <v>0</v>
      </c>
      <c r="W675" s="166" t="n">
        <f aca="false">IF(W470=0,0,(SUMIF(Resource_Planning!$P$49:$P$356,$P675,Resource_Planning!W$49:W$356))/W470-1)</f>
        <v>0</v>
      </c>
      <c r="X675" s="166" t="n">
        <f aca="false">IF(X470=0,0,(SUMIF(Resource_Planning!$P$49:$P$356,$P675,Resource_Planning!X$49:X$356))/X470-1)</f>
        <v>0</v>
      </c>
      <c r="Y675" s="166" t="n">
        <f aca="false">IF(Y470=0,0,(SUMIF(Resource_Planning!$P$49:$P$356,$P675,Resource_Planning!Y$49:Y$356))/Y470-1)</f>
        <v>0</v>
      </c>
      <c r="Z675" s="166" t="n">
        <f aca="false">IF(Z470=0,0,(SUMIF(Resource_Planning!$P$49:$P$356,$P675,Resource_Planning!Z$49:Z$356))/Z470-1)</f>
        <v>0</v>
      </c>
      <c r="AA675" s="166" t="n">
        <f aca="false">IF(AA470=0,0,(SUMIF(Resource_Planning!$P$49:$P$356,$P675,Resource_Planning!AA$49:AA$356))/AA470-1)</f>
        <v>0</v>
      </c>
      <c r="AB675" s="166" t="n">
        <f aca="false">IF(AB470=0,0,(SUMIF(Resource_Planning!$P$49:$P$356,$P675,Resource_Planning!AB$49:AB$356))/AB470-1)</f>
        <v>0</v>
      </c>
      <c r="AC675" s="166" t="n">
        <f aca="false">IF(AC470=0,0,(SUMIF(Resource_Planning!$P$49:$P$356,$P675,Resource_Planning!AC$49:AC$356))/AC470-1)</f>
        <v>0</v>
      </c>
      <c r="AD675" s="166" t="n">
        <f aca="false">IF(AD470=0,0,(SUMIF(Resource_Planning!$P$49:$P$356,$P675,Resource_Planning!AD$49:AD$356))/AD470-1)</f>
        <v>0</v>
      </c>
      <c r="AE675" s="166" t="n">
        <f aca="false">IF(AE470=0,0,(SUMIF(Resource_Planning!$P$49:$P$356,$P675,Resource_Planning!AE$49:AE$356))/AE470-1)</f>
        <v>0</v>
      </c>
      <c r="AF675" s="166" t="n">
        <f aca="false">IF(AF470=0,0,(SUMIF(Resource_Planning!$P$49:$P$356,$P675,Resource_Planning!AF$49:AF$356))/AF470-1)</f>
        <v>0</v>
      </c>
      <c r="AG675" s="166" t="n">
        <f aca="false">IF(AG470=0,0,(SUMIF(Resource_Planning!$P$49:$P$356,$P675,Resource_Planning!AG$49:AG$356))/AG470-1)</f>
        <v>0</v>
      </c>
      <c r="AH675" s="166" t="n">
        <f aca="false">IF(AH470=0,0,(SUMIF(Resource_Planning!$P$49:$P$356,$P675,Resource_Planning!AH$49:AH$356))/AH470-1)</f>
        <v>0</v>
      </c>
      <c r="AI675" s="166" t="n">
        <f aca="false">IF(AI470=0,0,(SUMIF(Resource_Planning!$P$49:$P$356,$P675,Resource_Planning!AI$49:AI$356))/AI470-1)</f>
        <v>0</v>
      </c>
      <c r="AJ675" s="166" t="n">
        <f aca="false">IF(AJ470=0,0,(SUMIF(Resource_Planning!$P$49:$P$356,$P675,Resource_Planning!AJ$49:AJ$356))/AJ470-1)</f>
        <v>0</v>
      </c>
      <c r="AK675" s="166" t="n">
        <f aca="false">IF(AK470=0,0,(SUMIF(Resource_Planning!$P$49:$P$356,$P675,Resource_Planning!AK$49:AK$356))/AK470-1)</f>
        <v>0</v>
      </c>
      <c r="AL675" s="166" t="n">
        <f aca="false">IF(AL470=0,0,(SUMIF(Resource_Planning!$P$49:$P$356,$P675,Resource_Planning!AL$49:AL$356))/AL470-1)</f>
        <v>0</v>
      </c>
      <c r="AM675" s="166" t="n">
        <f aca="false">IF(AM470=0,0,(SUMIF(Resource_Planning!$P$49:$P$356,$P675,Resource_Planning!AM$49:AM$356))/AM470-1)</f>
        <v>0</v>
      </c>
      <c r="AN675" s="166" t="n">
        <f aca="false">IF(AN470=0,0,(SUMIF(Resource_Planning!$P$49:$P$356,$P675,Resource_Planning!AN$49:AN$356))/AN470-1)</f>
        <v>0</v>
      </c>
      <c r="AO675" s="166" t="n">
        <f aca="false">IF(AO470=0,0,(SUMIF(Resource_Planning!$P$49:$P$356,$P675,Resource_Planning!AO$49:AO$356))/AO470-1)</f>
        <v>0</v>
      </c>
      <c r="AP675" s="166" t="n">
        <f aca="false">IF(AP470=0,0,(SUMIF(Resource_Planning!$P$49:$P$356,$P675,Resource_Planning!AP$49:AP$356))/AP470-1)</f>
        <v>0</v>
      </c>
      <c r="AQ675" s="166" t="n">
        <f aca="false">IF(AQ470=0,0,(SUMIF(Resource_Planning!$P$49:$P$356,$P675,Resource_Planning!AQ$49:AQ$356))/AQ470-1)</f>
        <v>0</v>
      </c>
      <c r="AR675" s="166" t="n">
        <f aca="false">IF(AR470=0,0,(SUMIF(Resource_Planning!$P$49:$P$356,$P675,Resource_Planning!AR$49:AR$356))/AR470-1)</f>
        <v>0</v>
      </c>
      <c r="AS675" s="166" t="n">
        <f aca="false">IF(AS470=0,0,(SUMIF(Resource_Planning!$P$49:$P$356,$P675,Resource_Planning!AS$49:AS$356))/AS470-1)</f>
        <v>0</v>
      </c>
      <c r="AT675" s="166" t="n">
        <f aca="false">IF(AT470=0,0,(SUMIF(Resource_Planning!$P$49:$P$356,$P675,Resource_Planning!AT$49:AT$356))/AT470-1)</f>
        <v>0</v>
      </c>
      <c r="AU675" s="166" t="n">
        <f aca="false">IF(AU470=0,0,(SUMIF(Resource_Planning!$P$49:$P$356,$P675,Resource_Planning!AU$49:AU$356))/AU470-1)</f>
        <v>0</v>
      </c>
      <c r="AV675" s="166" t="n">
        <f aca="false">IF(AV470=0,0,(SUMIF(Resource_Planning!$P$49:$P$356,$P675,Resource_Planning!AV$49:AV$356))/AV470-1)</f>
        <v>0</v>
      </c>
      <c r="AW675" s="166" t="n">
        <f aca="false">IF(AW470=0,0,(SUMIF(Resource_Planning!$P$49:$P$356,$P675,Resource_Planning!AW$49:AW$356))/AW470-1)</f>
        <v>0</v>
      </c>
      <c r="AX675" s="166" t="n">
        <f aca="false">IF(AX470=0,0,(SUMIF(Resource_Planning!$P$49:$P$356,$P675,Resource_Planning!AX$49:AX$356))/AX470-1)</f>
        <v>0</v>
      </c>
      <c r="AY675" s="166" t="n">
        <f aca="false">IF(AY470=0,0,(SUMIF(Resource_Planning!$P$49:$P$356,$P675,Resource_Planning!AY$49:AY$356))/AY470-1)</f>
        <v>0</v>
      </c>
      <c r="AZ675" s="166" t="n">
        <f aca="false">IF(AZ470=0,0,(SUMIF(Resource_Planning!$P$49:$P$356,$P675,Resource_Planning!AZ$49:AZ$356))/AZ470-1)</f>
        <v>0</v>
      </c>
      <c r="BA675" s="166" t="n">
        <f aca="false">IF(BA470=0,0,(SUMIF(Resource_Planning!$P$49:$P$356,$P675,Resource_Planning!BA$49:BA$356))/BA470-1)</f>
        <v>0</v>
      </c>
      <c r="BB675" s="166" t="n">
        <f aca="false">IF(BB470=0,0,(SUMIF(Resource_Planning!$P$49:$P$356,$P675,Resource_Planning!BB$49:BB$356))/BB470-1)</f>
        <v>0</v>
      </c>
    </row>
    <row r="676" s="173" customFormat="true" ht="15" hidden="true" customHeight="false" outlineLevel="1" collapsed="false">
      <c r="E676" s="40"/>
      <c r="K676" s="40"/>
      <c r="L676" s="40"/>
      <c r="M676" s="40"/>
      <c r="N676" s="40"/>
      <c r="P676" s="177" t="n">
        <f aca="false">P334</f>
        <v>0</v>
      </c>
      <c r="Q676" s="40"/>
      <c r="R676" s="178"/>
      <c r="S676" s="166" t="n">
        <f aca="false">IF(S471=0,0,(SUMIF(Resource_Planning!$P$49:$P$356,$P676,Resource_Planning!S$49:S$356))/S471-1)</f>
        <v>0</v>
      </c>
      <c r="T676" s="166" t="n">
        <f aca="false">IF(T471=0,0,(SUMIF(Resource_Planning!$P$49:$P$356,$P676,Resource_Planning!T$49:T$356))/T471-1)</f>
        <v>0</v>
      </c>
      <c r="U676" s="166" t="n">
        <f aca="false">IF(U471=0,0,(SUMIF(Resource_Planning!$P$49:$P$356,$P676,Resource_Planning!U$49:U$356))/U471-1)</f>
        <v>0</v>
      </c>
      <c r="V676" s="166" t="n">
        <f aca="false">IF(V471=0,0,(SUMIF(Resource_Planning!$P$49:$P$356,$P676,Resource_Planning!V$49:V$356))/V471-1)</f>
        <v>0</v>
      </c>
      <c r="W676" s="166" t="n">
        <f aca="false">IF(W471=0,0,(SUMIF(Resource_Planning!$P$49:$P$356,$P676,Resource_Planning!W$49:W$356))/W471-1)</f>
        <v>0</v>
      </c>
      <c r="X676" s="166" t="n">
        <f aca="false">IF(X471=0,0,(SUMIF(Resource_Planning!$P$49:$P$356,$P676,Resource_Planning!X$49:X$356))/X471-1)</f>
        <v>0</v>
      </c>
      <c r="Y676" s="166" t="n">
        <f aca="false">IF(Y471=0,0,(SUMIF(Resource_Planning!$P$49:$P$356,$P676,Resource_Planning!Y$49:Y$356))/Y471-1)</f>
        <v>0</v>
      </c>
      <c r="Z676" s="166" t="n">
        <f aca="false">IF(Z471=0,0,(SUMIF(Resource_Planning!$P$49:$P$356,$P676,Resource_Planning!Z$49:Z$356))/Z471-1)</f>
        <v>0</v>
      </c>
      <c r="AA676" s="166" t="n">
        <f aca="false">IF(AA471=0,0,(SUMIF(Resource_Planning!$P$49:$P$356,$P676,Resource_Planning!AA$49:AA$356))/AA471-1)</f>
        <v>0</v>
      </c>
      <c r="AB676" s="166" t="n">
        <f aca="false">IF(AB471=0,0,(SUMIF(Resource_Planning!$P$49:$P$356,$P676,Resource_Planning!AB$49:AB$356))/AB471-1)</f>
        <v>0</v>
      </c>
      <c r="AC676" s="166" t="n">
        <f aca="false">IF(AC471=0,0,(SUMIF(Resource_Planning!$P$49:$P$356,$P676,Resource_Planning!AC$49:AC$356))/AC471-1)</f>
        <v>0</v>
      </c>
      <c r="AD676" s="166" t="n">
        <f aca="false">IF(AD471=0,0,(SUMIF(Resource_Planning!$P$49:$P$356,$P676,Resource_Planning!AD$49:AD$356))/AD471-1)</f>
        <v>0</v>
      </c>
      <c r="AE676" s="166" t="n">
        <f aca="false">IF(AE471=0,0,(SUMIF(Resource_Planning!$P$49:$P$356,$P676,Resource_Planning!AE$49:AE$356))/AE471-1)</f>
        <v>0</v>
      </c>
      <c r="AF676" s="166" t="n">
        <f aca="false">IF(AF471=0,0,(SUMIF(Resource_Planning!$P$49:$P$356,$P676,Resource_Planning!AF$49:AF$356))/AF471-1)</f>
        <v>0</v>
      </c>
      <c r="AG676" s="166" t="n">
        <f aca="false">IF(AG471=0,0,(SUMIF(Resource_Planning!$P$49:$P$356,$P676,Resource_Planning!AG$49:AG$356))/AG471-1)</f>
        <v>0</v>
      </c>
      <c r="AH676" s="166" t="n">
        <f aca="false">IF(AH471=0,0,(SUMIF(Resource_Planning!$P$49:$P$356,$P676,Resource_Planning!AH$49:AH$356))/AH471-1)</f>
        <v>0</v>
      </c>
      <c r="AI676" s="166" t="n">
        <f aca="false">IF(AI471=0,0,(SUMIF(Resource_Planning!$P$49:$P$356,$P676,Resource_Planning!AI$49:AI$356))/AI471-1)</f>
        <v>0</v>
      </c>
      <c r="AJ676" s="166" t="n">
        <f aca="false">IF(AJ471=0,0,(SUMIF(Resource_Planning!$P$49:$P$356,$P676,Resource_Planning!AJ$49:AJ$356))/AJ471-1)</f>
        <v>0</v>
      </c>
      <c r="AK676" s="166" t="n">
        <f aca="false">IF(AK471=0,0,(SUMIF(Resource_Planning!$P$49:$P$356,$P676,Resource_Planning!AK$49:AK$356))/AK471-1)</f>
        <v>0</v>
      </c>
      <c r="AL676" s="166" t="n">
        <f aca="false">IF(AL471=0,0,(SUMIF(Resource_Planning!$P$49:$P$356,$P676,Resource_Planning!AL$49:AL$356))/AL471-1)</f>
        <v>0</v>
      </c>
      <c r="AM676" s="166" t="n">
        <f aca="false">IF(AM471=0,0,(SUMIF(Resource_Planning!$P$49:$P$356,$P676,Resource_Planning!AM$49:AM$356))/AM471-1)</f>
        <v>0</v>
      </c>
      <c r="AN676" s="166" t="n">
        <f aca="false">IF(AN471=0,0,(SUMIF(Resource_Planning!$P$49:$P$356,$P676,Resource_Planning!AN$49:AN$356))/AN471-1)</f>
        <v>0</v>
      </c>
      <c r="AO676" s="166" t="n">
        <f aca="false">IF(AO471=0,0,(SUMIF(Resource_Planning!$P$49:$P$356,$P676,Resource_Planning!AO$49:AO$356))/AO471-1)</f>
        <v>0</v>
      </c>
      <c r="AP676" s="166" t="n">
        <f aca="false">IF(AP471=0,0,(SUMIF(Resource_Planning!$P$49:$P$356,$P676,Resource_Planning!AP$49:AP$356))/AP471-1)</f>
        <v>0</v>
      </c>
      <c r="AQ676" s="166" t="n">
        <f aca="false">IF(AQ471=0,0,(SUMIF(Resource_Planning!$P$49:$P$356,$P676,Resource_Planning!AQ$49:AQ$356))/AQ471-1)</f>
        <v>0</v>
      </c>
      <c r="AR676" s="166" t="n">
        <f aca="false">IF(AR471=0,0,(SUMIF(Resource_Planning!$P$49:$P$356,$P676,Resource_Planning!AR$49:AR$356))/AR471-1)</f>
        <v>0</v>
      </c>
      <c r="AS676" s="166" t="n">
        <f aca="false">IF(AS471=0,0,(SUMIF(Resource_Planning!$P$49:$P$356,$P676,Resource_Planning!AS$49:AS$356))/AS471-1)</f>
        <v>0</v>
      </c>
      <c r="AT676" s="166" t="n">
        <f aca="false">IF(AT471=0,0,(SUMIF(Resource_Planning!$P$49:$P$356,$P676,Resource_Planning!AT$49:AT$356))/AT471-1)</f>
        <v>0</v>
      </c>
      <c r="AU676" s="166" t="n">
        <f aca="false">IF(AU471=0,0,(SUMIF(Resource_Planning!$P$49:$P$356,$P676,Resource_Planning!AU$49:AU$356))/AU471-1)</f>
        <v>0</v>
      </c>
      <c r="AV676" s="166" t="n">
        <f aca="false">IF(AV471=0,0,(SUMIF(Resource_Planning!$P$49:$P$356,$P676,Resource_Planning!AV$49:AV$356))/AV471-1)</f>
        <v>0</v>
      </c>
      <c r="AW676" s="166" t="n">
        <f aca="false">IF(AW471=0,0,(SUMIF(Resource_Planning!$P$49:$P$356,$P676,Resource_Planning!AW$49:AW$356))/AW471-1)</f>
        <v>0</v>
      </c>
      <c r="AX676" s="166" t="n">
        <f aca="false">IF(AX471=0,0,(SUMIF(Resource_Planning!$P$49:$P$356,$P676,Resource_Planning!AX$49:AX$356))/AX471-1)</f>
        <v>0</v>
      </c>
      <c r="AY676" s="166" t="n">
        <f aca="false">IF(AY471=0,0,(SUMIF(Resource_Planning!$P$49:$P$356,$P676,Resource_Planning!AY$49:AY$356))/AY471-1)</f>
        <v>0</v>
      </c>
      <c r="AZ676" s="166" t="n">
        <f aca="false">IF(AZ471=0,0,(SUMIF(Resource_Planning!$P$49:$P$356,$P676,Resource_Planning!AZ$49:AZ$356))/AZ471-1)</f>
        <v>0</v>
      </c>
      <c r="BA676" s="166" t="n">
        <f aca="false">IF(BA471=0,0,(SUMIF(Resource_Planning!$P$49:$P$356,$P676,Resource_Planning!BA$49:BA$356))/BA471-1)</f>
        <v>0</v>
      </c>
      <c r="BB676" s="166" t="n">
        <f aca="false">IF(BB471=0,0,(SUMIF(Resource_Planning!$P$49:$P$356,$P676,Resource_Planning!BB$49:BB$356))/BB471-1)</f>
        <v>0</v>
      </c>
    </row>
    <row r="677" s="173" customFormat="true" ht="15" hidden="true" customHeight="false" outlineLevel="1" collapsed="false">
      <c r="E677" s="40"/>
      <c r="K677" s="40"/>
      <c r="L677" s="40"/>
      <c r="M677" s="40"/>
      <c r="N677" s="40"/>
      <c r="P677" s="177" t="n">
        <f aca="false">P335</f>
        <v>0</v>
      </c>
      <c r="Q677" s="40"/>
      <c r="R677" s="178"/>
      <c r="S677" s="166" t="n">
        <f aca="false">IF(S472=0,0,(SUMIF(Resource_Planning!$P$49:$P$356,$P677,Resource_Planning!S$49:S$356))/S472-1)</f>
        <v>0</v>
      </c>
      <c r="T677" s="166" t="n">
        <f aca="false">IF(T472=0,0,(SUMIF(Resource_Planning!$P$49:$P$356,$P677,Resource_Planning!T$49:T$356))/T472-1)</f>
        <v>0</v>
      </c>
      <c r="U677" s="166" t="n">
        <f aca="false">IF(U472=0,0,(SUMIF(Resource_Planning!$P$49:$P$356,$P677,Resource_Planning!U$49:U$356))/U472-1)</f>
        <v>0</v>
      </c>
      <c r="V677" s="166" t="n">
        <f aca="false">IF(V472=0,0,(SUMIF(Resource_Planning!$P$49:$P$356,$P677,Resource_Planning!V$49:V$356))/V472-1)</f>
        <v>0</v>
      </c>
      <c r="W677" s="166" t="n">
        <f aca="false">IF(W472=0,0,(SUMIF(Resource_Planning!$P$49:$P$356,$P677,Resource_Planning!W$49:W$356))/W472-1)</f>
        <v>0</v>
      </c>
      <c r="X677" s="166" t="n">
        <f aca="false">IF(X472=0,0,(SUMIF(Resource_Planning!$P$49:$P$356,$P677,Resource_Planning!X$49:X$356))/X472-1)</f>
        <v>0</v>
      </c>
      <c r="Y677" s="166" t="n">
        <f aca="false">IF(Y472=0,0,(SUMIF(Resource_Planning!$P$49:$P$356,$P677,Resource_Planning!Y$49:Y$356))/Y472-1)</f>
        <v>0</v>
      </c>
      <c r="Z677" s="166" t="n">
        <f aca="false">IF(Z472=0,0,(SUMIF(Resource_Planning!$P$49:$P$356,$P677,Resource_Planning!Z$49:Z$356))/Z472-1)</f>
        <v>0</v>
      </c>
      <c r="AA677" s="166" t="n">
        <f aca="false">IF(AA472=0,0,(SUMIF(Resource_Planning!$P$49:$P$356,$P677,Resource_Planning!AA$49:AA$356))/AA472-1)</f>
        <v>0</v>
      </c>
      <c r="AB677" s="166" t="n">
        <f aca="false">IF(AB472=0,0,(SUMIF(Resource_Planning!$P$49:$P$356,$P677,Resource_Planning!AB$49:AB$356))/AB472-1)</f>
        <v>0</v>
      </c>
      <c r="AC677" s="166" t="n">
        <f aca="false">IF(AC472=0,0,(SUMIF(Resource_Planning!$P$49:$P$356,$P677,Resource_Planning!AC$49:AC$356))/AC472-1)</f>
        <v>0</v>
      </c>
      <c r="AD677" s="166" t="n">
        <f aca="false">IF(AD472=0,0,(SUMIF(Resource_Planning!$P$49:$P$356,$P677,Resource_Planning!AD$49:AD$356))/AD472-1)</f>
        <v>0</v>
      </c>
      <c r="AE677" s="166" t="n">
        <f aca="false">IF(AE472=0,0,(SUMIF(Resource_Planning!$P$49:$P$356,$P677,Resource_Planning!AE$49:AE$356))/AE472-1)</f>
        <v>0</v>
      </c>
      <c r="AF677" s="166" t="n">
        <f aca="false">IF(AF472=0,0,(SUMIF(Resource_Planning!$P$49:$P$356,$P677,Resource_Planning!AF$49:AF$356))/AF472-1)</f>
        <v>0</v>
      </c>
      <c r="AG677" s="166" t="n">
        <f aca="false">IF(AG472=0,0,(SUMIF(Resource_Planning!$P$49:$P$356,$P677,Resource_Planning!AG$49:AG$356))/AG472-1)</f>
        <v>0</v>
      </c>
      <c r="AH677" s="166" t="n">
        <f aca="false">IF(AH472=0,0,(SUMIF(Resource_Planning!$P$49:$P$356,$P677,Resource_Planning!AH$49:AH$356))/AH472-1)</f>
        <v>0</v>
      </c>
      <c r="AI677" s="166" t="n">
        <f aca="false">IF(AI472=0,0,(SUMIF(Resource_Planning!$P$49:$P$356,$P677,Resource_Planning!AI$49:AI$356))/AI472-1)</f>
        <v>0</v>
      </c>
      <c r="AJ677" s="166" t="n">
        <f aca="false">IF(AJ472=0,0,(SUMIF(Resource_Planning!$P$49:$P$356,$P677,Resource_Planning!AJ$49:AJ$356))/AJ472-1)</f>
        <v>0</v>
      </c>
      <c r="AK677" s="166" t="n">
        <f aca="false">IF(AK472=0,0,(SUMIF(Resource_Planning!$P$49:$P$356,$P677,Resource_Planning!AK$49:AK$356))/AK472-1)</f>
        <v>0</v>
      </c>
      <c r="AL677" s="166" t="n">
        <f aca="false">IF(AL472=0,0,(SUMIF(Resource_Planning!$P$49:$P$356,$P677,Resource_Planning!AL$49:AL$356))/AL472-1)</f>
        <v>0</v>
      </c>
      <c r="AM677" s="166" t="n">
        <f aca="false">IF(AM472=0,0,(SUMIF(Resource_Planning!$P$49:$P$356,$P677,Resource_Planning!AM$49:AM$356))/AM472-1)</f>
        <v>0</v>
      </c>
      <c r="AN677" s="166" t="n">
        <f aca="false">IF(AN472=0,0,(SUMIF(Resource_Planning!$P$49:$P$356,$P677,Resource_Planning!AN$49:AN$356))/AN472-1)</f>
        <v>0</v>
      </c>
      <c r="AO677" s="166" t="n">
        <f aca="false">IF(AO472=0,0,(SUMIF(Resource_Planning!$P$49:$P$356,$P677,Resource_Planning!AO$49:AO$356))/AO472-1)</f>
        <v>0</v>
      </c>
      <c r="AP677" s="166" t="n">
        <f aca="false">IF(AP472=0,0,(SUMIF(Resource_Planning!$P$49:$P$356,$P677,Resource_Planning!AP$49:AP$356))/AP472-1)</f>
        <v>0</v>
      </c>
      <c r="AQ677" s="166" t="n">
        <f aca="false">IF(AQ472=0,0,(SUMIF(Resource_Planning!$P$49:$P$356,$P677,Resource_Planning!AQ$49:AQ$356))/AQ472-1)</f>
        <v>0</v>
      </c>
      <c r="AR677" s="166" t="n">
        <f aca="false">IF(AR472=0,0,(SUMIF(Resource_Planning!$P$49:$P$356,$P677,Resource_Planning!AR$49:AR$356))/AR472-1)</f>
        <v>0</v>
      </c>
      <c r="AS677" s="166" t="n">
        <f aca="false">IF(AS472=0,0,(SUMIF(Resource_Planning!$P$49:$P$356,$P677,Resource_Planning!AS$49:AS$356))/AS472-1)</f>
        <v>0</v>
      </c>
      <c r="AT677" s="166" t="n">
        <f aca="false">IF(AT472=0,0,(SUMIF(Resource_Planning!$P$49:$P$356,$P677,Resource_Planning!AT$49:AT$356))/AT472-1)</f>
        <v>0</v>
      </c>
      <c r="AU677" s="166" t="n">
        <f aca="false">IF(AU472=0,0,(SUMIF(Resource_Planning!$P$49:$P$356,$P677,Resource_Planning!AU$49:AU$356))/AU472-1)</f>
        <v>0</v>
      </c>
      <c r="AV677" s="166" t="n">
        <f aca="false">IF(AV472=0,0,(SUMIF(Resource_Planning!$P$49:$P$356,$P677,Resource_Planning!AV$49:AV$356))/AV472-1)</f>
        <v>0</v>
      </c>
      <c r="AW677" s="166" t="n">
        <f aca="false">IF(AW472=0,0,(SUMIF(Resource_Planning!$P$49:$P$356,$P677,Resource_Planning!AW$49:AW$356))/AW472-1)</f>
        <v>0</v>
      </c>
      <c r="AX677" s="166" t="n">
        <f aca="false">IF(AX472=0,0,(SUMIF(Resource_Planning!$P$49:$P$356,$P677,Resource_Planning!AX$49:AX$356))/AX472-1)</f>
        <v>0</v>
      </c>
      <c r="AY677" s="166" t="n">
        <f aca="false">IF(AY472=0,0,(SUMIF(Resource_Planning!$P$49:$P$356,$P677,Resource_Planning!AY$49:AY$356))/AY472-1)</f>
        <v>0</v>
      </c>
      <c r="AZ677" s="166" t="n">
        <f aca="false">IF(AZ472=0,0,(SUMIF(Resource_Planning!$P$49:$P$356,$P677,Resource_Planning!AZ$49:AZ$356))/AZ472-1)</f>
        <v>0</v>
      </c>
      <c r="BA677" s="166" t="n">
        <f aca="false">IF(BA472=0,0,(SUMIF(Resource_Planning!$P$49:$P$356,$P677,Resource_Planning!BA$49:BA$356))/BA472-1)</f>
        <v>0</v>
      </c>
      <c r="BB677" s="166" t="n">
        <f aca="false">IF(BB472=0,0,(SUMIF(Resource_Planning!$P$49:$P$356,$P677,Resource_Planning!BB$49:BB$356))/BB472-1)</f>
        <v>0</v>
      </c>
    </row>
    <row r="678" s="173" customFormat="true" ht="15" hidden="true" customHeight="false" outlineLevel="1" collapsed="false">
      <c r="E678" s="40"/>
      <c r="K678" s="40"/>
      <c r="L678" s="40"/>
      <c r="M678" s="40"/>
      <c r="N678" s="40"/>
      <c r="P678" s="177" t="n">
        <f aca="false">P336</f>
        <v>0</v>
      </c>
      <c r="Q678" s="40"/>
      <c r="R678" s="178"/>
      <c r="S678" s="166" t="n">
        <f aca="false">IF(S473=0,0,(SUMIF(Resource_Planning!$P$49:$P$356,$P678,Resource_Planning!S$49:S$356))/S473-1)</f>
        <v>0</v>
      </c>
      <c r="T678" s="166" t="n">
        <f aca="false">IF(T473=0,0,(SUMIF(Resource_Planning!$P$49:$P$356,$P678,Resource_Planning!T$49:T$356))/T473-1)</f>
        <v>0</v>
      </c>
      <c r="U678" s="166" t="n">
        <f aca="false">IF(U473=0,0,(SUMIF(Resource_Planning!$P$49:$P$356,$P678,Resource_Planning!U$49:U$356))/U473-1)</f>
        <v>0</v>
      </c>
      <c r="V678" s="166" t="n">
        <f aca="false">IF(V473=0,0,(SUMIF(Resource_Planning!$P$49:$P$356,$P678,Resource_Planning!V$49:V$356))/V473-1)</f>
        <v>0</v>
      </c>
      <c r="W678" s="166" t="n">
        <f aca="false">IF(W473=0,0,(SUMIF(Resource_Planning!$P$49:$P$356,$P678,Resource_Planning!W$49:W$356))/W473-1)</f>
        <v>0</v>
      </c>
      <c r="X678" s="166" t="n">
        <f aca="false">IF(X473=0,0,(SUMIF(Resource_Planning!$P$49:$P$356,$P678,Resource_Planning!X$49:X$356))/X473-1)</f>
        <v>0</v>
      </c>
      <c r="Y678" s="166" t="n">
        <f aca="false">IF(Y473=0,0,(SUMIF(Resource_Planning!$P$49:$P$356,$P678,Resource_Planning!Y$49:Y$356))/Y473-1)</f>
        <v>0</v>
      </c>
      <c r="Z678" s="166" t="n">
        <f aca="false">IF(Z473=0,0,(SUMIF(Resource_Planning!$P$49:$P$356,$P678,Resource_Planning!Z$49:Z$356))/Z473-1)</f>
        <v>0</v>
      </c>
      <c r="AA678" s="166" t="n">
        <f aca="false">IF(AA473=0,0,(SUMIF(Resource_Planning!$P$49:$P$356,$P678,Resource_Planning!AA$49:AA$356))/AA473-1)</f>
        <v>0</v>
      </c>
      <c r="AB678" s="166" t="n">
        <f aca="false">IF(AB473=0,0,(SUMIF(Resource_Planning!$P$49:$P$356,$P678,Resource_Planning!AB$49:AB$356))/AB473-1)</f>
        <v>0</v>
      </c>
      <c r="AC678" s="166" t="n">
        <f aca="false">IF(AC473=0,0,(SUMIF(Resource_Planning!$P$49:$P$356,$P678,Resource_Planning!AC$49:AC$356))/AC473-1)</f>
        <v>0</v>
      </c>
      <c r="AD678" s="166" t="n">
        <f aca="false">IF(AD473=0,0,(SUMIF(Resource_Planning!$P$49:$P$356,$P678,Resource_Planning!AD$49:AD$356))/AD473-1)</f>
        <v>0</v>
      </c>
      <c r="AE678" s="166" t="n">
        <f aca="false">IF(AE473=0,0,(SUMIF(Resource_Planning!$P$49:$P$356,$P678,Resource_Planning!AE$49:AE$356))/AE473-1)</f>
        <v>0</v>
      </c>
      <c r="AF678" s="166" t="n">
        <f aca="false">IF(AF473=0,0,(SUMIF(Resource_Planning!$P$49:$P$356,$P678,Resource_Planning!AF$49:AF$356))/AF473-1)</f>
        <v>0</v>
      </c>
      <c r="AG678" s="166" t="n">
        <f aca="false">IF(AG473=0,0,(SUMIF(Resource_Planning!$P$49:$P$356,$P678,Resource_Planning!AG$49:AG$356))/AG473-1)</f>
        <v>0</v>
      </c>
      <c r="AH678" s="166" t="n">
        <f aca="false">IF(AH473=0,0,(SUMIF(Resource_Planning!$P$49:$P$356,$P678,Resource_Planning!AH$49:AH$356))/AH473-1)</f>
        <v>0</v>
      </c>
      <c r="AI678" s="166" t="n">
        <f aca="false">IF(AI473=0,0,(SUMIF(Resource_Planning!$P$49:$P$356,$P678,Resource_Planning!AI$49:AI$356))/AI473-1)</f>
        <v>0</v>
      </c>
      <c r="AJ678" s="166" t="n">
        <f aca="false">IF(AJ473=0,0,(SUMIF(Resource_Planning!$P$49:$P$356,$P678,Resource_Planning!AJ$49:AJ$356))/AJ473-1)</f>
        <v>0</v>
      </c>
      <c r="AK678" s="166" t="n">
        <f aca="false">IF(AK473=0,0,(SUMIF(Resource_Planning!$P$49:$P$356,$P678,Resource_Planning!AK$49:AK$356))/AK473-1)</f>
        <v>0</v>
      </c>
      <c r="AL678" s="166" t="n">
        <f aca="false">IF(AL473=0,0,(SUMIF(Resource_Planning!$P$49:$P$356,$P678,Resource_Planning!AL$49:AL$356))/AL473-1)</f>
        <v>0</v>
      </c>
      <c r="AM678" s="166" t="n">
        <f aca="false">IF(AM473=0,0,(SUMIF(Resource_Planning!$P$49:$P$356,$P678,Resource_Planning!AM$49:AM$356))/AM473-1)</f>
        <v>0</v>
      </c>
      <c r="AN678" s="166" t="n">
        <f aca="false">IF(AN473=0,0,(SUMIF(Resource_Planning!$P$49:$P$356,$P678,Resource_Planning!AN$49:AN$356))/AN473-1)</f>
        <v>0</v>
      </c>
      <c r="AO678" s="166" t="n">
        <f aca="false">IF(AO473=0,0,(SUMIF(Resource_Planning!$P$49:$P$356,$P678,Resource_Planning!AO$49:AO$356))/AO473-1)</f>
        <v>0</v>
      </c>
      <c r="AP678" s="166" t="n">
        <f aca="false">IF(AP473=0,0,(SUMIF(Resource_Planning!$P$49:$P$356,$P678,Resource_Planning!AP$49:AP$356))/AP473-1)</f>
        <v>0</v>
      </c>
      <c r="AQ678" s="166" t="n">
        <f aca="false">IF(AQ473=0,0,(SUMIF(Resource_Planning!$P$49:$P$356,$P678,Resource_Planning!AQ$49:AQ$356))/AQ473-1)</f>
        <v>0</v>
      </c>
      <c r="AR678" s="166" t="n">
        <f aca="false">IF(AR473=0,0,(SUMIF(Resource_Planning!$P$49:$P$356,$P678,Resource_Planning!AR$49:AR$356))/AR473-1)</f>
        <v>0</v>
      </c>
      <c r="AS678" s="166" t="n">
        <f aca="false">IF(AS473=0,0,(SUMIF(Resource_Planning!$P$49:$P$356,$P678,Resource_Planning!AS$49:AS$356))/AS473-1)</f>
        <v>0</v>
      </c>
      <c r="AT678" s="166" t="n">
        <f aca="false">IF(AT473=0,0,(SUMIF(Resource_Planning!$P$49:$P$356,$P678,Resource_Planning!AT$49:AT$356))/AT473-1)</f>
        <v>0</v>
      </c>
      <c r="AU678" s="166" t="n">
        <f aca="false">IF(AU473=0,0,(SUMIF(Resource_Planning!$P$49:$P$356,$P678,Resource_Planning!AU$49:AU$356))/AU473-1)</f>
        <v>0</v>
      </c>
      <c r="AV678" s="166" t="n">
        <f aca="false">IF(AV473=0,0,(SUMIF(Resource_Planning!$P$49:$P$356,$P678,Resource_Planning!AV$49:AV$356))/AV473-1)</f>
        <v>0</v>
      </c>
      <c r="AW678" s="166" t="n">
        <f aca="false">IF(AW473=0,0,(SUMIF(Resource_Planning!$P$49:$P$356,$P678,Resource_Planning!AW$49:AW$356))/AW473-1)</f>
        <v>0</v>
      </c>
      <c r="AX678" s="166" t="n">
        <f aca="false">IF(AX473=0,0,(SUMIF(Resource_Planning!$P$49:$P$356,$P678,Resource_Planning!AX$49:AX$356))/AX473-1)</f>
        <v>0</v>
      </c>
      <c r="AY678" s="166" t="n">
        <f aca="false">IF(AY473=0,0,(SUMIF(Resource_Planning!$P$49:$P$356,$P678,Resource_Planning!AY$49:AY$356))/AY473-1)</f>
        <v>0</v>
      </c>
      <c r="AZ678" s="166" t="n">
        <f aca="false">IF(AZ473=0,0,(SUMIF(Resource_Planning!$P$49:$P$356,$P678,Resource_Planning!AZ$49:AZ$356))/AZ473-1)</f>
        <v>0</v>
      </c>
      <c r="BA678" s="166" t="n">
        <f aca="false">IF(BA473=0,0,(SUMIF(Resource_Planning!$P$49:$P$356,$P678,Resource_Planning!BA$49:BA$356))/BA473-1)</f>
        <v>0</v>
      </c>
      <c r="BB678" s="166" t="n">
        <f aca="false">IF(BB473=0,0,(SUMIF(Resource_Planning!$P$49:$P$356,$P678,Resource_Planning!BB$49:BB$356))/BB473-1)</f>
        <v>0</v>
      </c>
    </row>
    <row r="679" s="173" customFormat="true" ht="15" hidden="true" customHeight="false" outlineLevel="1" collapsed="false">
      <c r="E679" s="40"/>
      <c r="K679" s="40"/>
      <c r="L679" s="40"/>
      <c r="M679" s="40"/>
      <c r="N679" s="40"/>
      <c r="P679" s="177" t="n">
        <f aca="false">P337</f>
        <v>0</v>
      </c>
      <c r="Q679" s="40"/>
      <c r="R679" s="178"/>
      <c r="S679" s="166" t="n">
        <f aca="false">IF(S474=0,0,(SUMIF(Resource_Planning!$P$49:$P$356,$P679,Resource_Planning!S$49:S$356))/S474-1)</f>
        <v>0</v>
      </c>
      <c r="T679" s="166" t="n">
        <f aca="false">IF(T474=0,0,(SUMIF(Resource_Planning!$P$49:$P$356,$P679,Resource_Planning!T$49:T$356))/T474-1)</f>
        <v>0</v>
      </c>
      <c r="U679" s="166" t="n">
        <f aca="false">IF(U474=0,0,(SUMIF(Resource_Planning!$P$49:$P$356,$P679,Resource_Planning!U$49:U$356))/U474-1)</f>
        <v>0</v>
      </c>
      <c r="V679" s="166" t="n">
        <f aca="false">IF(V474=0,0,(SUMIF(Resource_Planning!$P$49:$P$356,$P679,Resource_Planning!V$49:V$356))/V474-1)</f>
        <v>0</v>
      </c>
      <c r="W679" s="166" t="n">
        <f aca="false">IF(W474=0,0,(SUMIF(Resource_Planning!$P$49:$P$356,$P679,Resource_Planning!W$49:W$356))/W474-1)</f>
        <v>0</v>
      </c>
      <c r="X679" s="166" t="n">
        <f aca="false">IF(X474=0,0,(SUMIF(Resource_Planning!$P$49:$P$356,$P679,Resource_Planning!X$49:X$356))/X474-1)</f>
        <v>0</v>
      </c>
      <c r="Y679" s="166" t="n">
        <f aca="false">IF(Y474=0,0,(SUMIF(Resource_Planning!$P$49:$P$356,$P679,Resource_Planning!Y$49:Y$356))/Y474-1)</f>
        <v>0</v>
      </c>
      <c r="Z679" s="166" t="n">
        <f aca="false">IF(Z474=0,0,(SUMIF(Resource_Planning!$P$49:$P$356,$P679,Resource_Planning!Z$49:Z$356))/Z474-1)</f>
        <v>0</v>
      </c>
      <c r="AA679" s="166" t="n">
        <f aca="false">IF(AA474=0,0,(SUMIF(Resource_Planning!$P$49:$P$356,$P679,Resource_Planning!AA$49:AA$356))/AA474-1)</f>
        <v>0</v>
      </c>
      <c r="AB679" s="166" t="n">
        <f aca="false">IF(AB474=0,0,(SUMIF(Resource_Planning!$P$49:$P$356,$P679,Resource_Planning!AB$49:AB$356))/AB474-1)</f>
        <v>0</v>
      </c>
      <c r="AC679" s="166" t="n">
        <f aca="false">IF(AC474=0,0,(SUMIF(Resource_Planning!$P$49:$P$356,$P679,Resource_Planning!AC$49:AC$356))/AC474-1)</f>
        <v>0</v>
      </c>
      <c r="AD679" s="166" t="n">
        <f aca="false">IF(AD474=0,0,(SUMIF(Resource_Planning!$P$49:$P$356,$P679,Resource_Planning!AD$49:AD$356))/AD474-1)</f>
        <v>0</v>
      </c>
      <c r="AE679" s="166" t="n">
        <f aca="false">IF(AE474=0,0,(SUMIF(Resource_Planning!$P$49:$P$356,$P679,Resource_Planning!AE$49:AE$356))/AE474-1)</f>
        <v>0</v>
      </c>
      <c r="AF679" s="166" t="n">
        <f aca="false">IF(AF474=0,0,(SUMIF(Resource_Planning!$P$49:$P$356,$P679,Resource_Planning!AF$49:AF$356))/AF474-1)</f>
        <v>0</v>
      </c>
      <c r="AG679" s="166" t="n">
        <f aca="false">IF(AG474=0,0,(SUMIF(Resource_Planning!$P$49:$P$356,$P679,Resource_Planning!AG$49:AG$356))/AG474-1)</f>
        <v>0</v>
      </c>
      <c r="AH679" s="166" t="n">
        <f aca="false">IF(AH474=0,0,(SUMIF(Resource_Planning!$P$49:$P$356,$P679,Resource_Planning!AH$49:AH$356))/AH474-1)</f>
        <v>0</v>
      </c>
      <c r="AI679" s="166" t="n">
        <f aca="false">IF(AI474=0,0,(SUMIF(Resource_Planning!$P$49:$P$356,$P679,Resource_Planning!AI$49:AI$356))/AI474-1)</f>
        <v>0</v>
      </c>
      <c r="AJ679" s="166" t="n">
        <f aca="false">IF(AJ474=0,0,(SUMIF(Resource_Planning!$P$49:$P$356,$P679,Resource_Planning!AJ$49:AJ$356))/AJ474-1)</f>
        <v>0</v>
      </c>
      <c r="AK679" s="166" t="n">
        <f aca="false">IF(AK474=0,0,(SUMIF(Resource_Planning!$P$49:$P$356,$P679,Resource_Planning!AK$49:AK$356))/AK474-1)</f>
        <v>0</v>
      </c>
      <c r="AL679" s="166" t="n">
        <f aca="false">IF(AL474=0,0,(SUMIF(Resource_Planning!$P$49:$P$356,$P679,Resource_Planning!AL$49:AL$356))/AL474-1)</f>
        <v>0</v>
      </c>
      <c r="AM679" s="166" t="n">
        <f aca="false">IF(AM474=0,0,(SUMIF(Resource_Planning!$P$49:$P$356,$P679,Resource_Planning!AM$49:AM$356))/AM474-1)</f>
        <v>0</v>
      </c>
      <c r="AN679" s="166" t="n">
        <f aca="false">IF(AN474=0,0,(SUMIF(Resource_Planning!$P$49:$P$356,$P679,Resource_Planning!AN$49:AN$356))/AN474-1)</f>
        <v>0</v>
      </c>
      <c r="AO679" s="166" t="n">
        <f aca="false">IF(AO474=0,0,(SUMIF(Resource_Planning!$P$49:$P$356,$P679,Resource_Planning!AO$49:AO$356))/AO474-1)</f>
        <v>0</v>
      </c>
      <c r="AP679" s="166" t="n">
        <f aca="false">IF(AP474=0,0,(SUMIF(Resource_Planning!$P$49:$P$356,$P679,Resource_Planning!AP$49:AP$356))/AP474-1)</f>
        <v>0</v>
      </c>
      <c r="AQ679" s="166" t="n">
        <f aca="false">IF(AQ474=0,0,(SUMIF(Resource_Planning!$P$49:$P$356,$P679,Resource_Planning!AQ$49:AQ$356))/AQ474-1)</f>
        <v>0</v>
      </c>
      <c r="AR679" s="166" t="n">
        <f aca="false">IF(AR474=0,0,(SUMIF(Resource_Planning!$P$49:$P$356,$P679,Resource_Planning!AR$49:AR$356))/AR474-1)</f>
        <v>0</v>
      </c>
      <c r="AS679" s="166" t="n">
        <f aca="false">IF(AS474=0,0,(SUMIF(Resource_Planning!$P$49:$P$356,$P679,Resource_Planning!AS$49:AS$356))/AS474-1)</f>
        <v>0</v>
      </c>
      <c r="AT679" s="166" t="n">
        <f aca="false">IF(AT474=0,0,(SUMIF(Resource_Planning!$P$49:$P$356,$P679,Resource_Planning!AT$49:AT$356))/AT474-1)</f>
        <v>0</v>
      </c>
      <c r="AU679" s="166" t="n">
        <f aca="false">IF(AU474=0,0,(SUMIF(Resource_Planning!$P$49:$P$356,$P679,Resource_Planning!AU$49:AU$356))/AU474-1)</f>
        <v>0</v>
      </c>
      <c r="AV679" s="166" t="n">
        <f aca="false">IF(AV474=0,0,(SUMIF(Resource_Planning!$P$49:$P$356,$P679,Resource_Planning!AV$49:AV$356))/AV474-1)</f>
        <v>0</v>
      </c>
      <c r="AW679" s="166" t="n">
        <f aca="false">IF(AW474=0,0,(SUMIF(Resource_Planning!$P$49:$P$356,$P679,Resource_Planning!AW$49:AW$356))/AW474-1)</f>
        <v>0</v>
      </c>
      <c r="AX679" s="166" t="n">
        <f aca="false">IF(AX474=0,0,(SUMIF(Resource_Planning!$P$49:$P$356,$P679,Resource_Planning!AX$49:AX$356))/AX474-1)</f>
        <v>0</v>
      </c>
      <c r="AY679" s="166" t="n">
        <f aca="false">IF(AY474=0,0,(SUMIF(Resource_Planning!$P$49:$P$356,$P679,Resource_Planning!AY$49:AY$356))/AY474-1)</f>
        <v>0</v>
      </c>
      <c r="AZ679" s="166" t="n">
        <f aca="false">IF(AZ474=0,0,(SUMIF(Resource_Planning!$P$49:$P$356,$P679,Resource_Planning!AZ$49:AZ$356))/AZ474-1)</f>
        <v>0</v>
      </c>
      <c r="BA679" s="166" t="n">
        <f aca="false">IF(BA474=0,0,(SUMIF(Resource_Planning!$P$49:$P$356,$P679,Resource_Planning!BA$49:BA$356))/BA474-1)</f>
        <v>0</v>
      </c>
      <c r="BB679" s="166" t="n">
        <f aca="false">IF(BB474=0,0,(SUMIF(Resource_Planning!$P$49:$P$356,$P679,Resource_Planning!BB$49:BB$356))/BB474-1)</f>
        <v>0</v>
      </c>
    </row>
    <row r="680" s="173" customFormat="true" ht="15" hidden="true" customHeight="false" outlineLevel="1" collapsed="false">
      <c r="E680" s="40"/>
      <c r="K680" s="40"/>
      <c r="L680" s="40"/>
      <c r="M680" s="40"/>
      <c r="N680" s="40"/>
      <c r="P680" s="177" t="n">
        <f aca="false">P338</f>
        <v>0</v>
      </c>
      <c r="Q680" s="40"/>
      <c r="R680" s="178"/>
      <c r="S680" s="166" t="n">
        <f aca="false">IF(S475=0,0,(SUMIF(Resource_Planning!$P$49:$P$356,$P680,Resource_Planning!S$49:S$356))/S475-1)</f>
        <v>0</v>
      </c>
      <c r="T680" s="166" t="n">
        <f aca="false">IF(T475=0,0,(SUMIF(Resource_Planning!$P$49:$P$356,$P680,Resource_Planning!T$49:T$356))/T475-1)</f>
        <v>0</v>
      </c>
      <c r="U680" s="166" t="n">
        <f aca="false">IF(U475=0,0,(SUMIF(Resource_Planning!$P$49:$P$356,$P680,Resource_Planning!U$49:U$356))/U475-1)</f>
        <v>0</v>
      </c>
      <c r="V680" s="166" t="n">
        <f aca="false">IF(V475=0,0,(SUMIF(Resource_Planning!$P$49:$P$356,$P680,Resource_Planning!V$49:V$356))/V475-1)</f>
        <v>0</v>
      </c>
      <c r="W680" s="166" t="n">
        <f aca="false">IF(W475=0,0,(SUMIF(Resource_Planning!$P$49:$P$356,$P680,Resource_Planning!W$49:W$356))/W475-1)</f>
        <v>0</v>
      </c>
      <c r="X680" s="166" t="n">
        <f aca="false">IF(X475=0,0,(SUMIF(Resource_Planning!$P$49:$P$356,$P680,Resource_Planning!X$49:X$356))/X475-1)</f>
        <v>0</v>
      </c>
      <c r="Y680" s="166" t="n">
        <f aca="false">IF(Y475=0,0,(SUMIF(Resource_Planning!$P$49:$P$356,$P680,Resource_Planning!Y$49:Y$356))/Y475-1)</f>
        <v>0</v>
      </c>
      <c r="Z680" s="166" t="n">
        <f aca="false">IF(Z475=0,0,(SUMIF(Resource_Planning!$P$49:$P$356,$P680,Resource_Planning!Z$49:Z$356))/Z475-1)</f>
        <v>0</v>
      </c>
      <c r="AA680" s="166" t="n">
        <f aca="false">IF(AA475=0,0,(SUMIF(Resource_Planning!$P$49:$P$356,$P680,Resource_Planning!AA$49:AA$356))/AA475-1)</f>
        <v>0</v>
      </c>
      <c r="AB680" s="166" t="n">
        <f aca="false">IF(AB475=0,0,(SUMIF(Resource_Planning!$P$49:$P$356,$P680,Resource_Planning!AB$49:AB$356))/AB475-1)</f>
        <v>0</v>
      </c>
      <c r="AC680" s="166" t="n">
        <f aca="false">IF(AC475=0,0,(SUMIF(Resource_Planning!$P$49:$P$356,$P680,Resource_Planning!AC$49:AC$356))/AC475-1)</f>
        <v>0</v>
      </c>
      <c r="AD680" s="166" t="n">
        <f aca="false">IF(AD475=0,0,(SUMIF(Resource_Planning!$P$49:$P$356,$P680,Resource_Planning!AD$49:AD$356))/AD475-1)</f>
        <v>0</v>
      </c>
      <c r="AE680" s="166" t="n">
        <f aca="false">IF(AE475=0,0,(SUMIF(Resource_Planning!$P$49:$P$356,$P680,Resource_Planning!AE$49:AE$356))/AE475-1)</f>
        <v>0</v>
      </c>
      <c r="AF680" s="166" t="n">
        <f aca="false">IF(AF475=0,0,(SUMIF(Resource_Planning!$P$49:$P$356,$P680,Resource_Planning!AF$49:AF$356))/AF475-1)</f>
        <v>0</v>
      </c>
      <c r="AG680" s="166" t="n">
        <f aca="false">IF(AG475=0,0,(SUMIF(Resource_Planning!$P$49:$P$356,$P680,Resource_Planning!AG$49:AG$356))/AG475-1)</f>
        <v>0</v>
      </c>
      <c r="AH680" s="166" t="n">
        <f aca="false">IF(AH475=0,0,(SUMIF(Resource_Planning!$P$49:$P$356,$P680,Resource_Planning!AH$49:AH$356))/AH475-1)</f>
        <v>0</v>
      </c>
      <c r="AI680" s="166" t="n">
        <f aca="false">IF(AI475=0,0,(SUMIF(Resource_Planning!$P$49:$P$356,$P680,Resource_Planning!AI$49:AI$356))/AI475-1)</f>
        <v>0</v>
      </c>
      <c r="AJ680" s="166" t="n">
        <f aca="false">IF(AJ475=0,0,(SUMIF(Resource_Planning!$P$49:$P$356,$P680,Resource_Planning!AJ$49:AJ$356))/AJ475-1)</f>
        <v>0</v>
      </c>
      <c r="AK680" s="166" t="n">
        <f aca="false">IF(AK475=0,0,(SUMIF(Resource_Planning!$P$49:$P$356,$P680,Resource_Planning!AK$49:AK$356))/AK475-1)</f>
        <v>0</v>
      </c>
      <c r="AL680" s="166" t="n">
        <f aca="false">IF(AL475=0,0,(SUMIF(Resource_Planning!$P$49:$P$356,$P680,Resource_Planning!AL$49:AL$356))/AL475-1)</f>
        <v>0</v>
      </c>
      <c r="AM680" s="166" t="n">
        <f aca="false">IF(AM475=0,0,(SUMIF(Resource_Planning!$P$49:$P$356,$P680,Resource_Planning!AM$49:AM$356))/AM475-1)</f>
        <v>0</v>
      </c>
      <c r="AN680" s="166" t="n">
        <f aca="false">IF(AN475=0,0,(SUMIF(Resource_Planning!$P$49:$P$356,$P680,Resource_Planning!AN$49:AN$356))/AN475-1)</f>
        <v>0</v>
      </c>
      <c r="AO680" s="166" t="n">
        <f aca="false">IF(AO475=0,0,(SUMIF(Resource_Planning!$P$49:$P$356,$P680,Resource_Planning!AO$49:AO$356))/AO475-1)</f>
        <v>0</v>
      </c>
      <c r="AP680" s="166" t="n">
        <f aca="false">IF(AP475=0,0,(SUMIF(Resource_Planning!$P$49:$P$356,$P680,Resource_Planning!AP$49:AP$356))/AP475-1)</f>
        <v>0</v>
      </c>
      <c r="AQ680" s="166" t="n">
        <f aca="false">IF(AQ475=0,0,(SUMIF(Resource_Planning!$P$49:$P$356,$P680,Resource_Planning!AQ$49:AQ$356))/AQ475-1)</f>
        <v>0</v>
      </c>
      <c r="AR680" s="166" t="n">
        <f aca="false">IF(AR475=0,0,(SUMIF(Resource_Planning!$P$49:$P$356,$P680,Resource_Planning!AR$49:AR$356))/AR475-1)</f>
        <v>0</v>
      </c>
      <c r="AS680" s="166" t="n">
        <f aca="false">IF(AS475=0,0,(SUMIF(Resource_Planning!$P$49:$P$356,$P680,Resource_Planning!AS$49:AS$356))/AS475-1)</f>
        <v>0</v>
      </c>
      <c r="AT680" s="166" t="n">
        <f aca="false">IF(AT475=0,0,(SUMIF(Resource_Planning!$P$49:$P$356,$P680,Resource_Planning!AT$49:AT$356))/AT475-1)</f>
        <v>0</v>
      </c>
      <c r="AU680" s="166" t="n">
        <f aca="false">IF(AU475=0,0,(SUMIF(Resource_Planning!$P$49:$P$356,$P680,Resource_Planning!AU$49:AU$356))/AU475-1)</f>
        <v>0</v>
      </c>
      <c r="AV680" s="166" t="n">
        <f aca="false">IF(AV475=0,0,(SUMIF(Resource_Planning!$P$49:$P$356,$P680,Resource_Planning!AV$49:AV$356))/AV475-1)</f>
        <v>0</v>
      </c>
      <c r="AW680" s="166" t="n">
        <f aca="false">IF(AW475=0,0,(SUMIF(Resource_Planning!$P$49:$P$356,$P680,Resource_Planning!AW$49:AW$356))/AW475-1)</f>
        <v>0</v>
      </c>
      <c r="AX680" s="166" t="n">
        <f aca="false">IF(AX475=0,0,(SUMIF(Resource_Planning!$P$49:$P$356,$P680,Resource_Planning!AX$49:AX$356))/AX475-1)</f>
        <v>0</v>
      </c>
      <c r="AY680" s="166" t="n">
        <f aca="false">IF(AY475=0,0,(SUMIF(Resource_Planning!$P$49:$P$356,$P680,Resource_Planning!AY$49:AY$356))/AY475-1)</f>
        <v>0</v>
      </c>
      <c r="AZ680" s="166" t="n">
        <f aca="false">IF(AZ475=0,0,(SUMIF(Resource_Planning!$P$49:$P$356,$P680,Resource_Planning!AZ$49:AZ$356))/AZ475-1)</f>
        <v>0</v>
      </c>
      <c r="BA680" s="166" t="n">
        <f aca="false">IF(BA475=0,0,(SUMIF(Resource_Planning!$P$49:$P$356,$P680,Resource_Planning!BA$49:BA$356))/BA475-1)</f>
        <v>0</v>
      </c>
      <c r="BB680" s="166" t="n">
        <f aca="false">IF(BB475=0,0,(SUMIF(Resource_Planning!$P$49:$P$356,$P680,Resource_Planning!BB$49:BB$356))/BB475-1)</f>
        <v>0</v>
      </c>
    </row>
    <row r="681" s="173" customFormat="true" ht="15" hidden="true" customHeight="false" outlineLevel="1" collapsed="false">
      <c r="E681" s="40"/>
      <c r="K681" s="40"/>
      <c r="L681" s="40"/>
      <c r="M681" s="40"/>
      <c r="N681" s="40"/>
      <c r="P681" s="177" t="n">
        <f aca="false">P339</f>
        <v>0</v>
      </c>
      <c r="Q681" s="40"/>
      <c r="R681" s="178"/>
      <c r="S681" s="166" t="n">
        <f aca="false">IF(S476=0,0,(SUMIF(Resource_Planning!$P$49:$P$356,$P681,Resource_Planning!S$49:S$356))/S476-1)</f>
        <v>0</v>
      </c>
      <c r="T681" s="166" t="n">
        <f aca="false">IF(T476=0,0,(SUMIF(Resource_Planning!$P$49:$P$356,$P681,Resource_Planning!T$49:T$356))/T476-1)</f>
        <v>0</v>
      </c>
      <c r="U681" s="166" t="n">
        <f aca="false">IF(U476=0,0,(SUMIF(Resource_Planning!$P$49:$P$356,$P681,Resource_Planning!U$49:U$356))/U476-1)</f>
        <v>0</v>
      </c>
      <c r="V681" s="166" t="n">
        <f aca="false">IF(V476=0,0,(SUMIF(Resource_Planning!$P$49:$P$356,$P681,Resource_Planning!V$49:V$356))/V476-1)</f>
        <v>0</v>
      </c>
      <c r="W681" s="166" t="n">
        <f aca="false">IF(W476=0,0,(SUMIF(Resource_Planning!$P$49:$P$356,$P681,Resource_Planning!W$49:W$356))/W476-1)</f>
        <v>0</v>
      </c>
      <c r="X681" s="166" t="n">
        <f aca="false">IF(X476=0,0,(SUMIF(Resource_Planning!$P$49:$P$356,$P681,Resource_Planning!X$49:X$356))/X476-1)</f>
        <v>0</v>
      </c>
      <c r="Y681" s="166" t="n">
        <f aca="false">IF(Y476=0,0,(SUMIF(Resource_Planning!$P$49:$P$356,$P681,Resource_Planning!Y$49:Y$356))/Y476-1)</f>
        <v>0</v>
      </c>
      <c r="Z681" s="166" t="n">
        <f aca="false">IF(Z476=0,0,(SUMIF(Resource_Planning!$P$49:$P$356,$P681,Resource_Planning!Z$49:Z$356))/Z476-1)</f>
        <v>0</v>
      </c>
      <c r="AA681" s="166" t="n">
        <f aca="false">IF(AA476=0,0,(SUMIF(Resource_Planning!$P$49:$P$356,$P681,Resource_Planning!AA$49:AA$356))/AA476-1)</f>
        <v>0</v>
      </c>
      <c r="AB681" s="166" t="n">
        <f aca="false">IF(AB476=0,0,(SUMIF(Resource_Planning!$P$49:$P$356,$P681,Resource_Planning!AB$49:AB$356))/AB476-1)</f>
        <v>0</v>
      </c>
      <c r="AC681" s="166" t="n">
        <f aca="false">IF(AC476=0,0,(SUMIF(Resource_Planning!$P$49:$P$356,$P681,Resource_Planning!AC$49:AC$356))/AC476-1)</f>
        <v>0</v>
      </c>
      <c r="AD681" s="166" t="n">
        <f aca="false">IF(AD476=0,0,(SUMIF(Resource_Planning!$P$49:$P$356,$P681,Resource_Planning!AD$49:AD$356))/AD476-1)</f>
        <v>0</v>
      </c>
      <c r="AE681" s="166" t="n">
        <f aca="false">IF(AE476=0,0,(SUMIF(Resource_Planning!$P$49:$P$356,$P681,Resource_Planning!AE$49:AE$356))/AE476-1)</f>
        <v>0</v>
      </c>
      <c r="AF681" s="166" t="n">
        <f aca="false">IF(AF476=0,0,(SUMIF(Resource_Planning!$P$49:$P$356,$P681,Resource_Planning!AF$49:AF$356))/AF476-1)</f>
        <v>0</v>
      </c>
      <c r="AG681" s="166" t="n">
        <f aca="false">IF(AG476=0,0,(SUMIF(Resource_Planning!$P$49:$P$356,$P681,Resource_Planning!AG$49:AG$356))/AG476-1)</f>
        <v>0</v>
      </c>
      <c r="AH681" s="166" t="n">
        <f aca="false">IF(AH476=0,0,(SUMIF(Resource_Planning!$P$49:$P$356,$P681,Resource_Planning!AH$49:AH$356))/AH476-1)</f>
        <v>0</v>
      </c>
      <c r="AI681" s="166" t="n">
        <f aca="false">IF(AI476=0,0,(SUMIF(Resource_Planning!$P$49:$P$356,$P681,Resource_Planning!AI$49:AI$356))/AI476-1)</f>
        <v>0</v>
      </c>
      <c r="AJ681" s="166" t="n">
        <f aca="false">IF(AJ476=0,0,(SUMIF(Resource_Planning!$P$49:$P$356,$P681,Resource_Planning!AJ$49:AJ$356))/AJ476-1)</f>
        <v>0</v>
      </c>
      <c r="AK681" s="166" t="n">
        <f aca="false">IF(AK476=0,0,(SUMIF(Resource_Planning!$P$49:$P$356,$P681,Resource_Planning!AK$49:AK$356))/AK476-1)</f>
        <v>0</v>
      </c>
      <c r="AL681" s="166" t="n">
        <f aca="false">IF(AL476=0,0,(SUMIF(Resource_Planning!$P$49:$P$356,$P681,Resource_Planning!AL$49:AL$356))/AL476-1)</f>
        <v>0</v>
      </c>
      <c r="AM681" s="166" t="n">
        <f aca="false">IF(AM476=0,0,(SUMIF(Resource_Planning!$P$49:$P$356,$P681,Resource_Planning!AM$49:AM$356))/AM476-1)</f>
        <v>0</v>
      </c>
      <c r="AN681" s="166" t="n">
        <f aca="false">IF(AN476=0,0,(SUMIF(Resource_Planning!$P$49:$P$356,$P681,Resource_Planning!AN$49:AN$356))/AN476-1)</f>
        <v>0</v>
      </c>
      <c r="AO681" s="166" t="n">
        <f aca="false">IF(AO476=0,0,(SUMIF(Resource_Planning!$P$49:$P$356,$P681,Resource_Planning!AO$49:AO$356))/AO476-1)</f>
        <v>0</v>
      </c>
      <c r="AP681" s="166" t="n">
        <f aca="false">IF(AP476=0,0,(SUMIF(Resource_Planning!$P$49:$P$356,$P681,Resource_Planning!AP$49:AP$356))/AP476-1)</f>
        <v>0</v>
      </c>
      <c r="AQ681" s="166" t="n">
        <f aca="false">IF(AQ476=0,0,(SUMIF(Resource_Planning!$P$49:$P$356,$P681,Resource_Planning!AQ$49:AQ$356))/AQ476-1)</f>
        <v>0</v>
      </c>
      <c r="AR681" s="166" t="n">
        <f aca="false">IF(AR476=0,0,(SUMIF(Resource_Planning!$P$49:$P$356,$P681,Resource_Planning!AR$49:AR$356))/AR476-1)</f>
        <v>0</v>
      </c>
      <c r="AS681" s="166" t="n">
        <f aca="false">IF(AS476=0,0,(SUMIF(Resource_Planning!$P$49:$P$356,$P681,Resource_Planning!AS$49:AS$356))/AS476-1)</f>
        <v>0</v>
      </c>
      <c r="AT681" s="166" t="n">
        <f aca="false">IF(AT476=0,0,(SUMIF(Resource_Planning!$P$49:$P$356,$P681,Resource_Planning!AT$49:AT$356))/AT476-1)</f>
        <v>0</v>
      </c>
      <c r="AU681" s="166" t="n">
        <f aca="false">IF(AU476=0,0,(SUMIF(Resource_Planning!$P$49:$P$356,$P681,Resource_Planning!AU$49:AU$356))/AU476-1)</f>
        <v>0</v>
      </c>
      <c r="AV681" s="166" t="n">
        <f aca="false">IF(AV476=0,0,(SUMIF(Resource_Planning!$P$49:$P$356,$P681,Resource_Planning!AV$49:AV$356))/AV476-1)</f>
        <v>0</v>
      </c>
      <c r="AW681" s="166" t="n">
        <f aca="false">IF(AW476=0,0,(SUMIF(Resource_Planning!$P$49:$P$356,$P681,Resource_Planning!AW$49:AW$356))/AW476-1)</f>
        <v>0</v>
      </c>
      <c r="AX681" s="166" t="n">
        <f aca="false">IF(AX476=0,0,(SUMIF(Resource_Planning!$P$49:$P$356,$P681,Resource_Planning!AX$49:AX$356))/AX476-1)</f>
        <v>0</v>
      </c>
      <c r="AY681" s="166" t="n">
        <f aca="false">IF(AY476=0,0,(SUMIF(Resource_Planning!$P$49:$P$356,$P681,Resource_Planning!AY$49:AY$356))/AY476-1)</f>
        <v>0</v>
      </c>
      <c r="AZ681" s="166" t="n">
        <f aca="false">IF(AZ476=0,0,(SUMIF(Resource_Planning!$P$49:$P$356,$P681,Resource_Planning!AZ$49:AZ$356))/AZ476-1)</f>
        <v>0</v>
      </c>
      <c r="BA681" s="166" t="n">
        <f aca="false">IF(BA476=0,0,(SUMIF(Resource_Planning!$P$49:$P$356,$P681,Resource_Planning!BA$49:BA$356))/BA476-1)</f>
        <v>0</v>
      </c>
      <c r="BB681" s="166" t="n">
        <f aca="false">IF(BB476=0,0,(SUMIF(Resource_Planning!$P$49:$P$356,$P681,Resource_Planning!BB$49:BB$356))/BB476-1)</f>
        <v>0</v>
      </c>
    </row>
    <row r="682" s="173" customFormat="true" ht="15" hidden="true" customHeight="false" outlineLevel="1" collapsed="false">
      <c r="E682" s="40"/>
      <c r="K682" s="40"/>
      <c r="L682" s="40"/>
      <c r="M682" s="40"/>
      <c r="N682" s="40"/>
      <c r="P682" s="177" t="n">
        <f aca="false">P340</f>
        <v>0</v>
      </c>
      <c r="Q682" s="40"/>
      <c r="R682" s="178"/>
      <c r="S682" s="166" t="n">
        <f aca="false">IF(S477=0,0,(SUMIF(Resource_Planning!$P$49:$P$356,$P682,Resource_Planning!S$49:S$356))/S477-1)</f>
        <v>0</v>
      </c>
      <c r="T682" s="166" t="n">
        <f aca="false">IF(T477=0,0,(SUMIF(Resource_Planning!$P$49:$P$356,$P682,Resource_Planning!T$49:T$356))/T477-1)</f>
        <v>0</v>
      </c>
      <c r="U682" s="166" t="n">
        <f aca="false">IF(U477=0,0,(SUMIF(Resource_Planning!$P$49:$P$356,$P682,Resource_Planning!U$49:U$356))/U477-1)</f>
        <v>0</v>
      </c>
      <c r="V682" s="166" t="n">
        <f aca="false">IF(V477=0,0,(SUMIF(Resource_Planning!$P$49:$P$356,$P682,Resource_Planning!V$49:V$356))/V477-1)</f>
        <v>0</v>
      </c>
      <c r="W682" s="166" t="n">
        <f aca="false">IF(W477=0,0,(SUMIF(Resource_Planning!$P$49:$P$356,$P682,Resource_Planning!W$49:W$356))/W477-1)</f>
        <v>0</v>
      </c>
      <c r="X682" s="166" t="n">
        <f aca="false">IF(X477=0,0,(SUMIF(Resource_Planning!$P$49:$P$356,$P682,Resource_Planning!X$49:X$356))/X477-1)</f>
        <v>0</v>
      </c>
      <c r="Y682" s="166" t="n">
        <f aca="false">IF(Y477=0,0,(SUMIF(Resource_Planning!$P$49:$P$356,$P682,Resource_Planning!Y$49:Y$356))/Y477-1)</f>
        <v>0</v>
      </c>
      <c r="Z682" s="166" t="n">
        <f aca="false">IF(Z477=0,0,(SUMIF(Resource_Planning!$P$49:$P$356,$P682,Resource_Planning!Z$49:Z$356))/Z477-1)</f>
        <v>0</v>
      </c>
      <c r="AA682" s="166" t="n">
        <f aca="false">IF(AA477=0,0,(SUMIF(Resource_Planning!$P$49:$P$356,$P682,Resource_Planning!AA$49:AA$356))/AA477-1)</f>
        <v>0</v>
      </c>
      <c r="AB682" s="166" t="n">
        <f aca="false">IF(AB477=0,0,(SUMIF(Resource_Planning!$P$49:$P$356,$P682,Resource_Planning!AB$49:AB$356))/AB477-1)</f>
        <v>0</v>
      </c>
      <c r="AC682" s="166" t="n">
        <f aca="false">IF(AC477=0,0,(SUMIF(Resource_Planning!$P$49:$P$356,$P682,Resource_Planning!AC$49:AC$356))/AC477-1)</f>
        <v>0</v>
      </c>
      <c r="AD682" s="166" t="n">
        <f aca="false">IF(AD477=0,0,(SUMIF(Resource_Planning!$P$49:$P$356,$P682,Resource_Planning!AD$49:AD$356))/AD477-1)</f>
        <v>0</v>
      </c>
      <c r="AE682" s="166" t="n">
        <f aca="false">IF(AE477=0,0,(SUMIF(Resource_Planning!$P$49:$P$356,$P682,Resource_Planning!AE$49:AE$356))/AE477-1)</f>
        <v>0</v>
      </c>
      <c r="AF682" s="166" t="n">
        <f aca="false">IF(AF477=0,0,(SUMIF(Resource_Planning!$P$49:$P$356,$P682,Resource_Planning!AF$49:AF$356))/AF477-1)</f>
        <v>0</v>
      </c>
      <c r="AG682" s="166" t="n">
        <f aca="false">IF(AG477=0,0,(SUMIF(Resource_Planning!$P$49:$P$356,$P682,Resource_Planning!AG$49:AG$356))/AG477-1)</f>
        <v>0</v>
      </c>
      <c r="AH682" s="166" t="n">
        <f aca="false">IF(AH477=0,0,(SUMIF(Resource_Planning!$P$49:$P$356,$P682,Resource_Planning!AH$49:AH$356))/AH477-1)</f>
        <v>0</v>
      </c>
      <c r="AI682" s="166" t="n">
        <f aca="false">IF(AI477=0,0,(SUMIF(Resource_Planning!$P$49:$P$356,$P682,Resource_Planning!AI$49:AI$356))/AI477-1)</f>
        <v>0</v>
      </c>
      <c r="AJ682" s="166" t="n">
        <f aca="false">IF(AJ477=0,0,(SUMIF(Resource_Planning!$P$49:$P$356,$P682,Resource_Planning!AJ$49:AJ$356))/AJ477-1)</f>
        <v>0</v>
      </c>
      <c r="AK682" s="166" t="n">
        <f aca="false">IF(AK477=0,0,(SUMIF(Resource_Planning!$P$49:$P$356,$P682,Resource_Planning!AK$49:AK$356))/AK477-1)</f>
        <v>0</v>
      </c>
      <c r="AL682" s="166" t="n">
        <f aca="false">IF(AL477=0,0,(SUMIF(Resource_Planning!$P$49:$P$356,$P682,Resource_Planning!AL$49:AL$356))/AL477-1)</f>
        <v>0</v>
      </c>
      <c r="AM682" s="166" t="n">
        <f aca="false">IF(AM477=0,0,(SUMIF(Resource_Planning!$P$49:$P$356,$P682,Resource_Planning!AM$49:AM$356))/AM477-1)</f>
        <v>0</v>
      </c>
      <c r="AN682" s="166" t="n">
        <f aca="false">IF(AN477=0,0,(SUMIF(Resource_Planning!$P$49:$P$356,$P682,Resource_Planning!AN$49:AN$356))/AN477-1)</f>
        <v>0</v>
      </c>
      <c r="AO682" s="166" t="n">
        <f aca="false">IF(AO477=0,0,(SUMIF(Resource_Planning!$P$49:$P$356,$P682,Resource_Planning!AO$49:AO$356))/AO477-1)</f>
        <v>0</v>
      </c>
      <c r="AP682" s="166" t="n">
        <f aca="false">IF(AP477=0,0,(SUMIF(Resource_Planning!$P$49:$P$356,$P682,Resource_Planning!AP$49:AP$356))/AP477-1)</f>
        <v>0</v>
      </c>
      <c r="AQ682" s="166" t="n">
        <f aca="false">IF(AQ477=0,0,(SUMIF(Resource_Planning!$P$49:$P$356,$P682,Resource_Planning!AQ$49:AQ$356))/AQ477-1)</f>
        <v>0</v>
      </c>
      <c r="AR682" s="166" t="n">
        <f aca="false">IF(AR477=0,0,(SUMIF(Resource_Planning!$P$49:$P$356,$P682,Resource_Planning!AR$49:AR$356))/AR477-1)</f>
        <v>0</v>
      </c>
      <c r="AS682" s="166" t="n">
        <f aca="false">IF(AS477=0,0,(SUMIF(Resource_Planning!$P$49:$P$356,$P682,Resource_Planning!AS$49:AS$356))/AS477-1)</f>
        <v>0</v>
      </c>
      <c r="AT682" s="166" t="n">
        <f aca="false">IF(AT477=0,0,(SUMIF(Resource_Planning!$P$49:$P$356,$P682,Resource_Planning!AT$49:AT$356))/AT477-1)</f>
        <v>0</v>
      </c>
      <c r="AU682" s="166" t="n">
        <f aca="false">IF(AU477=0,0,(SUMIF(Resource_Planning!$P$49:$P$356,$P682,Resource_Planning!AU$49:AU$356))/AU477-1)</f>
        <v>0</v>
      </c>
      <c r="AV682" s="166" t="n">
        <f aca="false">IF(AV477=0,0,(SUMIF(Resource_Planning!$P$49:$P$356,$P682,Resource_Planning!AV$49:AV$356))/AV477-1)</f>
        <v>0</v>
      </c>
      <c r="AW682" s="166" t="n">
        <f aca="false">IF(AW477=0,0,(SUMIF(Resource_Planning!$P$49:$P$356,$P682,Resource_Planning!AW$49:AW$356))/AW477-1)</f>
        <v>0</v>
      </c>
      <c r="AX682" s="166" t="n">
        <f aca="false">IF(AX477=0,0,(SUMIF(Resource_Planning!$P$49:$P$356,$P682,Resource_Planning!AX$49:AX$356))/AX477-1)</f>
        <v>0</v>
      </c>
      <c r="AY682" s="166" t="n">
        <f aca="false">IF(AY477=0,0,(SUMIF(Resource_Planning!$P$49:$P$356,$P682,Resource_Planning!AY$49:AY$356))/AY477-1)</f>
        <v>0</v>
      </c>
      <c r="AZ682" s="166" t="n">
        <f aca="false">IF(AZ477=0,0,(SUMIF(Resource_Planning!$P$49:$P$356,$P682,Resource_Planning!AZ$49:AZ$356))/AZ477-1)</f>
        <v>0</v>
      </c>
      <c r="BA682" s="166" t="n">
        <f aca="false">IF(BA477=0,0,(SUMIF(Resource_Planning!$P$49:$P$356,$P682,Resource_Planning!BA$49:BA$356))/BA477-1)</f>
        <v>0</v>
      </c>
      <c r="BB682" s="166" t="n">
        <f aca="false">IF(BB477=0,0,(SUMIF(Resource_Planning!$P$49:$P$356,$P682,Resource_Planning!BB$49:BB$356))/BB477-1)</f>
        <v>0</v>
      </c>
    </row>
    <row r="683" s="173" customFormat="true" ht="15" hidden="true" customHeight="false" outlineLevel="1" collapsed="false">
      <c r="E683" s="40"/>
      <c r="K683" s="40"/>
      <c r="L683" s="40"/>
      <c r="M683" s="40"/>
      <c r="N683" s="40"/>
      <c r="P683" s="177" t="n">
        <f aca="false">P341</f>
        <v>0</v>
      </c>
      <c r="Q683" s="40"/>
      <c r="R683" s="178"/>
      <c r="S683" s="166" t="n">
        <f aca="false">IF(S478=0,0,(SUMIF(Resource_Planning!$P$49:$P$356,$P683,Resource_Planning!S$49:S$356))/S478-1)</f>
        <v>0</v>
      </c>
      <c r="T683" s="166" t="n">
        <f aca="false">IF(T478=0,0,(SUMIF(Resource_Planning!$P$49:$P$356,$P683,Resource_Planning!T$49:T$356))/T478-1)</f>
        <v>0</v>
      </c>
      <c r="U683" s="166" t="n">
        <f aca="false">IF(U478=0,0,(SUMIF(Resource_Planning!$P$49:$P$356,$P683,Resource_Planning!U$49:U$356))/U478-1)</f>
        <v>0</v>
      </c>
      <c r="V683" s="166" t="n">
        <f aca="false">IF(V478=0,0,(SUMIF(Resource_Planning!$P$49:$P$356,$P683,Resource_Planning!V$49:V$356))/V478-1)</f>
        <v>0</v>
      </c>
      <c r="W683" s="166" t="n">
        <f aca="false">IF(W478=0,0,(SUMIF(Resource_Planning!$P$49:$P$356,$P683,Resource_Planning!W$49:W$356))/W478-1)</f>
        <v>0</v>
      </c>
      <c r="X683" s="166" t="n">
        <f aca="false">IF(X478=0,0,(SUMIF(Resource_Planning!$P$49:$P$356,$P683,Resource_Planning!X$49:X$356))/X478-1)</f>
        <v>0</v>
      </c>
      <c r="Y683" s="166" t="n">
        <f aca="false">IF(Y478=0,0,(SUMIF(Resource_Planning!$P$49:$P$356,$P683,Resource_Planning!Y$49:Y$356))/Y478-1)</f>
        <v>0</v>
      </c>
      <c r="Z683" s="166" t="n">
        <f aca="false">IF(Z478=0,0,(SUMIF(Resource_Planning!$P$49:$P$356,$P683,Resource_Planning!Z$49:Z$356))/Z478-1)</f>
        <v>0</v>
      </c>
      <c r="AA683" s="166" t="n">
        <f aca="false">IF(AA478=0,0,(SUMIF(Resource_Planning!$P$49:$P$356,$P683,Resource_Planning!AA$49:AA$356))/AA478-1)</f>
        <v>0</v>
      </c>
      <c r="AB683" s="166" t="n">
        <f aca="false">IF(AB478=0,0,(SUMIF(Resource_Planning!$P$49:$P$356,$P683,Resource_Planning!AB$49:AB$356))/AB478-1)</f>
        <v>0</v>
      </c>
      <c r="AC683" s="166" t="n">
        <f aca="false">IF(AC478=0,0,(SUMIF(Resource_Planning!$P$49:$P$356,$P683,Resource_Planning!AC$49:AC$356))/AC478-1)</f>
        <v>0</v>
      </c>
      <c r="AD683" s="166" t="n">
        <f aca="false">IF(AD478=0,0,(SUMIF(Resource_Planning!$P$49:$P$356,$P683,Resource_Planning!AD$49:AD$356))/AD478-1)</f>
        <v>0</v>
      </c>
      <c r="AE683" s="166" t="n">
        <f aca="false">IF(AE478=0,0,(SUMIF(Resource_Planning!$P$49:$P$356,$P683,Resource_Planning!AE$49:AE$356))/AE478-1)</f>
        <v>0</v>
      </c>
      <c r="AF683" s="166" t="n">
        <f aca="false">IF(AF478=0,0,(SUMIF(Resource_Planning!$P$49:$P$356,$P683,Resource_Planning!AF$49:AF$356))/AF478-1)</f>
        <v>0</v>
      </c>
      <c r="AG683" s="166" t="n">
        <f aca="false">IF(AG478=0,0,(SUMIF(Resource_Planning!$P$49:$P$356,$P683,Resource_Planning!AG$49:AG$356))/AG478-1)</f>
        <v>0</v>
      </c>
      <c r="AH683" s="166" t="n">
        <f aca="false">IF(AH478=0,0,(SUMIF(Resource_Planning!$P$49:$P$356,$P683,Resource_Planning!AH$49:AH$356))/AH478-1)</f>
        <v>0</v>
      </c>
      <c r="AI683" s="166" t="n">
        <f aca="false">IF(AI478=0,0,(SUMIF(Resource_Planning!$P$49:$P$356,$P683,Resource_Planning!AI$49:AI$356))/AI478-1)</f>
        <v>0</v>
      </c>
      <c r="AJ683" s="166" t="n">
        <f aca="false">IF(AJ478=0,0,(SUMIF(Resource_Planning!$P$49:$P$356,$P683,Resource_Planning!AJ$49:AJ$356))/AJ478-1)</f>
        <v>0</v>
      </c>
      <c r="AK683" s="166" t="n">
        <f aca="false">IF(AK478=0,0,(SUMIF(Resource_Planning!$P$49:$P$356,$P683,Resource_Planning!AK$49:AK$356))/AK478-1)</f>
        <v>0</v>
      </c>
      <c r="AL683" s="166" t="n">
        <f aca="false">IF(AL478=0,0,(SUMIF(Resource_Planning!$P$49:$P$356,$P683,Resource_Planning!AL$49:AL$356))/AL478-1)</f>
        <v>0</v>
      </c>
      <c r="AM683" s="166" t="n">
        <f aca="false">IF(AM478=0,0,(SUMIF(Resource_Planning!$P$49:$P$356,$P683,Resource_Planning!AM$49:AM$356))/AM478-1)</f>
        <v>0</v>
      </c>
      <c r="AN683" s="166" t="n">
        <f aca="false">IF(AN478=0,0,(SUMIF(Resource_Planning!$P$49:$P$356,$P683,Resource_Planning!AN$49:AN$356))/AN478-1)</f>
        <v>0</v>
      </c>
      <c r="AO683" s="166" t="n">
        <f aca="false">IF(AO478=0,0,(SUMIF(Resource_Planning!$P$49:$P$356,$P683,Resource_Planning!AO$49:AO$356))/AO478-1)</f>
        <v>0</v>
      </c>
      <c r="AP683" s="166" t="n">
        <f aca="false">IF(AP478=0,0,(SUMIF(Resource_Planning!$P$49:$P$356,$P683,Resource_Planning!AP$49:AP$356))/AP478-1)</f>
        <v>0</v>
      </c>
      <c r="AQ683" s="166" t="n">
        <f aca="false">IF(AQ478=0,0,(SUMIF(Resource_Planning!$P$49:$P$356,$P683,Resource_Planning!AQ$49:AQ$356))/AQ478-1)</f>
        <v>0</v>
      </c>
      <c r="AR683" s="166" t="n">
        <f aca="false">IF(AR478=0,0,(SUMIF(Resource_Planning!$P$49:$P$356,$P683,Resource_Planning!AR$49:AR$356))/AR478-1)</f>
        <v>0</v>
      </c>
      <c r="AS683" s="166" t="n">
        <f aca="false">IF(AS478=0,0,(SUMIF(Resource_Planning!$P$49:$P$356,$P683,Resource_Planning!AS$49:AS$356))/AS478-1)</f>
        <v>0</v>
      </c>
      <c r="AT683" s="166" t="n">
        <f aca="false">IF(AT478=0,0,(SUMIF(Resource_Planning!$P$49:$P$356,$P683,Resource_Planning!AT$49:AT$356))/AT478-1)</f>
        <v>0</v>
      </c>
      <c r="AU683" s="166" t="n">
        <f aca="false">IF(AU478=0,0,(SUMIF(Resource_Planning!$P$49:$P$356,$P683,Resource_Planning!AU$49:AU$356))/AU478-1)</f>
        <v>0</v>
      </c>
      <c r="AV683" s="166" t="n">
        <f aca="false">IF(AV478=0,0,(SUMIF(Resource_Planning!$P$49:$P$356,$P683,Resource_Planning!AV$49:AV$356))/AV478-1)</f>
        <v>0</v>
      </c>
      <c r="AW683" s="166" t="n">
        <f aca="false">IF(AW478=0,0,(SUMIF(Resource_Planning!$P$49:$P$356,$P683,Resource_Planning!AW$49:AW$356))/AW478-1)</f>
        <v>0</v>
      </c>
      <c r="AX683" s="166" t="n">
        <f aca="false">IF(AX478=0,0,(SUMIF(Resource_Planning!$P$49:$P$356,$P683,Resource_Planning!AX$49:AX$356))/AX478-1)</f>
        <v>0</v>
      </c>
      <c r="AY683" s="166" t="n">
        <f aca="false">IF(AY478=0,0,(SUMIF(Resource_Planning!$P$49:$P$356,$P683,Resource_Planning!AY$49:AY$356))/AY478-1)</f>
        <v>0</v>
      </c>
      <c r="AZ683" s="166" t="n">
        <f aca="false">IF(AZ478=0,0,(SUMIF(Resource_Planning!$P$49:$P$356,$P683,Resource_Planning!AZ$49:AZ$356))/AZ478-1)</f>
        <v>0</v>
      </c>
      <c r="BA683" s="166" t="n">
        <f aca="false">IF(BA478=0,0,(SUMIF(Resource_Planning!$P$49:$P$356,$P683,Resource_Planning!BA$49:BA$356))/BA478-1)</f>
        <v>0</v>
      </c>
      <c r="BB683" s="166" t="n">
        <f aca="false">IF(BB478=0,0,(SUMIF(Resource_Planning!$P$49:$P$356,$P683,Resource_Planning!BB$49:BB$356))/BB478-1)</f>
        <v>0</v>
      </c>
    </row>
    <row r="684" s="173" customFormat="true" ht="15" hidden="true" customHeight="false" outlineLevel="1" collapsed="false">
      <c r="E684" s="40"/>
      <c r="K684" s="40"/>
      <c r="L684" s="40"/>
      <c r="M684" s="40"/>
      <c r="N684" s="40"/>
      <c r="P684" s="177" t="n">
        <f aca="false">P342</f>
        <v>0</v>
      </c>
      <c r="Q684" s="40"/>
      <c r="R684" s="178"/>
      <c r="S684" s="166" t="n">
        <f aca="false">IF(S479=0,0,(SUMIF(Resource_Planning!$P$49:$P$356,$P684,Resource_Planning!S$49:S$356))/S479-1)</f>
        <v>0</v>
      </c>
      <c r="T684" s="166" t="n">
        <f aca="false">IF(T479=0,0,(SUMIF(Resource_Planning!$P$49:$P$356,$P684,Resource_Planning!T$49:T$356))/T479-1)</f>
        <v>0</v>
      </c>
      <c r="U684" s="166" t="n">
        <f aca="false">IF(U479=0,0,(SUMIF(Resource_Planning!$P$49:$P$356,$P684,Resource_Planning!U$49:U$356))/U479-1)</f>
        <v>0</v>
      </c>
      <c r="V684" s="166" t="n">
        <f aca="false">IF(V479=0,0,(SUMIF(Resource_Planning!$P$49:$P$356,$P684,Resource_Planning!V$49:V$356))/V479-1)</f>
        <v>0</v>
      </c>
      <c r="W684" s="166" t="n">
        <f aca="false">IF(W479=0,0,(SUMIF(Resource_Planning!$P$49:$P$356,$P684,Resource_Planning!W$49:W$356))/W479-1)</f>
        <v>0</v>
      </c>
      <c r="X684" s="166" t="n">
        <f aca="false">IF(X479=0,0,(SUMIF(Resource_Planning!$P$49:$P$356,$P684,Resource_Planning!X$49:X$356))/X479-1)</f>
        <v>0</v>
      </c>
      <c r="Y684" s="166" t="n">
        <f aca="false">IF(Y479=0,0,(SUMIF(Resource_Planning!$P$49:$P$356,$P684,Resource_Planning!Y$49:Y$356))/Y479-1)</f>
        <v>0</v>
      </c>
      <c r="Z684" s="166" t="n">
        <f aca="false">IF(Z479=0,0,(SUMIF(Resource_Planning!$P$49:$P$356,$P684,Resource_Planning!Z$49:Z$356))/Z479-1)</f>
        <v>0</v>
      </c>
      <c r="AA684" s="166" t="n">
        <f aca="false">IF(AA479=0,0,(SUMIF(Resource_Planning!$P$49:$P$356,$P684,Resource_Planning!AA$49:AA$356))/AA479-1)</f>
        <v>0</v>
      </c>
      <c r="AB684" s="166" t="n">
        <f aca="false">IF(AB479=0,0,(SUMIF(Resource_Planning!$P$49:$P$356,$P684,Resource_Planning!AB$49:AB$356))/AB479-1)</f>
        <v>0</v>
      </c>
      <c r="AC684" s="166" t="n">
        <f aca="false">IF(AC479=0,0,(SUMIF(Resource_Planning!$P$49:$P$356,$P684,Resource_Planning!AC$49:AC$356))/AC479-1)</f>
        <v>0</v>
      </c>
      <c r="AD684" s="166" t="n">
        <f aca="false">IF(AD479=0,0,(SUMIF(Resource_Planning!$P$49:$P$356,$P684,Resource_Planning!AD$49:AD$356))/AD479-1)</f>
        <v>0</v>
      </c>
      <c r="AE684" s="166" t="n">
        <f aca="false">IF(AE479=0,0,(SUMIF(Resource_Planning!$P$49:$P$356,$P684,Resource_Planning!AE$49:AE$356))/AE479-1)</f>
        <v>0</v>
      </c>
      <c r="AF684" s="166" t="n">
        <f aca="false">IF(AF479=0,0,(SUMIF(Resource_Planning!$P$49:$P$356,$P684,Resource_Planning!AF$49:AF$356))/AF479-1)</f>
        <v>0</v>
      </c>
      <c r="AG684" s="166" t="n">
        <f aca="false">IF(AG479=0,0,(SUMIF(Resource_Planning!$P$49:$P$356,$P684,Resource_Planning!AG$49:AG$356))/AG479-1)</f>
        <v>0</v>
      </c>
      <c r="AH684" s="166" t="n">
        <f aca="false">IF(AH479=0,0,(SUMIF(Resource_Planning!$P$49:$P$356,$P684,Resource_Planning!AH$49:AH$356))/AH479-1)</f>
        <v>0</v>
      </c>
      <c r="AI684" s="166" t="n">
        <f aca="false">IF(AI479=0,0,(SUMIF(Resource_Planning!$P$49:$P$356,$P684,Resource_Planning!AI$49:AI$356))/AI479-1)</f>
        <v>0</v>
      </c>
      <c r="AJ684" s="166" t="n">
        <f aca="false">IF(AJ479=0,0,(SUMIF(Resource_Planning!$P$49:$P$356,$P684,Resource_Planning!AJ$49:AJ$356))/AJ479-1)</f>
        <v>0</v>
      </c>
      <c r="AK684" s="166" t="n">
        <f aca="false">IF(AK479=0,0,(SUMIF(Resource_Planning!$P$49:$P$356,$P684,Resource_Planning!AK$49:AK$356))/AK479-1)</f>
        <v>0</v>
      </c>
      <c r="AL684" s="166" t="n">
        <f aca="false">IF(AL479=0,0,(SUMIF(Resource_Planning!$P$49:$P$356,$P684,Resource_Planning!AL$49:AL$356))/AL479-1)</f>
        <v>0</v>
      </c>
      <c r="AM684" s="166" t="n">
        <f aca="false">IF(AM479=0,0,(SUMIF(Resource_Planning!$P$49:$P$356,$P684,Resource_Planning!AM$49:AM$356))/AM479-1)</f>
        <v>0</v>
      </c>
      <c r="AN684" s="166" t="n">
        <f aca="false">IF(AN479=0,0,(SUMIF(Resource_Planning!$P$49:$P$356,$P684,Resource_Planning!AN$49:AN$356))/AN479-1)</f>
        <v>0</v>
      </c>
      <c r="AO684" s="166" t="n">
        <f aca="false">IF(AO479=0,0,(SUMIF(Resource_Planning!$P$49:$P$356,$P684,Resource_Planning!AO$49:AO$356))/AO479-1)</f>
        <v>0</v>
      </c>
      <c r="AP684" s="166" t="n">
        <f aca="false">IF(AP479=0,0,(SUMIF(Resource_Planning!$P$49:$P$356,$P684,Resource_Planning!AP$49:AP$356))/AP479-1)</f>
        <v>0</v>
      </c>
      <c r="AQ684" s="166" t="n">
        <f aca="false">IF(AQ479=0,0,(SUMIF(Resource_Planning!$P$49:$P$356,$P684,Resource_Planning!AQ$49:AQ$356))/AQ479-1)</f>
        <v>0</v>
      </c>
      <c r="AR684" s="166" t="n">
        <f aca="false">IF(AR479=0,0,(SUMIF(Resource_Planning!$P$49:$P$356,$P684,Resource_Planning!AR$49:AR$356))/AR479-1)</f>
        <v>0</v>
      </c>
      <c r="AS684" s="166" t="n">
        <f aca="false">IF(AS479=0,0,(SUMIF(Resource_Planning!$P$49:$P$356,$P684,Resource_Planning!AS$49:AS$356))/AS479-1)</f>
        <v>0</v>
      </c>
      <c r="AT684" s="166" t="n">
        <f aca="false">IF(AT479=0,0,(SUMIF(Resource_Planning!$P$49:$P$356,$P684,Resource_Planning!AT$49:AT$356))/AT479-1)</f>
        <v>0</v>
      </c>
      <c r="AU684" s="166" t="n">
        <f aca="false">IF(AU479=0,0,(SUMIF(Resource_Planning!$P$49:$P$356,$P684,Resource_Planning!AU$49:AU$356))/AU479-1)</f>
        <v>0</v>
      </c>
      <c r="AV684" s="166" t="n">
        <f aca="false">IF(AV479=0,0,(SUMIF(Resource_Planning!$P$49:$P$356,$P684,Resource_Planning!AV$49:AV$356))/AV479-1)</f>
        <v>0</v>
      </c>
      <c r="AW684" s="166" t="n">
        <f aca="false">IF(AW479=0,0,(SUMIF(Resource_Planning!$P$49:$P$356,$P684,Resource_Planning!AW$49:AW$356))/AW479-1)</f>
        <v>0</v>
      </c>
      <c r="AX684" s="166" t="n">
        <f aca="false">IF(AX479=0,0,(SUMIF(Resource_Planning!$P$49:$P$356,$P684,Resource_Planning!AX$49:AX$356))/AX479-1)</f>
        <v>0</v>
      </c>
      <c r="AY684" s="166" t="n">
        <f aca="false">IF(AY479=0,0,(SUMIF(Resource_Planning!$P$49:$P$356,$P684,Resource_Planning!AY$49:AY$356))/AY479-1)</f>
        <v>0</v>
      </c>
      <c r="AZ684" s="166" t="n">
        <f aca="false">IF(AZ479=0,0,(SUMIF(Resource_Planning!$P$49:$P$356,$P684,Resource_Planning!AZ$49:AZ$356))/AZ479-1)</f>
        <v>0</v>
      </c>
      <c r="BA684" s="166" t="n">
        <f aca="false">IF(BA479=0,0,(SUMIF(Resource_Planning!$P$49:$P$356,$P684,Resource_Planning!BA$49:BA$356))/BA479-1)</f>
        <v>0</v>
      </c>
      <c r="BB684" s="166" t="n">
        <f aca="false">IF(BB479=0,0,(SUMIF(Resource_Planning!$P$49:$P$356,$P684,Resource_Planning!BB$49:BB$356))/BB479-1)</f>
        <v>0</v>
      </c>
    </row>
    <row r="685" s="173" customFormat="true" ht="15" hidden="true" customHeight="false" outlineLevel="1" collapsed="false">
      <c r="E685" s="40"/>
      <c r="K685" s="40"/>
      <c r="L685" s="40"/>
      <c r="M685" s="40"/>
      <c r="N685" s="40"/>
      <c r="P685" s="177" t="n">
        <f aca="false">P343</f>
        <v>0</v>
      </c>
      <c r="Q685" s="40"/>
      <c r="R685" s="178"/>
      <c r="S685" s="166" t="n">
        <f aca="false">IF(S480=0,0,(SUMIF(Resource_Planning!$P$49:$P$356,$P685,Resource_Planning!S$49:S$356))/S480-1)</f>
        <v>0</v>
      </c>
      <c r="T685" s="166" t="n">
        <f aca="false">IF(T480=0,0,(SUMIF(Resource_Planning!$P$49:$P$356,$P685,Resource_Planning!T$49:T$356))/T480-1)</f>
        <v>0</v>
      </c>
      <c r="U685" s="166" t="n">
        <f aca="false">IF(U480=0,0,(SUMIF(Resource_Planning!$P$49:$P$356,$P685,Resource_Planning!U$49:U$356))/U480-1)</f>
        <v>0</v>
      </c>
      <c r="V685" s="166" t="n">
        <f aca="false">IF(V480=0,0,(SUMIF(Resource_Planning!$P$49:$P$356,$P685,Resource_Planning!V$49:V$356))/V480-1)</f>
        <v>0</v>
      </c>
      <c r="W685" s="166" t="n">
        <f aca="false">IF(W480=0,0,(SUMIF(Resource_Planning!$P$49:$P$356,$P685,Resource_Planning!W$49:W$356))/W480-1)</f>
        <v>0</v>
      </c>
      <c r="X685" s="166" t="n">
        <f aca="false">IF(X480=0,0,(SUMIF(Resource_Planning!$P$49:$P$356,$P685,Resource_Planning!X$49:X$356))/X480-1)</f>
        <v>0</v>
      </c>
      <c r="Y685" s="166" t="n">
        <f aca="false">IF(Y480=0,0,(SUMIF(Resource_Planning!$P$49:$P$356,$P685,Resource_Planning!Y$49:Y$356))/Y480-1)</f>
        <v>0</v>
      </c>
      <c r="Z685" s="166" t="n">
        <f aca="false">IF(Z480=0,0,(SUMIF(Resource_Planning!$P$49:$P$356,$P685,Resource_Planning!Z$49:Z$356))/Z480-1)</f>
        <v>0</v>
      </c>
      <c r="AA685" s="166" t="n">
        <f aca="false">IF(AA480=0,0,(SUMIF(Resource_Planning!$P$49:$P$356,$P685,Resource_Planning!AA$49:AA$356))/AA480-1)</f>
        <v>0</v>
      </c>
      <c r="AB685" s="166" t="n">
        <f aca="false">IF(AB480=0,0,(SUMIF(Resource_Planning!$P$49:$P$356,$P685,Resource_Planning!AB$49:AB$356))/AB480-1)</f>
        <v>0</v>
      </c>
      <c r="AC685" s="166" t="n">
        <f aca="false">IF(AC480=0,0,(SUMIF(Resource_Planning!$P$49:$P$356,$P685,Resource_Planning!AC$49:AC$356))/AC480-1)</f>
        <v>0</v>
      </c>
      <c r="AD685" s="166" t="n">
        <f aca="false">IF(AD480=0,0,(SUMIF(Resource_Planning!$P$49:$P$356,$P685,Resource_Planning!AD$49:AD$356))/AD480-1)</f>
        <v>0</v>
      </c>
      <c r="AE685" s="166" t="n">
        <f aca="false">IF(AE480=0,0,(SUMIF(Resource_Planning!$P$49:$P$356,$P685,Resource_Planning!AE$49:AE$356))/AE480-1)</f>
        <v>0</v>
      </c>
      <c r="AF685" s="166" t="n">
        <f aca="false">IF(AF480=0,0,(SUMIF(Resource_Planning!$P$49:$P$356,$P685,Resource_Planning!AF$49:AF$356))/AF480-1)</f>
        <v>0</v>
      </c>
      <c r="AG685" s="166" t="n">
        <f aca="false">IF(AG480=0,0,(SUMIF(Resource_Planning!$P$49:$P$356,$P685,Resource_Planning!AG$49:AG$356))/AG480-1)</f>
        <v>0</v>
      </c>
      <c r="AH685" s="166" t="n">
        <f aca="false">IF(AH480=0,0,(SUMIF(Resource_Planning!$P$49:$P$356,$P685,Resource_Planning!AH$49:AH$356))/AH480-1)</f>
        <v>0</v>
      </c>
      <c r="AI685" s="166" t="n">
        <f aca="false">IF(AI480=0,0,(SUMIF(Resource_Planning!$P$49:$P$356,$P685,Resource_Planning!AI$49:AI$356))/AI480-1)</f>
        <v>0</v>
      </c>
      <c r="AJ685" s="166" t="n">
        <f aca="false">IF(AJ480=0,0,(SUMIF(Resource_Planning!$P$49:$P$356,$P685,Resource_Planning!AJ$49:AJ$356))/AJ480-1)</f>
        <v>0</v>
      </c>
      <c r="AK685" s="166" t="n">
        <f aca="false">IF(AK480=0,0,(SUMIF(Resource_Planning!$P$49:$P$356,$P685,Resource_Planning!AK$49:AK$356))/AK480-1)</f>
        <v>0</v>
      </c>
      <c r="AL685" s="166" t="n">
        <f aca="false">IF(AL480=0,0,(SUMIF(Resource_Planning!$P$49:$P$356,$P685,Resource_Planning!AL$49:AL$356))/AL480-1)</f>
        <v>0</v>
      </c>
      <c r="AM685" s="166" t="n">
        <f aca="false">IF(AM480=0,0,(SUMIF(Resource_Planning!$P$49:$P$356,$P685,Resource_Planning!AM$49:AM$356))/AM480-1)</f>
        <v>0</v>
      </c>
      <c r="AN685" s="166" t="n">
        <f aca="false">IF(AN480=0,0,(SUMIF(Resource_Planning!$P$49:$P$356,$P685,Resource_Planning!AN$49:AN$356))/AN480-1)</f>
        <v>0</v>
      </c>
      <c r="AO685" s="166" t="n">
        <f aca="false">IF(AO480=0,0,(SUMIF(Resource_Planning!$P$49:$P$356,$P685,Resource_Planning!AO$49:AO$356))/AO480-1)</f>
        <v>0</v>
      </c>
      <c r="AP685" s="166" t="n">
        <f aca="false">IF(AP480=0,0,(SUMIF(Resource_Planning!$P$49:$P$356,$P685,Resource_Planning!AP$49:AP$356))/AP480-1)</f>
        <v>0</v>
      </c>
      <c r="AQ685" s="166" t="n">
        <f aca="false">IF(AQ480=0,0,(SUMIF(Resource_Planning!$P$49:$P$356,$P685,Resource_Planning!AQ$49:AQ$356))/AQ480-1)</f>
        <v>0</v>
      </c>
      <c r="AR685" s="166" t="n">
        <f aca="false">IF(AR480=0,0,(SUMIF(Resource_Planning!$P$49:$P$356,$P685,Resource_Planning!AR$49:AR$356))/AR480-1)</f>
        <v>0</v>
      </c>
      <c r="AS685" s="166" t="n">
        <f aca="false">IF(AS480=0,0,(SUMIF(Resource_Planning!$P$49:$P$356,$P685,Resource_Planning!AS$49:AS$356))/AS480-1)</f>
        <v>0</v>
      </c>
      <c r="AT685" s="166" t="n">
        <f aca="false">IF(AT480=0,0,(SUMIF(Resource_Planning!$P$49:$P$356,$P685,Resource_Planning!AT$49:AT$356))/AT480-1)</f>
        <v>0</v>
      </c>
      <c r="AU685" s="166" t="n">
        <f aca="false">IF(AU480=0,0,(SUMIF(Resource_Planning!$P$49:$P$356,$P685,Resource_Planning!AU$49:AU$356))/AU480-1)</f>
        <v>0</v>
      </c>
      <c r="AV685" s="166" t="n">
        <f aca="false">IF(AV480=0,0,(SUMIF(Resource_Planning!$P$49:$P$356,$P685,Resource_Planning!AV$49:AV$356))/AV480-1)</f>
        <v>0</v>
      </c>
      <c r="AW685" s="166" t="n">
        <f aca="false">IF(AW480=0,0,(SUMIF(Resource_Planning!$P$49:$P$356,$P685,Resource_Planning!AW$49:AW$356))/AW480-1)</f>
        <v>0</v>
      </c>
      <c r="AX685" s="166" t="n">
        <f aca="false">IF(AX480=0,0,(SUMIF(Resource_Planning!$P$49:$P$356,$P685,Resource_Planning!AX$49:AX$356))/AX480-1)</f>
        <v>0</v>
      </c>
      <c r="AY685" s="166" t="n">
        <f aca="false">IF(AY480=0,0,(SUMIF(Resource_Planning!$P$49:$P$356,$P685,Resource_Planning!AY$49:AY$356))/AY480-1)</f>
        <v>0</v>
      </c>
      <c r="AZ685" s="166" t="n">
        <f aca="false">IF(AZ480=0,0,(SUMIF(Resource_Planning!$P$49:$P$356,$P685,Resource_Planning!AZ$49:AZ$356))/AZ480-1)</f>
        <v>0</v>
      </c>
      <c r="BA685" s="166" t="n">
        <f aca="false">IF(BA480=0,0,(SUMIF(Resource_Planning!$P$49:$P$356,$P685,Resource_Planning!BA$49:BA$356))/BA480-1)</f>
        <v>0</v>
      </c>
      <c r="BB685" s="166" t="n">
        <f aca="false">IF(BB480=0,0,(SUMIF(Resource_Planning!$P$49:$P$356,$P685,Resource_Planning!BB$49:BB$356))/BB480-1)</f>
        <v>0</v>
      </c>
    </row>
    <row r="686" s="173" customFormat="true" ht="15" hidden="true" customHeight="false" outlineLevel="1" collapsed="false">
      <c r="E686" s="40"/>
      <c r="K686" s="40"/>
      <c r="L686" s="40"/>
      <c r="M686" s="40"/>
      <c r="N686" s="40"/>
      <c r="P686" s="177" t="n">
        <f aca="false">P344</f>
        <v>0</v>
      </c>
      <c r="Q686" s="40"/>
      <c r="R686" s="178"/>
      <c r="S686" s="166" t="n">
        <f aca="false">IF(S481=0,0,(SUMIF(Resource_Planning!$P$49:$P$356,$P686,Resource_Planning!S$49:S$356))/S481-1)</f>
        <v>0</v>
      </c>
      <c r="T686" s="166" t="n">
        <f aca="false">IF(T481=0,0,(SUMIF(Resource_Planning!$P$49:$P$356,$P686,Resource_Planning!T$49:T$356))/T481-1)</f>
        <v>0</v>
      </c>
      <c r="U686" s="166" t="n">
        <f aca="false">IF(U481=0,0,(SUMIF(Resource_Planning!$P$49:$P$356,$P686,Resource_Planning!U$49:U$356))/U481-1)</f>
        <v>0</v>
      </c>
      <c r="V686" s="166" t="n">
        <f aca="false">IF(V481=0,0,(SUMIF(Resource_Planning!$P$49:$P$356,$P686,Resource_Planning!V$49:V$356))/V481-1)</f>
        <v>0</v>
      </c>
      <c r="W686" s="166" t="n">
        <f aca="false">IF(W481=0,0,(SUMIF(Resource_Planning!$P$49:$P$356,$P686,Resource_Planning!W$49:W$356))/W481-1)</f>
        <v>0</v>
      </c>
      <c r="X686" s="166" t="n">
        <f aca="false">IF(X481=0,0,(SUMIF(Resource_Planning!$P$49:$P$356,$P686,Resource_Planning!X$49:X$356))/X481-1)</f>
        <v>0</v>
      </c>
      <c r="Y686" s="166" t="n">
        <f aca="false">IF(Y481=0,0,(SUMIF(Resource_Planning!$P$49:$P$356,$P686,Resource_Planning!Y$49:Y$356))/Y481-1)</f>
        <v>0</v>
      </c>
      <c r="Z686" s="166" t="n">
        <f aca="false">IF(Z481=0,0,(SUMIF(Resource_Planning!$P$49:$P$356,$P686,Resource_Planning!Z$49:Z$356))/Z481-1)</f>
        <v>0</v>
      </c>
      <c r="AA686" s="166" t="n">
        <f aca="false">IF(AA481=0,0,(SUMIF(Resource_Planning!$P$49:$P$356,$P686,Resource_Planning!AA$49:AA$356))/AA481-1)</f>
        <v>0</v>
      </c>
      <c r="AB686" s="166" t="n">
        <f aca="false">IF(AB481=0,0,(SUMIF(Resource_Planning!$P$49:$P$356,$P686,Resource_Planning!AB$49:AB$356))/AB481-1)</f>
        <v>0</v>
      </c>
      <c r="AC686" s="166" t="n">
        <f aca="false">IF(AC481=0,0,(SUMIF(Resource_Planning!$P$49:$P$356,$P686,Resource_Planning!AC$49:AC$356))/AC481-1)</f>
        <v>0</v>
      </c>
      <c r="AD686" s="166" t="n">
        <f aca="false">IF(AD481=0,0,(SUMIF(Resource_Planning!$P$49:$P$356,$P686,Resource_Planning!AD$49:AD$356))/AD481-1)</f>
        <v>0</v>
      </c>
      <c r="AE686" s="166" t="n">
        <f aca="false">IF(AE481=0,0,(SUMIF(Resource_Planning!$P$49:$P$356,$P686,Resource_Planning!AE$49:AE$356))/AE481-1)</f>
        <v>0</v>
      </c>
      <c r="AF686" s="166" t="n">
        <f aca="false">IF(AF481=0,0,(SUMIF(Resource_Planning!$P$49:$P$356,$P686,Resource_Planning!AF$49:AF$356))/AF481-1)</f>
        <v>0</v>
      </c>
      <c r="AG686" s="166" t="n">
        <f aca="false">IF(AG481=0,0,(SUMIF(Resource_Planning!$P$49:$P$356,$P686,Resource_Planning!AG$49:AG$356))/AG481-1)</f>
        <v>0</v>
      </c>
      <c r="AH686" s="166" t="n">
        <f aca="false">IF(AH481=0,0,(SUMIF(Resource_Planning!$P$49:$P$356,$P686,Resource_Planning!AH$49:AH$356))/AH481-1)</f>
        <v>0</v>
      </c>
      <c r="AI686" s="166" t="n">
        <f aca="false">IF(AI481=0,0,(SUMIF(Resource_Planning!$P$49:$P$356,$P686,Resource_Planning!AI$49:AI$356))/AI481-1)</f>
        <v>0</v>
      </c>
      <c r="AJ686" s="166" t="n">
        <f aca="false">IF(AJ481=0,0,(SUMIF(Resource_Planning!$P$49:$P$356,$P686,Resource_Planning!AJ$49:AJ$356))/AJ481-1)</f>
        <v>0</v>
      </c>
      <c r="AK686" s="166" t="n">
        <f aca="false">IF(AK481=0,0,(SUMIF(Resource_Planning!$P$49:$P$356,$P686,Resource_Planning!AK$49:AK$356))/AK481-1)</f>
        <v>0</v>
      </c>
      <c r="AL686" s="166" t="n">
        <f aca="false">IF(AL481=0,0,(SUMIF(Resource_Planning!$P$49:$P$356,$P686,Resource_Planning!AL$49:AL$356))/AL481-1)</f>
        <v>0</v>
      </c>
      <c r="AM686" s="166" t="n">
        <f aca="false">IF(AM481=0,0,(SUMIF(Resource_Planning!$P$49:$P$356,$P686,Resource_Planning!AM$49:AM$356))/AM481-1)</f>
        <v>0</v>
      </c>
      <c r="AN686" s="166" t="n">
        <f aca="false">IF(AN481=0,0,(SUMIF(Resource_Planning!$P$49:$P$356,$P686,Resource_Planning!AN$49:AN$356))/AN481-1)</f>
        <v>0</v>
      </c>
      <c r="AO686" s="166" t="n">
        <f aca="false">IF(AO481=0,0,(SUMIF(Resource_Planning!$P$49:$P$356,$P686,Resource_Planning!AO$49:AO$356))/AO481-1)</f>
        <v>0</v>
      </c>
      <c r="AP686" s="166" t="n">
        <f aca="false">IF(AP481=0,0,(SUMIF(Resource_Planning!$P$49:$P$356,$P686,Resource_Planning!AP$49:AP$356))/AP481-1)</f>
        <v>0</v>
      </c>
      <c r="AQ686" s="166" t="n">
        <f aca="false">IF(AQ481=0,0,(SUMIF(Resource_Planning!$P$49:$P$356,$P686,Resource_Planning!AQ$49:AQ$356))/AQ481-1)</f>
        <v>0</v>
      </c>
      <c r="AR686" s="166" t="n">
        <f aca="false">IF(AR481=0,0,(SUMIF(Resource_Planning!$P$49:$P$356,$P686,Resource_Planning!AR$49:AR$356))/AR481-1)</f>
        <v>0</v>
      </c>
      <c r="AS686" s="166" t="n">
        <f aca="false">IF(AS481=0,0,(SUMIF(Resource_Planning!$P$49:$P$356,$P686,Resource_Planning!AS$49:AS$356))/AS481-1)</f>
        <v>0</v>
      </c>
      <c r="AT686" s="166" t="n">
        <f aca="false">IF(AT481=0,0,(SUMIF(Resource_Planning!$P$49:$P$356,$P686,Resource_Planning!AT$49:AT$356))/AT481-1)</f>
        <v>0</v>
      </c>
      <c r="AU686" s="166" t="n">
        <f aca="false">IF(AU481=0,0,(SUMIF(Resource_Planning!$P$49:$P$356,$P686,Resource_Planning!AU$49:AU$356))/AU481-1)</f>
        <v>0</v>
      </c>
      <c r="AV686" s="166" t="n">
        <f aca="false">IF(AV481=0,0,(SUMIF(Resource_Planning!$P$49:$P$356,$P686,Resource_Planning!AV$49:AV$356))/AV481-1)</f>
        <v>0</v>
      </c>
      <c r="AW686" s="166" t="n">
        <f aca="false">IF(AW481=0,0,(SUMIF(Resource_Planning!$P$49:$P$356,$P686,Resource_Planning!AW$49:AW$356))/AW481-1)</f>
        <v>0</v>
      </c>
      <c r="AX686" s="166" t="n">
        <f aca="false">IF(AX481=0,0,(SUMIF(Resource_Planning!$P$49:$P$356,$P686,Resource_Planning!AX$49:AX$356))/AX481-1)</f>
        <v>0</v>
      </c>
      <c r="AY686" s="166" t="n">
        <f aca="false">IF(AY481=0,0,(SUMIF(Resource_Planning!$P$49:$P$356,$P686,Resource_Planning!AY$49:AY$356))/AY481-1)</f>
        <v>0</v>
      </c>
      <c r="AZ686" s="166" t="n">
        <f aca="false">IF(AZ481=0,0,(SUMIF(Resource_Planning!$P$49:$P$356,$P686,Resource_Planning!AZ$49:AZ$356))/AZ481-1)</f>
        <v>0</v>
      </c>
      <c r="BA686" s="166" t="n">
        <f aca="false">IF(BA481=0,0,(SUMIF(Resource_Planning!$P$49:$P$356,$P686,Resource_Planning!BA$49:BA$356))/BA481-1)</f>
        <v>0</v>
      </c>
      <c r="BB686" s="166" t="n">
        <f aca="false">IF(BB481=0,0,(SUMIF(Resource_Planning!$P$49:$P$356,$P686,Resource_Planning!BB$49:BB$356))/BB481-1)</f>
        <v>0</v>
      </c>
    </row>
    <row r="687" s="173" customFormat="true" ht="15" hidden="true" customHeight="false" outlineLevel="1" collapsed="false">
      <c r="E687" s="40"/>
      <c r="K687" s="40"/>
      <c r="L687" s="40"/>
      <c r="M687" s="40"/>
      <c r="N687" s="40"/>
      <c r="P687" s="177" t="n">
        <f aca="false">P345</f>
        <v>0</v>
      </c>
      <c r="Q687" s="40"/>
      <c r="R687" s="178"/>
      <c r="S687" s="166" t="n">
        <f aca="false">IF(S482=0,0,(SUMIF(Resource_Planning!$P$49:$P$356,$P687,Resource_Planning!S$49:S$356))/S482-1)</f>
        <v>0</v>
      </c>
      <c r="T687" s="166" t="n">
        <f aca="false">IF(T482=0,0,(SUMIF(Resource_Planning!$P$49:$P$356,$P687,Resource_Planning!T$49:T$356))/T482-1)</f>
        <v>0</v>
      </c>
      <c r="U687" s="166" t="n">
        <f aca="false">IF(U482=0,0,(SUMIF(Resource_Planning!$P$49:$P$356,$P687,Resource_Planning!U$49:U$356))/U482-1)</f>
        <v>0</v>
      </c>
      <c r="V687" s="166" t="n">
        <f aca="false">IF(V482=0,0,(SUMIF(Resource_Planning!$P$49:$P$356,$P687,Resource_Planning!V$49:V$356))/V482-1)</f>
        <v>0</v>
      </c>
      <c r="W687" s="166" t="n">
        <f aca="false">IF(W482=0,0,(SUMIF(Resource_Planning!$P$49:$P$356,$P687,Resource_Planning!W$49:W$356))/W482-1)</f>
        <v>0</v>
      </c>
      <c r="X687" s="166" t="n">
        <f aca="false">IF(X482=0,0,(SUMIF(Resource_Planning!$P$49:$P$356,$P687,Resource_Planning!X$49:X$356))/X482-1)</f>
        <v>0</v>
      </c>
      <c r="Y687" s="166" t="n">
        <f aca="false">IF(Y482=0,0,(SUMIF(Resource_Planning!$P$49:$P$356,$P687,Resource_Planning!Y$49:Y$356))/Y482-1)</f>
        <v>0</v>
      </c>
      <c r="Z687" s="166" t="n">
        <f aca="false">IF(Z482=0,0,(SUMIF(Resource_Planning!$P$49:$P$356,$P687,Resource_Planning!Z$49:Z$356))/Z482-1)</f>
        <v>0</v>
      </c>
      <c r="AA687" s="166" t="n">
        <f aca="false">IF(AA482=0,0,(SUMIF(Resource_Planning!$P$49:$P$356,$P687,Resource_Planning!AA$49:AA$356))/AA482-1)</f>
        <v>0</v>
      </c>
      <c r="AB687" s="166" t="n">
        <f aca="false">IF(AB482=0,0,(SUMIF(Resource_Planning!$P$49:$P$356,$P687,Resource_Planning!AB$49:AB$356))/AB482-1)</f>
        <v>0</v>
      </c>
      <c r="AC687" s="166" t="n">
        <f aca="false">IF(AC482=0,0,(SUMIF(Resource_Planning!$P$49:$P$356,$P687,Resource_Planning!AC$49:AC$356))/AC482-1)</f>
        <v>0</v>
      </c>
      <c r="AD687" s="166" t="n">
        <f aca="false">IF(AD482=0,0,(SUMIF(Resource_Planning!$P$49:$P$356,$P687,Resource_Planning!AD$49:AD$356))/AD482-1)</f>
        <v>0</v>
      </c>
      <c r="AE687" s="166" t="n">
        <f aca="false">IF(AE482=0,0,(SUMIF(Resource_Planning!$P$49:$P$356,$P687,Resource_Planning!AE$49:AE$356))/AE482-1)</f>
        <v>0</v>
      </c>
      <c r="AF687" s="166" t="n">
        <f aca="false">IF(AF482=0,0,(SUMIF(Resource_Planning!$P$49:$P$356,$P687,Resource_Planning!AF$49:AF$356))/AF482-1)</f>
        <v>0</v>
      </c>
      <c r="AG687" s="166" t="n">
        <f aca="false">IF(AG482=0,0,(SUMIF(Resource_Planning!$P$49:$P$356,$P687,Resource_Planning!AG$49:AG$356))/AG482-1)</f>
        <v>0</v>
      </c>
      <c r="AH687" s="166" t="n">
        <f aca="false">IF(AH482=0,0,(SUMIF(Resource_Planning!$P$49:$P$356,$P687,Resource_Planning!AH$49:AH$356))/AH482-1)</f>
        <v>0</v>
      </c>
      <c r="AI687" s="166" t="n">
        <f aca="false">IF(AI482=0,0,(SUMIF(Resource_Planning!$P$49:$P$356,$P687,Resource_Planning!AI$49:AI$356))/AI482-1)</f>
        <v>0</v>
      </c>
      <c r="AJ687" s="166" t="n">
        <f aca="false">IF(AJ482=0,0,(SUMIF(Resource_Planning!$P$49:$P$356,$P687,Resource_Planning!AJ$49:AJ$356))/AJ482-1)</f>
        <v>0</v>
      </c>
      <c r="AK687" s="166" t="n">
        <f aca="false">IF(AK482=0,0,(SUMIF(Resource_Planning!$P$49:$P$356,$P687,Resource_Planning!AK$49:AK$356))/AK482-1)</f>
        <v>0</v>
      </c>
      <c r="AL687" s="166" t="n">
        <f aca="false">IF(AL482=0,0,(SUMIF(Resource_Planning!$P$49:$P$356,$P687,Resource_Planning!AL$49:AL$356))/AL482-1)</f>
        <v>0</v>
      </c>
      <c r="AM687" s="166" t="n">
        <f aca="false">IF(AM482=0,0,(SUMIF(Resource_Planning!$P$49:$P$356,$P687,Resource_Planning!AM$49:AM$356))/AM482-1)</f>
        <v>0</v>
      </c>
      <c r="AN687" s="166" t="n">
        <f aca="false">IF(AN482=0,0,(SUMIF(Resource_Planning!$P$49:$P$356,$P687,Resource_Planning!AN$49:AN$356))/AN482-1)</f>
        <v>0</v>
      </c>
      <c r="AO687" s="166" t="n">
        <f aca="false">IF(AO482=0,0,(SUMIF(Resource_Planning!$P$49:$P$356,$P687,Resource_Planning!AO$49:AO$356))/AO482-1)</f>
        <v>0</v>
      </c>
      <c r="AP687" s="166" t="n">
        <f aca="false">IF(AP482=0,0,(SUMIF(Resource_Planning!$P$49:$P$356,$P687,Resource_Planning!AP$49:AP$356))/AP482-1)</f>
        <v>0</v>
      </c>
      <c r="AQ687" s="166" t="n">
        <f aca="false">IF(AQ482=0,0,(SUMIF(Resource_Planning!$P$49:$P$356,$P687,Resource_Planning!AQ$49:AQ$356))/AQ482-1)</f>
        <v>0</v>
      </c>
      <c r="AR687" s="166" t="n">
        <f aca="false">IF(AR482=0,0,(SUMIF(Resource_Planning!$P$49:$P$356,$P687,Resource_Planning!AR$49:AR$356))/AR482-1)</f>
        <v>0</v>
      </c>
      <c r="AS687" s="166" t="n">
        <f aca="false">IF(AS482=0,0,(SUMIF(Resource_Planning!$P$49:$P$356,$P687,Resource_Planning!AS$49:AS$356))/AS482-1)</f>
        <v>0</v>
      </c>
      <c r="AT687" s="166" t="n">
        <f aca="false">IF(AT482=0,0,(SUMIF(Resource_Planning!$P$49:$P$356,$P687,Resource_Planning!AT$49:AT$356))/AT482-1)</f>
        <v>0</v>
      </c>
      <c r="AU687" s="166" t="n">
        <f aca="false">IF(AU482=0,0,(SUMIF(Resource_Planning!$P$49:$P$356,$P687,Resource_Planning!AU$49:AU$356))/AU482-1)</f>
        <v>0</v>
      </c>
      <c r="AV687" s="166" t="n">
        <f aca="false">IF(AV482=0,0,(SUMIF(Resource_Planning!$P$49:$P$356,$P687,Resource_Planning!AV$49:AV$356))/AV482-1)</f>
        <v>0</v>
      </c>
      <c r="AW687" s="166" t="n">
        <f aca="false">IF(AW482=0,0,(SUMIF(Resource_Planning!$P$49:$P$356,$P687,Resource_Planning!AW$49:AW$356))/AW482-1)</f>
        <v>0</v>
      </c>
      <c r="AX687" s="166" t="n">
        <f aca="false">IF(AX482=0,0,(SUMIF(Resource_Planning!$P$49:$P$356,$P687,Resource_Planning!AX$49:AX$356))/AX482-1)</f>
        <v>0</v>
      </c>
      <c r="AY687" s="166" t="n">
        <f aca="false">IF(AY482=0,0,(SUMIF(Resource_Planning!$P$49:$P$356,$P687,Resource_Planning!AY$49:AY$356))/AY482-1)</f>
        <v>0</v>
      </c>
      <c r="AZ687" s="166" t="n">
        <f aca="false">IF(AZ482=0,0,(SUMIF(Resource_Planning!$P$49:$P$356,$P687,Resource_Planning!AZ$49:AZ$356))/AZ482-1)</f>
        <v>0</v>
      </c>
      <c r="BA687" s="166" t="n">
        <f aca="false">IF(BA482=0,0,(SUMIF(Resource_Planning!$P$49:$P$356,$P687,Resource_Planning!BA$49:BA$356))/BA482-1)</f>
        <v>0</v>
      </c>
      <c r="BB687" s="166" t="n">
        <f aca="false">IF(BB482=0,0,(SUMIF(Resource_Planning!$P$49:$P$356,$P687,Resource_Planning!BB$49:BB$356))/BB482-1)</f>
        <v>0</v>
      </c>
    </row>
    <row r="688" s="173" customFormat="true" ht="15" hidden="true" customHeight="false" outlineLevel="1" collapsed="false">
      <c r="E688" s="40"/>
      <c r="K688" s="40"/>
      <c r="L688" s="40"/>
      <c r="M688" s="40"/>
      <c r="N688" s="40"/>
      <c r="P688" s="177" t="n">
        <f aca="false">P346</f>
        <v>0</v>
      </c>
      <c r="Q688" s="40"/>
      <c r="R688" s="178"/>
      <c r="S688" s="166" t="n">
        <f aca="false">IF(S483=0,0,(SUMIF(Resource_Planning!$P$49:$P$356,$P688,Resource_Planning!S$49:S$356))/S483-1)</f>
        <v>0</v>
      </c>
      <c r="T688" s="166" t="n">
        <f aca="false">IF(T483=0,0,(SUMIF(Resource_Planning!$P$49:$P$356,$P688,Resource_Planning!T$49:T$356))/T483-1)</f>
        <v>0</v>
      </c>
      <c r="U688" s="166" t="n">
        <f aca="false">IF(U483=0,0,(SUMIF(Resource_Planning!$P$49:$P$356,$P688,Resource_Planning!U$49:U$356))/U483-1)</f>
        <v>0</v>
      </c>
      <c r="V688" s="166" t="n">
        <f aca="false">IF(V483=0,0,(SUMIF(Resource_Planning!$P$49:$P$356,$P688,Resource_Planning!V$49:V$356))/V483-1)</f>
        <v>0</v>
      </c>
      <c r="W688" s="166" t="n">
        <f aca="false">IF(W483=0,0,(SUMIF(Resource_Planning!$P$49:$P$356,$P688,Resource_Planning!W$49:W$356))/W483-1)</f>
        <v>0</v>
      </c>
      <c r="X688" s="166" t="n">
        <f aca="false">IF(X483=0,0,(SUMIF(Resource_Planning!$P$49:$P$356,$P688,Resource_Planning!X$49:X$356))/X483-1)</f>
        <v>0</v>
      </c>
      <c r="Y688" s="166" t="n">
        <f aca="false">IF(Y483=0,0,(SUMIF(Resource_Planning!$P$49:$P$356,$P688,Resource_Planning!Y$49:Y$356))/Y483-1)</f>
        <v>0</v>
      </c>
      <c r="Z688" s="166" t="n">
        <f aca="false">IF(Z483=0,0,(SUMIF(Resource_Planning!$P$49:$P$356,$P688,Resource_Planning!Z$49:Z$356))/Z483-1)</f>
        <v>0</v>
      </c>
      <c r="AA688" s="166" t="n">
        <f aca="false">IF(AA483=0,0,(SUMIF(Resource_Planning!$P$49:$P$356,$P688,Resource_Planning!AA$49:AA$356))/AA483-1)</f>
        <v>0</v>
      </c>
      <c r="AB688" s="166" t="n">
        <f aca="false">IF(AB483=0,0,(SUMIF(Resource_Planning!$P$49:$P$356,$P688,Resource_Planning!AB$49:AB$356))/AB483-1)</f>
        <v>0</v>
      </c>
      <c r="AC688" s="166" t="n">
        <f aca="false">IF(AC483=0,0,(SUMIF(Resource_Planning!$P$49:$P$356,$P688,Resource_Planning!AC$49:AC$356))/AC483-1)</f>
        <v>0</v>
      </c>
      <c r="AD688" s="166" t="n">
        <f aca="false">IF(AD483=0,0,(SUMIF(Resource_Planning!$P$49:$P$356,$P688,Resource_Planning!AD$49:AD$356))/AD483-1)</f>
        <v>0</v>
      </c>
      <c r="AE688" s="166" t="n">
        <f aca="false">IF(AE483=0,0,(SUMIF(Resource_Planning!$P$49:$P$356,$P688,Resource_Planning!AE$49:AE$356))/AE483-1)</f>
        <v>0</v>
      </c>
      <c r="AF688" s="166" t="n">
        <f aca="false">IF(AF483=0,0,(SUMIF(Resource_Planning!$P$49:$P$356,$P688,Resource_Planning!AF$49:AF$356))/AF483-1)</f>
        <v>0</v>
      </c>
      <c r="AG688" s="166" t="n">
        <f aca="false">IF(AG483=0,0,(SUMIF(Resource_Planning!$P$49:$P$356,$P688,Resource_Planning!AG$49:AG$356))/AG483-1)</f>
        <v>0</v>
      </c>
      <c r="AH688" s="166" t="n">
        <f aca="false">IF(AH483=0,0,(SUMIF(Resource_Planning!$P$49:$P$356,$P688,Resource_Planning!AH$49:AH$356))/AH483-1)</f>
        <v>0</v>
      </c>
      <c r="AI688" s="166" t="n">
        <f aca="false">IF(AI483=0,0,(SUMIF(Resource_Planning!$P$49:$P$356,$P688,Resource_Planning!AI$49:AI$356))/AI483-1)</f>
        <v>0</v>
      </c>
      <c r="AJ688" s="166" t="n">
        <f aca="false">IF(AJ483=0,0,(SUMIF(Resource_Planning!$P$49:$P$356,$P688,Resource_Planning!AJ$49:AJ$356))/AJ483-1)</f>
        <v>0</v>
      </c>
      <c r="AK688" s="166" t="n">
        <f aca="false">IF(AK483=0,0,(SUMIF(Resource_Planning!$P$49:$P$356,$P688,Resource_Planning!AK$49:AK$356))/AK483-1)</f>
        <v>0</v>
      </c>
      <c r="AL688" s="166" t="n">
        <f aca="false">IF(AL483=0,0,(SUMIF(Resource_Planning!$P$49:$P$356,$P688,Resource_Planning!AL$49:AL$356))/AL483-1)</f>
        <v>0</v>
      </c>
      <c r="AM688" s="166" t="n">
        <f aca="false">IF(AM483=0,0,(SUMIF(Resource_Planning!$P$49:$P$356,$P688,Resource_Planning!AM$49:AM$356))/AM483-1)</f>
        <v>0</v>
      </c>
      <c r="AN688" s="166" t="n">
        <f aca="false">IF(AN483=0,0,(SUMIF(Resource_Planning!$P$49:$P$356,$P688,Resource_Planning!AN$49:AN$356))/AN483-1)</f>
        <v>0</v>
      </c>
      <c r="AO688" s="166" t="n">
        <f aca="false">IF(AO483=0,0,(SUMIF(Resource_Planning!$P$49:$P$356,$P688,Resource_Planning!AO$49:AO$356))/AO483-1)</f>
        <v>0</v>
      </c>
      <c r="AP688" s="166" t="n">
        <f aca="false">IF(AP483=0,0,(SUMIF(Resource_Planning!$P$49:$P$356,$P688,Resource_Planning!AP$49:AP$356))/AP483-1)</f>
        <v>0</v>
      </c>
      <c r="AQ688" s="166" t="n">
        <f aca="false">IF(AQ483=0,0,(SUMIF(Resource_Planning!$P$49:$P$356,$P688,Resource_Planning!AQ$49:AQ$356))/AQ483-1)</f>
        <v>0</v>
      </c>
      <c r="AR688" s="166" t="n">
        <f aca="false">IF(AR483=0,0,(SUMIF(Resource_Planning!$P$49:$P$356,$P688,Resource_Planning!AR$49:AR$356))/AR483-1)</f>
        <v>0</v>
      </c>
      <c r="AS688" s="166" t="n">
        <f aca="false">IF(AS483=0,0,(SUMIF(Resource_Planning!$P$49:$P$356,$P688,Resource_Planning!AS$49:AS$356))/AS483-1)</f>
        <v>0</v>
      </c>
      <c r="AT688" s="166" t="n">
        <f aca="false">IF(AT483=0,0,(SUMIF(Resource_Planning!$P$49:$P$356,$P688,Resource_Planning!AT$49:AT$356))/AT483-1)</f>
        <v>0</v>
      </c>
      <c r="AU688" s="166" t="n">
        <f aca="false">IF(AU483=0,0,(SUMIF(Resource_Planning!$P$49:$P$356,$P688,Resource_Planning!AU$49:AU$356))/AU483-1)</f>
        <v>0</v>
      </c>
      <c r="AV688" s="166" t="n">
        <f aca="false">IF(AV483=0,0,(SUMIF(Resource_Planning!$P$49:$P$356,$P688,Resource_Planning!AV$49:AV$356))/AV483-1)</f>
        <v>0</v>
      </c>
      <c r="AW688" s="166" t="n">
        <f aca="false">IF(AW483=0,0,(SUMIF(Resource_Planning!$P$49:$P$356,$P688,Resource_Planning!AW$49:AW$356))/AW483-1)</f>
        <v>0</v>
      </c>
      <c r="AX688" s="166" t="n">
        <f aca="false">IF(AX483=0,0,(SUMIF(Resource_Planning!$P$49:$P$356,$P688,Resource_Planning!AX$49:AX$356))/AX483-1)</f>
        <v>0</v>
      </c>
      <c r="AY688" s="166" t="n">
        <f aca="false">IF(AY483=0,0,(SUMIF(Resource_Planning!$P$49:$P$356,$P688,Resource_Planning!AY$49:AY$356))/AY483-1)</f>
        <v>0</v>
      </c>
      <c r="AZ688" s="166" t="n">
        <f aca="false">IF(AZ483=0,0,(SUMIF(Resource_Planning!$P$49:$P$356,$P688,Resource_Planning!AZ$49:AZ$356))/AZ483-1)</f>
        <v>0</v>
      </c>
      <c r="BA688" s="166" t="n">
        <f aca="false">IF(BA483=0,0,(SUMIF(Resource_Planning!$P$49:$P$356,$P688,Resource_Planning!BA$49:BA$356))/BA483-1)</f>
        <v>0</v>
      </c>
      <c r="BB688" s="166" t="n">
        <f aca="false">IF(BB483=0,0,(SUMIF(Resource_Planning!$P$49:$P$356,$P688,Resource_Planning!BB$49:BB$356))/BB483-1)</f>
        <v>0</v>
      </c>
    </row>
    <row r="689" s="173" customFormat="true" ht="15" hidden="true" customHeight="false" outlineLevel="1" collapsed="false">
      <c r="E689" s="40"/>
      <c r="K689" s="40"/>
      <c r="L689" s="40"/>
      <c r="M689" s="40"/>
      <c r="N689" s="40"/>
      <c r="P689" s="177" t="n">
        <f aca="false">P347</f>
        <v>0</v>
      </c>
      <c r="Q689" s="40"/>
      <c r="R689" s="178"/>
      <c r="S689" s="166" t="n">
        <f aca="false">IF(S484=0,0,(SUMIF(Resource_Planning!$P$49:$P$356,$P689,Resource_Planning!S$49:S$356))/S484-1)</f>
        <v>0</v>
      </c>
      <c r="T689" s="166" t="n">
        <f aca="false">IF(T484=0,0,(SUMIF(Resource_Planning!$P$49:$P$356,$P689,Resource_Planning!T$49:T$356))/T484-1)</f>
        <v>0</v>
      </c>
      <c r="U689" s="166" t="n">
        <f aca="false">IF(U484=0,0,(SUMIF(Resource_Planning!$P$49:$P$356,$P689,Resource_Planning!U$49:U$356))/U484-1)</f>
        <v>0</v>
      </c>
      <c r="V689" s="166" t="n">
        <f aca="false">IF(V484=0,0,(SUMIF(Resource_Planning!$P$49:$P$356,$P689,Resource_Planning!V$49:V$356))/V484-1)</f>
        <v>0</v>
      </c>
      <c r="W689" s="166" t="n">
        <f aca="false">IF(W484=0,0,(SUMIF(Resource_Planning!$P$49:$P$356,$P689,Resource_Planning!W$49:W$356))/W484-1)</f>
        <v>0</v>
      </c>
      <c r="X689" s="166" t="n">
        <f aca="false">IF(X484=0,0,(SUMIF(Resource_Planning!$P$49:$P$356,$P689,Resource_Planning!X$49:X$356))/X484-1)</f>
        <v>0</v>
      </c>
      <c r="Y689" s="166" t="n">
        <f aca="false">IF(Y484=0,0,(SUMIF(Resource_Planning!$P$49:$P$356,$P689,Resource_Planning!Y$49:Y$356))/Y484-1)</f>
        <v>0</v>
      </c>
      <c r="Z689" s="166" t="n">
        <f aca="false">IF(Z484=0,0,(SUMIF(Resource_Planning!$P$49:$P$356,$P689,Resource_Planning!Z$49:Z$356))/Z484-1)</f>
        <v>0</v>
      </c>
      <c r="AA689" s="166" t="n">
        <f aca="false">IF(AA484=0,0,(SUMIF(Resource_Planning!$P$49:$P$356,$P689,Resource_Planning!AA$49:AA$356))/AA484-1)</f>
        <v>0</v>
      </c>
      <c r="AB689" s="166" t="n">
        <f aca="false">IF(AB484=0,0,(SUMIF(Resource_Planning!$P$49:$P$356,$P689,Resource_Planning!AB$49:AB$356))/AB484-1)</f>
        <v>0</v>
      </c>
      <c r="AC689" s="166" t="n">
        <f aca="false">IF(AC484=0,0,(SUMIF(Resource_Planning!$P$49:$P$356,$P689,Resource_Planning!AC$49:AC$356))/AC484-1)</f>
        <v>0</v>
      </c>
      <c r="AD689" s="166" t="n">
        <f aca="false">IF(AD484=0,0,(SUMIF(Resource_Planning!$P$49:$P$356,$P689,Resource_Planning!AD$49:AD$356))/AD484-1)</f>
        <v>0</v>
      </c>
      <c r="AE689" s="166" t="n">
        <f aca="false">IF(AE484=0,0,(SUMIF(Resource_Planning!$P$49:$P$356,$P689,Resource_Planning!AE$49:AE$356))/AE484-1)</f>
        <v>0</v>
      </c>
      <c r="AF689" s="166" t="n">
        <f aca="false">IF(AF484=0,0,(SUMIF(Resource_Planning!$P$49:$P$356,$P689,Resource_Planning!AF$49:AF$356))/AF484-1)</f>
        <v>0</v>
      </c>
      <c r="AG689" s="166" t="n">
        <f aca="false">IF(AG484=0,0,(SUMIF(Resource_Planning!$P$49:$P$356,$P689,Resource_Planning!AG$49:AG$356))/AG484-1)</f>
        <v>0</v>
      </c>
      <c r="AH689" s="166" t="n">
        <f aca="false">IF(AH484=0,0,(SUMIF(Resource_Planning!$P$49:$P$356,$P689,Resource_Planning!AH$49:AH$356))/AH484-1)</f>
        <v>0</v>
      </c>
      <c r="AI689" s="166" t="n">
        <f aca="false">IF(AI484=0,0,(SUMIF(Resource_Planning!$P$49:$P$356,$P689,Resource_Planning!AI$49:AI$356))/AI484-1)</f>
        <v>0</v>
      </c>
      <c r="AJ689" s="166" t="n">
        <f aca="false">IF(AJ484=0,0,(SUMIF(Resource_Planning!$P$49:$P$356,$P689,Resource_Planning!AJ$49:AJ$356))/AJ484-1)</f>
        <v>0</v>
      </c>
      <c r="AK689" s="166" t="n">
        <f aca="false">IF(AK484=0,0,(SUMIF(Resource_Planning!$P$49:$P$356,$P689,Resource_Planning!AK$49:AK$356))/AK484-1)</f>
        <v>0</v>
      </c>
      <c r="AL689" s="166" t="n">
        <f aca="false">IF(AL484=0,0,(SUMIF(Resource_Planning!$P$49:$P$356,$P689,Resource_Planning!AL$49:AL$356))/AL484-1)</f>
        <v>0</v>
      </c>
      <c r="AM689" s="166" t="n">
        <f aca="false">IF(AM484=0,0,(SUMIF(Resource_Planning!$P$49:$P$356,$P689,Resource_Planning!AM$49:AM$356))/AM484-1)</f>
        <v>0</v>
      </c>
      <c r="AN689" s="166" t="n">
        <f aca="false">IF(AN484=0,0,(SUMIF(Resource_Planning!$P$49:$P$356,$P689,Resource_Planning!AN$49:AN$356))/AN484-1)</f>
        <v>0</v>
      </c>
      <c r="AO689" s="166" t="n">
        <f aca="false">IF(AO484=0,0,(SUMIF(Resource_Planning!$P$49:$P$356,$P689,Resource_Planning!AO$49:AO$356))/AO484-1)</f>
        <v>0</v>
      </c>
      <c r="AP689" s="166" t="n">
        <f aca="false">IF(AP484=0,0,(SUMIF(Resource_Planning!$P$49:$P$356,$P689,Resource_Planning!AP$49:AP$356))/AP484-1)</f>
        <v>0</v>
      </c>
      <c r="AQ689" s="166" t="n">
        <f aca="false">IF(AQ484=0,0,(SUMIF(Resource_Planning!$P$49:$P$356,$P689,Resource_Planning!AQ$49:AQ$356))/AQ484-1)</f>
        <v>0</v>
      </c>
      <c r="AR689" s="166" t="n">
        <f aca="false">IF(AR484=0,0,(SUMIF(Resource_Planning!$P$49:$P$356,$P689,Resource_Planning!AR$49:AR$356))/AR484-1)</f>
        <v>0</v>
      </c>
      <c r="AS689" s="166" t="n">
        <f aca="false">IF(AS484=0,0,(SUMIF(Resource_Planning!$P$49:$P$356,$P689,Resource_Planning!AS$49:AS$356))/AS484-1)</f>
        <v>0</v>
      </c>
      <c r="AT689" s="166" t="n">
        <f aca="false">IF(AT484=0,0,(SUMIF(Resource_Planning!$P$49:$P$356,$P689,Resource_Planning!AT$49:AT$356))/AT484-1)</f>
        <v>0</v>
      </c>
      <c r="AU689" s="166" t="n">
        <f aca="false">IF(AU484=0,0,(SUMIF(Resource_Planning!$P$49:$P$356,$P689,Resource_Planning!AU$49:AU$356))/AU484-1)</f>
        <v>0</v>
      </c>
      <c r="AV689" s="166" t="n">
        <f aca="false">IF(AV484=0,0,(SUMIF(Resource_Planning!$P$49:$P$356,$P689,Resource_Planning!AV$49:AV$356))/AV484-1)</f>
        <v>0</v>
      </c>
      <c r="AW689" s="166" t="n">
        <f aca="false">IF(AW484=0,0,(SUMIF(Resource_Planning!$P$49:$P$356,$P689,Resource_Planning!AW$49:AW$356))/AW484-1)</f>
        <v>0</v>
      </c>
      <c r="AX689" s="166" t="n">
        <f aca="false">IF(AX484=0,0,(SUMIF(Resource_Planning!$P$49:$P$356,$P689,Resource_Planning!AX$49:AX$356))/AX484-1)</f>
        <v>0</v>
      </c>
      <c r="AY689" s="166" t="n">
        <f aca="false">IF(AY484=0,0,(SUMIF(Resource_Planning!$P$49:$P$356,$P689,Resource_Planning!AY$49:AY$356))/AY484-1)</f>
        <v>0</v>
      </c>
      <c r="AZ689" s="166" t="n">
        <f aca="false">IF(AZ484=0,0,(SUMIF(Resource_Planning!$P$49:$P$356,$P689,Resource_Planning!AZ$49:AZ$356))/AZ484-1)</f>
        <v>0</v>
      </c>
      <c r="BA689" s="166" t="n">
        <f aca="false">IF(BA484=0,0,(SUMIF(Resource_Planning!$P$49:$P$356,$P689,Resource_Planning!BA$49:BA$356))/BA484-1)</f>
        <v>0</v>
      </c>
      <c r="BB689" s="166" t="n">
        <f aca="false">IF(BB484=0,0,(SUMIF(Resource_Planning!$P$49:$P$356,$P689,Resource_Planning!BB$49:BB$356))/BB484-1)</f>
        <v>0</v>
      </c>
    </row>
    <row r="690" s="173" customFormat="true" ht="15" hidden="true" customHeight="false" outlineLevel="1" collapsed="false">
      <c r="E690" s="40"/>
      <c r="K690" s="40"/>
      <c r="L690" s="40"/>
      <c r="M690" s="40"/>
      <c r="N690" s="40"/>
      <c r="P690" s="177" t="n">
        <f aca="false">P348</f>
        <v>0</v>
      </c>
      <c r="Q690" s="40"/>
      <c r="R690" s="178"/>
      <c r="S690" s="166" t="n">
        <f aca="false">IF(S485=0,0,(SUMIF(Resource_Planning!$P$49:$P$356,$P690,Resource_Planning!S$49:S$356))/S485-1)</f>
        <v>0</v>
      </c>
      <c r="T690" s="166" t="n">
        <f aca="false">IF(T485=0,0,(SUMIF(Resource_Planning!$P$49:$P$356,$P690,Resource_Planning!T$49:T$356))/T485-1)</f>
        <v>0</v>
      </c>
      <c r="U690" s="166" t="n">
        <f aca="false">IF(U485=0,0,(SUMIF(Resource_Planning!$P$49:$P$356,$P690,Resource_Planning!U$49:U$356))/U485-1)</f>
        <v>0</v>
      </c>
      <c r="V690" s="166" t="n">
        <f aca="false">IF(V485=0,0,(SUMIF(Resource_Planning!$P$49:$P$356,$P690,Resource_Planning!V$49:V$356))/V485-1)</f>
        <v>0</v>
      </c>
      <c r="W690" s="166" t="n">
        <f aca="false">IF(W485=0,0,(SUMIF(Resource_Planning!$P$49:$P$356,$P690,Resource_Planning!W$49:W$356))/W485-1)</f>
        <v>0</v>
      </c>
      <c r="X690" s="166" t="n">
        <f aca="false">IF(X485=0,0,(SUMIF(Resource_Planning!$P$49:$P$356,$P690,Resource_Planning!X$49:X$356))/X485-1)</f>
        <v>0</v>
      </c>
      <c r="Y690" s="166" t="n">
        <f aca="false">IF(Y485=0,0,(SUMIF(Resource_Planning!$P$49:$P$356,$P690,Resource_Planning!Y$49:Y$356))/Y485-1)</f>
        <v>0</v>
      </c>
      <c r="Z690" s="166" t="n">
        <f aca="false">IF(Z485=0,0,(SUMIF(Resource_Planning!$P$49:$P$356,$P690,Resource_Planning!Z$49:Z$356))/Z485-1)</f>
        <v>0</v>
      </c>
      <c r="AA690" s="166" t="n">
        <f aca="false">IF(AA485=0,0,(SUMIF(Resource_Planning!$P$49:$P$356,$P690,Resource_Planning!AA$49:AA$356))/AA485-1)</f>
        <v>0</v>
      </c>
      <c r="AB690" s="166" t="n">
        <f aca="false">IF(AB485=0,0,(SUMIF(Resource_Planning!$P$49:$P$356,$P690,Resource_Planning!AB$49:AB$356))/AB485-1)</f>
        <v>0</v>
      </c>
      <c r="AC690" s="166" t="n">
        <f aca="false">IF(AC485=0,0,(SUMIF(Resource_Planning!$P$49:$P$356,$P690,Resource_Planning!AC$49:AC$356))/AC485-1)</f>
        <v>0</v>
      </c>
      <c r="AD690" s="166" t="n">
        <f aca="false">IF(AD485=0,0,(SUMIF(Resource_Planning!$P$49:$P$356,$P690,Resource_Planning!AD$49:AD$356))/AD485-1)</f>
        <v>0</v>
      </c>
      <c r="AE690" s="166" t="n">
        <f aca="false">IF(AE485=0,0,(SUMIF(Resource_Planning!$P$49:$P$356,$P690,Resource_Planning!AE$49:AE$356))/AE485-1)</f>
        <v>0</v>
      </c>
      <c r="AF690" s="166" t="n">
        <f aca="false">IF(AF485=0,0,(SUMIF(Resource_Planning!$P$49:$P$356,$P690,Resource_Planning!AF$49:AF$356))/AF485-1)</f>
        <v>0</v>
      </c>
      <c r="AG690" s="166" t="n">
        <f aca="false">IF(AG485=0,0,(SUMIF(Resource_Planning!$P$49:$P$356,$P690,Resource_Planning!AG$49:AG$356))/AG485-1)</f>
        <v>0</v>
      </c>
      <c r="AH690" s="166" t="n">
        <f aca="false">IF(AH485=0,0,(SUMIF(Resource_Planning!$P$49:$P$356,$P690,Resource_Planning!AH$49:AH$356))/AH485-1)</f>
        <v>0</v>
      </c>
      <c r="AI690" s="166" t="n">
        <f aca="false">IF(AI485=0,0,(SUMIF(Resource_Planning!$P$49:$P$356,$P690,Resource_Planning!AI$49:AI$356))/AI485-1)</f>
        <v>0</v>
      </c>
      <c r="AJ690" s="166" t="n">
        <f aca="false">IF(AJ485=0,0,(SUMIF(Resource_Planning!$P$49:$P$356,$P690,Resource_Planning!AJ$49:AJ$356))/AJ485-1)</f>
        <v>0</v>
      </c>
      <c r="AK690" s="166" t="n">
        <f aca="false">IF(AK485=0,0,(SUMIF(Resource_Planning!$P$49:$P$356,$P690,Resource_Planning!AK$49:AK$356))/AK485-1)</f>
        <v>0</v>
      </c>
      <c r="AL690" s="166" t="n">
        <f aca="false">IF(AL485=0,0,(SUMIF(Resource_Planning!$P$49:$P$356,$P690,Resource_Planning!AL$49:AL$356))/AL485-1)</f>
        <v>0</v>
      </c>
      <c r="AM690" s="166" t="n">
        <f aca="false">IF(AM485=0,0,(SUMIF(Resource_Planning!$P$49:$P$356,$P690,Resource_Planning!AM$49:AM$356))/AM485-1)</f>
        <v>0</v>
      </c>
      <c r="AN690" s="166" t="n">
        <f aca="false">IF(AN485=0,0,(SUMIF(Resource_Planning!$P$49:$P$356,$P690,Resource_Planning!AN$49:AN$356))/AN485-1)</f>
        <v>0</v>
      </c>
      <c r="AO690" s="166" t="n">
        <f aca="false">IF(AO485=0,0,(SUMIF(Resource_Planning!$P$49:$P$356,$P690,Resource_Planning!AO$49:AO$356))/AO485-1)</f>
        <v>0</v>
      </c>
      <c r="AP690" s="166" t="n">
        <f aca="false">IF(AP485=0,0,(SUMIF(Resource_Planning!$P$49:$P$356,$P690,Resource_Planning!AP$49:AP$356))/AP485-1)</f>
        <v>0</v>
      </c>
      <c r="AQ690" s="166" t="n">
        <f aca="false">IF(AQ485=0,0,(SUMIF(Resource_Planning!$P$49:$P$356,$P690,Resource_Planning!AQ$49:AQ$356))/AQ485-1)</f>
        <v>0</v>
      </c>
      <c r="AR690" s="166" t="n">
        <f aca="false">IF(AR485=0,0,(SUMIF(Resource_Planning!$P$49:$P$356,$P690,Resource_Planning!AR$49:AR$356))/AR485-1)</f>
        <v>0</v>
      </c>
      <c r="AS690" s="166" t="n">
        <f aca="false">IF(AS485=0,0,(SUMIF(Resource_Planning!$P$49:$P$356,$P690,Resource_Planning!AS$49:AS$356))/AS485-1)</f>
        <v>0</v>
      </c>
      <c r="AT690" s="166" t="n">
        <f aca="false">IF(AT485=0,0,(SUMIF(Resource_Planning!$P$49:$P$356,$P690,Resource_Planning!AT$49:AT$356))/AT485-1)</f>
        <v>0</v>
      </c>
      <c r="AU690" s="166" t="n">
        <f aca="false">IF(AU485=0,0,(SUMIF(Resource_Planning!$P$49:$P$356,$P690,Resource_Planning!AU$49:AU$356))/AU485-1)</f>
        <v>0</v>
      </c>
      <c r="AV690" s="166" t="n">
        <f aca="false">IF(AV485=0,0,(SUMIF(Resource_Planning!$P$49:$P$356,$P690,Resource_Planning!AV$49:AV$356))/AV485-1)</f>
        <v>0</v>
      </c>
      <c r="AW690" s="166" t="n">
        <f aca="false">IF(AW485=0,0,(SUMIF(Resource_Planning!$P$49:$P$356,$P690,Resource_Planning!AW$49:AW$356))/AW485-1)</f>
        <v>0</v>
      </c>
      <c r="AX690" s="166" t="n">
        <f aca="false">IF(AX485=0,0,(SUMIF(Resource_Planning!$P$49:$P$356,$P690,Resource_Planning!AX$49:AX$356))/AX485-1)</f>
        <v>0</v>
      </c>
      <c r="AY690" s="166" t="n">
        <f aca="false">IF(AY485=0,0,(SUMIF(Resource_Planning!$P$49:$P$356,$P690,Resource_Planning!AY$49:AY$356))/AY485-1)</f>
        <v>0</v>
      </c>
      <c r="AZ690" s="166" t="n">
        <f aca="false">IF(AZ485=0,0,(SUMIF(Resource_Planning!$P$49:$P$356,$P690,Resource_Planning!AZ$49:AZ$356))/AZ485-1)</f>
        <v>0</v>
      </c>
      <c r="BA690" s="166" t="n">
        <f aca="false">IF(BA485=0,0,(SUMIF(Resource_Planning!$P$49:$P$356,$P690,Resource_Planning!BA$49:BA$356))/BA485-1)</f>
        <v>0</v>
      </c>
      <c r="BB690" s="166" t="n">
        <f aca="false">IF(BB485=0,0,(SUMIF(Resource_Planning!$P$49:$P$356,$P690,Resource_Planning!BB$49:BB$356))/BB485-1)</f>
        <v>0</v>
      </c>
    </row>
    <row r="691" s="173" customFormat="true" ht="15" hidden="true" customHeight="false" outlineLevel="1" collapsed="false">
      <c r="E691" s="40"/>
      <c r="K691" s="40"/>
      <c r="L691" s="40"/>
      <c r="M691" s="40"/>
      <c r="N691" s="40"/>
      <c r="P691" s="177" t="n">
        <f aca="false">P349</f>
        <v>0</v>
      </c>
      <c r="Q691" s="40"/>
      <c r="R691" s="178"/>
      <c r="S691" s="166" t="n">
        <f aca="false">IF(S486=0,0,(SUMIF(Resource_Planning!$P$49:$P$356,$P691,Resource_Planning!S$49:S$356))/S486-1)</f>
        <v>0</v>
      </c>
      <c r="T691" s="166" t="n">
        <f aca="false">IF(T486=0,0,(SUMIF(Resource_Planning!$P$49:$P$356,$P691,Resource_Planning!T$49:T$356))/T486-1)</f>
        <v>0</v>
      </c>
      <c r="U691" s="166" t="n">
        <f aca="false">IF(U486=0,0,(SUMIF(Resource_Planning!$P$49:$P$356,$P691,Resource_Planning!U$49:U$356))/U486-1)</f>
        <v>0</v>
      </c>
      <c r="V691" s="166" t="n">
        <f aca="false">IF(V486=0,0,(SUMIF(Resource_Planning!$P$49:$P$356,$P691,Resource_Planning!V$49:V$356))/V486-1)</f>
        <v>0</v>
      </c>
      <c r="W691" s="166" t="n">
        <f aca="false">IF(W486=0,0,(SUMIF(Resource_Planning!$P$49:$P$356,$P691,Resource_Planning!W$49:W$356))/W486-1)</f>
        <v>0</v>
      </c>
      <c r="X691" s="166" t="n">
        <f aca="false">IF(X486=0,0,(SUMIF(Resource_Planning!$P$49:$P$356,$P691,Resource_Planning!X$49:X$356))/X486-1)</f>
        <v>0</v>
      </c>
      <c r="Y691" s="166" t="n">
        <f aca="false">IF(Y486=0,0,(SUMIF(Resource_Planning!$P$49:$P$356,$P691,Resource_Planning!Y$49:Y$356))/Y486-1)</f>
        <v>0</v>
      </c>
      <c r="Z691" s="166" t="n">
        <f aca="false">IF(Z486=0,0,(SUMIF(Resource_Planning!$P$49:$P$356,$P691,Resource_Planning!Z$49:Z$356))/Z486-1)</f>
        <v>0</v>
      </c>
      <c r="AA691" s="166" t="n">
        <f aca="false">IF(AA486=0,0,(SUMIF(Resource_Planning!$P$49:$P$356,$P691,Resource_Planning!AA$49:AA$356))/AA486-1)</f>
        <v>0</v>
      </c>
      <c r="AB691" s="166" t="n">
        <f aca="false">IF(AB486=0,0,(SUMIF(Resource_Planning!$P$49:$P$356,$P691,Resource_Planning!AB$49:AB$356))/AB486-1)</f>
        <v>0</v>
      </c>
      <c r="AC691" s="166" t="n">
        <f aca="false">IF(AC486=0,0,(SUMIF(Resource_Planning!$P$49:$P$356,$P691,Resource_Planning!AC$49:AC$356))/AC486-1)</f>
        <v>0</v>
      </c>
      <c r="AD691" s="166" t="n">
        <f aca="false">IF(AD486=0,0,(SUMIF(Resource_Planning!$P$49:$P$356,$P691,Resource_Planning!AD$49:AD$356))/AD486-1)</f>
        <v>0</v>
      </c>
      <c r="AE691" s="166" t="n">
        <f aca="false">IF(AE486=0,0,(SUMIF(Resource_Planning!$P$49:$P$356,$P691,Resource_Planning!AE$49:AE$356))/AE486-1)</f>
        <v>0</v>
      </c>
      <c r="AF691" s="166" t="n">
        <f aca="false">IF(AF486=0,0,(SUMIF(Resource_Planning!$P$49:$P$356,$P691,Resource_Planning!AF$49:AF$356))/AF486-1)</f>
        <v>0</v>
      </c>
      <c r="AG691" s="166" t="n">
        <f aca="false">IF(AG486=0,0,(SUMIF(Resource_Planning!$P$49:$P$356,$P691,Resource_Planning!AG$49:AG$356))/AG486-1)</f>
        <v>0</v>
      </c>
      <c r="AH691" s="166" t="n">
        <f aca="false">IF(AH486=0,0,(SUMIF(Resource_Planning!$P$49:$P$356,$P691,Resource_Planning!AH$49:AH$356))/AH486-1)</f>
        <v>0</v>
      </c>
      <c r="AI691" s="166" t="n">
        <f aca="false">IF(AI486=0,0,(SUMIF(Resource_Planning!$P$49:$P$356,$P691,Resource_Planning!AI$49:AI$356))/AI486-1)</f>
        <v>0</v>
      </c>
      <c r="AJ691" s="166" t="n">
        <f aca="false">IF(AJ486=0,0,(SUMIF(Resource_Planning!$P$49:$P$356,$P691,Resource_Planning!AJ$49:AJ$356))/AJ486-1)</f>
        <v>0</v>
      </c>
      <c r="AK691" s="166" t="n">
        <f aca="false">IF(AK486=0,0,(SUMIF(Resource_Planning!$P$49:$P$356,$P691,Resource_Planning!AK$49:AK$356))/AK486-1)</f>
        <v>0</v>
      </c>
      <c r="AL691" s="166" t="n">
        <f aca="false">IF(AL486=0,0,(SUMIF(Resource_Planning!$P$49:$P$356,$P691,Resource_Planning!AL$49:AL$356))/AL486-1)</f>
        <v>0</v>
      </c>
      <c r="AM691" s="166" t="n">
        <f aca="false">IF(AM486=0,0,(SUMIF(Resource_Planning!$P$49:$P$356,$P691,Resource_Planning!AM$49:AM$356))/AM486-1)</f>
        <v>0</v>
      </c>
      <c r="AN691" s="166" t="n">
        <f aca="false">IF(AN486=0,0,(SUMIF(Resource_Planning!$P$49:$P$356,$P691,Resource_Planning!AN$49:AN$356))/AN486-1)</f>
        <v>0</v>
      </c>
      <c r="AO691" s="166" t="n">
        <f aca="false">IF(AO486=0,0,(SUMIF(Resource_Planning!$P$49:$P$356,$P691,Resource_Planning!AO$49:AO$356))/AO486-1)</f>
        <v>0</v>
      </c>
      <c r="AP691" s="166" t="n">
        <f aca="false">IF(AP486=0,0,(SUMIF(Resource_Planning!$P$49:$P$356,$P691,Resource_Planning!AP$49:AP$356))/AP486-1)</f>
        <v>0</v>
      </c>
      <c r="AQ691" s="166" t="n">
        <f aca="false">IF(AQ486=0,0,(SUMIF(Resource_Planning!$P$49:$P$356,$P691,Resource_Planning!AQ$49:AQ$356))/AQ486-1)</f>
        <v>0</v>
      </c>
      <c r="AR691" s="166" t="n">
        <f aca="false">IF(AR486=0,0,(SUMIF(Resource_Planning!$P$49:$P$356,$P691,Resource_Planning!AR$49:AR$356))/AR486-1)</f>
        <v>0</v>
      </c>
      <c r="AS691" s="166" t="n">
        <f aca="false">IF(AS486=0,0,(SUMIF(Resource_Planning!$P$49:$P$356,$P691,Resource_Planning!AS$49:AS$356))/AS486-1)</f>
        <v>0</v>
      </c>
      <c r="AT691" s="166" t="n">
        <f aca="false">IF(AT486=0,0,(SUMIF(Resource_Planning!$P$49:$P$356,$P691,Resource_Planning!AT$49:AT$356))/AT486-1)</f>
        <v>0</v>
      </c>
      <c r="AU691" s="166" t="n">
        <f aca="false">IF(AU486=0,0,(SUMIF(Resource_Planning!$P$49:$P$356,$P691,Resource_Planning!AU$49:AU$356))/AU486-1)</f>
        <v>0</v>
      </c>
      <c r="AV691" s="166" t="n">
        <f aca="false">IF(AV486=0,0,(SUMIF(Resource_Planning!$P$49:$P$356,$P691,Resource_Planning!AV$49:AV$356))/AV486-1)</f>
        <v>0</v>
      </c>
      <c r="AW691" s="166" t="n">
        <f aca="false">IF(AW486=0,0,(SUMIF(Resource_Planning!$P$49:$P$356,$P691,Resource_Planning!AW$49:AW$356))/AW486-1)</f>
        <v>0</v>
      </c>
      <c r="AX691" s="166" t="n">
        <f aca="false">IF(AX486=0,0,(SUMIF(Resource_Planning!$P$49:$P$356,$P691,Resource_Planning!AX$49:AX$356))/AX486-1)</f>
        <v>0</v>
      </c>
      <c r="AY691" s="166" t="n">
        <f aca="false">IF(AY486=0,0,(SUMIF(Resource_Planning!$P$49:$P$356,$P691,Resource_Planning!AY$49:AY$356))/AY486-1)</f>
        <v>0</v>
      </c>
      <c r="AZ691" s="166" t="n">
        <f aca="false">IF(AZ486=0,0,(SUMIF(Resource_Planning!$P$49:$P$356,$P691,Resource_Planning!AZ$49:AZ$356))/AZ486-1)</f>
        <v>0</v>
      </c>
      <c r="BA691" s="166" t="n">
        <f aca="false">IF(BA486=0,0,(SUMIF(Resource_Planning!$P$49:$P$356,$P691,Resource_Planning!BA$49:BA$356))/BA486-1)</f>
        <v>0</v>
      </c>
      <c r="BB691" s="166" t="n">
        <f aca="false">IF(BB486=0,0,(SUMIF(Resource_Planning!$P$49:$P$356,$P691,Resource_Planning!BB$49:BB$356))/BB486-1)</f>
        <v>0</v>
      </c>
    </row>
    <row r="692" s="173" customFormat="true" ht="15" hidden="true" customHeight="false" outlineLevel="1" collapsed="false">
      <c r="E692" s="40"/>
      <c r="K692" s="40"/>
      <c r="L692" s="40"/>
      <c r="M692" s="40"/>
      <c r="N692" s="40"/>
      <c r="P692" s="177" t="n">
        <f aca="false">P350</f>
        <v>0</v>
      </c>
      <c r="Q692" s="40"/>
      <c r="R692" s="178"/>
      <c r="S692" s="166" t="n">
        <f aca="false">IF(S487=0,0,(SUMIF(Resource_Planning!$P$49:$P$356,$P692,Resource_Planning!S$49:S$356))/S487-1)</f>
        <v>0</v>
      </c>
      <c r="T692" s="166" t="n">
        <f aca="false">IF(T487=0,0,(SUMIF(Resource_Planning!$P$49:$P$356,$P692,Resource_Planning!T$49:T$356))/T487-1)</f>
        <v>0</v>
      </c>
      <c r="U692" s="166" t="n">
        <f aca="false">IF(U487=0,0,(SUMIF(Resource_Planning!$P$49:$P$356,$P692,Resource_Planning!U$49:U$356))/U487-1)</f>
        <v>0</v>
      </c>
      <c r="V692" s="166" t="n">
        <f aca="false">IF(V487=0,0,(SUMIF(Resource_Planning!$P$49:$P$356,$P692,Resource_Planning!V$49:V$356))/V487-1)</f>
        <v>0</v>
      </c>
      <c r="W692" s="166" t="n">
        <f aca="false">IF(W487=0,0,(SUMIF(Resource_Planning!$P$49:$P$356,$P692,Resource_Planning!W$49:W$356))/W487-1)</f>
        <v>0</v>
      </c>
      <c r="X692" s="166" t="n">
        <f aca="false">IF(X487=0,0,(SUMIF(Resource_Planning!$P$49:$P$356,$P692,Resource_Planning!X$49:X$356))/X487-1)</f>
        <v>0</v>
      </c>
      <c r="Y692" s="166" t="n">
        <f aca="false">IF(Y487=0,0,(SUMIF(Resource_Planning!$P$49:$P$356,$P692,Resource_Planning!Y$49:Y$356))/Y487-1)</f>
        <v>0</v>
      </c>
      <c r="Z692" s="166" t="n">
        <f aca="false">IF(Z487=0,0,(SUMIF(Resource_Planning!$P$49:$P$356,$P692,Resource_Planning!Z$49:Z$356))/Z487-1)</f>
        <v>0</v>
      </c>
      <c r="AA692" s="166" t="n">
        <f aca="false">IF(AA487=0,0,(SUMIF(Resource_Planning!$P$49:$P$356,$P692,Resource_Planning!AA$49:AA$356))/AA487-1)</f>
        <v>0</v>
      </c>
      <c r="AB692" s="166" t="n">
        <f aca="false">IF(AB487=0,0,(SUMIF(Resource_Planning!$P$49:$P$356,$P692,Resource_Planning!AB$49:AB$356))/AB487-1)</f>
        <v>0</v>
      </c>
      <c r="AC692" s="166" t="n">
        <f aca="false">IF(AC487=0,0,(SUMIF(Resource_Planning!$P$49:$P$356,$P692,Resource_Planning!AC$49:AC$356))/AC487-1)</f>
        <v>0</v>
      </c>
      <c r="AD692" s="166" t="n">
        <f aca="false">IF(AD487=0,0,(SUMIF(Resource_Planning!$P$49:$P$356,$P692,Resource_Planning!AD$49:AD$356))/AD487-1)</f>
        <v>0</v>
      </c>
      <c r="AE692" s="166" t="n">
        <f aca="false">IF(AE487=0,0,(SUMIF(Resource_Planning!$P$49:$P$356,$P692,Resource_Planning!AE$49:AE$356))/AE487-1)</f>
        <v>0</v>
      </c>
      <c r="AF692" s="166" t="n">
        <f aca="false">IF(AF487=0,0,(SUMIF(Resource_Planning!$P$49:$P$356,$P692,Resource_Planning!AF$49:AF$356))/AF487-1)</f>
        <v>0</v>
      </c>
      <c r="AG692" s="166" t="n">
        <f aca="false">IF(AG487=0,0,(SUMIF(Resource_Planning!$P$49:$P$356,$P692,Resource_Planning!AG$49:AG$356))/AG487-1)</f>
        <v>0</v>
      </c>
      <c r="AH692" s="166" t="n">
        <f aca="false">IF(AH487=0,0,(SUMIF(Resource_Planning!$P$49:$P$356,$P692,Resource_Planning!AH$49:AH$356))/AH487-1)</f>
        <v>0</v>
      </c>
      <c r="AI692" s="166" t="n">
        <f aca="false">IF(AI487=0,0,(SUMIF(Resource_Planning!$P$49:$P$356,$P692,Resource_Planning!AI$49:AI$356))/AI487-1)</f>
        <v>0</v>
      </c>
      <c r="AJ692" s="166" t="n">
        <f aca="false">IF(AJ487=0,0,(SUMIF(Resource_Planning!$P$49:$P$356,$P692,Resource_Planning!AJ$49:AJ$356))/AJ487-1)</f>
        <v>0</v>
      </c>
      <c r="AK692" s="166" t="n">
        <f aca="false">IF(AK487=0,0,(SUMIF(Resource_Planning!$P$49:$P$356,$P692,Resource_Planning!AK$49:AK$356))/AK487-1)</f>
        <v>0</v>
      </c>
      <c r="AL692" s="166" t="n">
        <f aca="false">IF(AL487=0,0,(SUMIF(Resource_Planning!$P$49:$P$356,$P692,Resource_Planning!AL$49:AL$356))/AL487-1)</f>
        <v>0</v>
      </c>
      <c r="AM692" s="166" t="n">
        <f aca="false">IF(AM487=0,0,(SUMIF(Resource_Planning!$P$49:$P$356,$P692,Resource_Planning!AM$49:AM$356))/AM487-1)</f>
        <v>0</v>
      </c>
      <c r="AN692" s="166" t="n">
        <f aca="false">IF(AN487=0,0,(SUMIF(Resource_Planning!$P$49:$P$356,$P692,Resource_Planning!AN$49:AN$356))/AN487-1)</f>
        <v>0</v>
      </c>
      <c r="AO692" s="166" t="n">
        <f aca="false">IF(AO487=0,0,(SUMIF(Resource_Planning!$P$49:$P$356,$P692,Resource_Planning!AO$49:AO$356))/AO487-1)</f>
        <v>0</v>
      </c>
      <c r="AP692" s="166" t="n">
        <f aca="false">IF(AP487=0,0,(SUMIF(Resource_Planning!$P$49:$P$356,$P692,Resource_Planning!AP$49:AP$356))/AP487-1)</f>
        <v>0</v>
      </c>
      <c r="AQ692" s="166" t="n">
        <f aca="false">IF(AQ487=0,0,(SUMIF(Resource_Planning!$P$49:$P$356,$P692,Resource_Planning!AQ$49:AQ$356))/AQ487-1)</f>
        <v>0</v>
      </c>
      <c r="AR692" s="166" t="n">
        <f aca="false">IF(AR487=0,0,(SUMIF(Resource_Planning!$P$49:$P$356,$P692,Resource_Planning!AR$49:AR$356))/AR487-1)</f>
        <v>0</v>
      </c>
      <c r="AS692" s="166" t="n">
        <f aca="false">IF(AS487=0,0,(SUMIF(Resource_Planning!$P$49:$P$356,$P692,Resource_Planning!AS$49:AS$356))/AS487-1)</f>
        <v>0</v>
      </c>
      <c r="AT692" s="166" t="n">
        <f aca="false">IF(AT487=0,0,(SUMIF(Resource_Planning!$P$49:$P$356,$P692,Resource_Planning!AT$49:AT$356))/AT487-1)</f>
        <v>0</v>
      </c>
      <c r="AU692" s="166" t="n">
        <f aca="false">IF(AU487=0,0,(SUMIF(Resource_Planning!$P$49:$P$356,$P692,Resource_Planning!AU$49:AU$356))/AU487-1)</f>
        <v>0</v>
      </c>
      <c r="AV692" s="166" t="n">
        <f aca="false">IF(AV487=0,0,(SUMIF(Resource_Planning!$P$49:$P$356,$P692,Resource_Planning!AV$49:AV$356))/AV487-1)</f>
        <v>0</v>
      </c>
      <c r="AW692" s="166" t="n">
        <f aca="false">IF(AW487=0,0,(SUMIF(Resource_Planning!$P$49:$P$356,$P692,Resource_Planning!AW$49:AW$356))/AW487-1)</f>
        <v>0</v>
      </c>
      <c r="AX692" s="166" t="n">
        <f aca="false">IF(AX487=0,0,(SUMIF(Resource_Planning!$P$49:$P$356,$P692,Resource_Planning!AX$49:AX$356))/AX487-1)</f>
        <v>0</v>
      </c>
      <c r="AY692" s="166" t="n">
        <f aca="false">IF(AY487=0,0,(SUMIF(Resource_Planning!$P$49:$P$356,$P692,Resource_Planning!AY$49:AY$356))/AY487-1)</f>
        <v>0</v>
      </c>
      <c r="AZ692" s="166" t="n">
        <f aca="false">IF(AZ487=0,0,(SUMIF(Resource_Planning!$P$49:$P$356,$P692,Resource_Planning!AZ$49:AZ$356))/AZ487-1)</f>
        <v>0</v>
      </c>
      <c r="BA692" s="166" t="n">
        <f aca="false">IF(BA487=0,0,(SUMIF(Resource_Planning!$P$49:$P$356,$P692,Resource_Planning!BA$49:BA$356))/BA487-1)</f>
        <v>0</v>
      </c>
      <c r="BB692" s="166" t="n">
        <f aca="false">IF(BB487=0,0,(SUMIF(Resource_Planning!$P$49:$P$356,$P692,Resource_Planning!BB$49:BB$356))/BB487-1)</f>
        <v>0</v>
      </c>
    </row>
    <row r="693" s="173" customFormat="true" ht="15" hidden="true" customHeight="false" outlineLevel="1" collapsed="false">
      <c r="E693" s="40"/>
      <c r="K693" s="40"/>
      <c r="L693" s="40"/>
      <c r="M693" s="40"/>
      <c r="N693" s="40"/>
      <c r="P693" s="177" t="n">
        <f aca="false">P351</f>
        <v>0</v>
      </c>
      <c r="Q693" s="40"/>
      <c r="R693" s="178"/>
      <c r="S693" s="166" t="n">
        <f aca="false">IF(S488=0,0,(SUMIF(Resource_Planning!$P$49:$P$356,$P693,Resource_Planning!S$49:S$356))/S488-1)</f>
        <v>0</v>
      </c>
      <c r="T693" s="166" t="n">
        <f aca="false">IF(T488=0,0,(SUMIF(Resource_Planning!$P$49:$P$356,$P693,Resource_Planning!T$49:T$356))/T488-1)</f>
        <v>0</v>
      </c>
      <c r="U693" s="166" t="n">
        <f aca="false">IF(U488=0,0,(SUMIF(Resource_Planning!$P$49:$P$356,$P693,Resource_Planning!U$49:U$356))/U488-1)</f>
        <v>0</v>
      </c>
      <c r="V693" s="166" t="n">
        <f aca="false">IF(V488=0,0,(SUMIF(Resource_Planning!$P$49:$P$356,$P693,Resource_Planning!V$49:V$356))/V488-1)</f>
        <v>0</v>
      </c>
      <c r="W693" s="166" t="n">
        <f aca="false">IF(W488=0,0,(SUMIF(Resource_Planning!$P$49:$P$356,$P693,Resource_Planning!W$49:W$356))/W488-1)</f>
        <v>0</v>
      </c>
      <c r="X693" s="166" t="n">
        <f aca="false">IF(X488=0,0,(SUMIF(Resource_Planning!$P$49:$P$356,$P693,Resource_Planning!X$49:X$356))/X488-1)</f>
        <v>0</v>
      </c>
      <c r="Y693" s="166" t="n">
        <f aca="false">IF(Y488=0,0,(SUMIF(Resource_Planning!$P$49:$P$356,$P693,Resource_Planning!Y$49:Y$356))/Y488-1)</f>
        <v>0</v>
      </c>
      <c r="Z693" s="166" t="n">
        <f aca="false">IF(Z488=0,0,(SUMIF(Resource_Planning!$P$49:$P$356,$P693,Resource_Planning!Z$49:Z$356))/Z488-1)</f>
        <v>0</v>
      </c>
      <c r="AA693" s="166" t="n">
        <f aca="false">IF(AA488=0,0,(SUMIF(Resource_Planning!$P$49:$P$356,$P693,Resource_Planning!AA$49:AA$356))/AA488-1)</f>
        <v>0</v>
      </c>
      <c r="AB693" s="166" t="n">
        <f aca="false">IF(AB488=0,0,(SUMIF(Resource_Planning!$P$49:$P$356,$P693,Resource_Planning!AB$49:AB$356))/AB488-1)</f>
        <v>0</v>
      </c>
      <c r="AC693" s="166" t="n">
        <f aca="false">IF(AC488=0,0,(SUMIF(Resource_Planning!$P$49:$P$356,$P693,Resource_Planning!AC$49:AC$356))/AC488-1)</f>
        <v>0</v>
      </c>
      <c r="AD693" s="166" t="n">
        <f aca="false">IF(AD488=0,0,(SUMIF(Resource_Planning!$P$49:$P$356,$P693,Resource_Planning!AD$49:AD$356))/AD488-1)</f>
        <v>0</v>
      </c>
      <c r="AE693" s="166" t="n">
        <f aca="false">IF(AE488=0,0,(SUMIF(Resource_Planning!$P$49:$P$356,$P693,Resource_Planning!AE$49:AE$356))/AE488-1)</f>
        <v>0</v>
      </c>
      <c r="AF693" s="166" t="n">
        <f aca="false">IF(AF488=0,0,(SUMIF(Resource_Planning!$P$49:$P$356,$P693,Resource_Planning!AF$49:AF$356))/AF488-1)</f>
        <v>0</v>
      </c>
      <c r="AG693" s="166" t="n">
        <f aca="false">IF(AG488=0,0,(SUMIF(Resource_Planning!$P$49:$P$356,$P693,Resource_Planning!AG$49:AG$356))/AG488-1)</f>
        <v>0</v>
      </c>
      <c r="AH693" s="166" t="n">
        <f aca="false">IF(AH488=0,0,(SUMIF(Resource_Planning!$P$49:$P$356,$P693,Resource_Planning!AH$49:AH$356))/AH488-1)</f>
        <v>0</v>
      </c>
      <c r="AI693" s="166" t="n">
        <f aca="false">IF(AI488=0,0,(SUMIF(Resource_Planning!$P$49:$P$356,$P693,Resource_Planning!AI$49:AI$356))/AI488-1)</f>
        <v>0</v>
      </c>
      <c r="AJ693" s="166" t="n">
        <f aca="false">IF(AJ488=0,0,(SUMIF(Resource_Planning!$P$49:$P$356,$P693,Resource_Planning!AJ$49:AJ$356))/AJ488-1)</f>
        <v>0</v>
      </c>
      <c r="AK693" s="166" t="n">
        <f aca="false">IF(AK488=0,0,(SUMIF(Resource_Planning!$P$49:$P$356,$P693,Resource_Planning!AK$49:AK$356))/AK488-1)</f>
        <v>0</v>
      </c>
      <c r="AL693" s="166" t="n">
        <f aca="false">IF(AL488=0,0,(SUMIF(Resource_Planning!$P$49:$P$356,$P693,Resource_Planning!AL$49:AL$356))/AL488-1)</f>
        <v>0</v>
      </c>
      <c r="AM693" s="166" t="n">
        <f aca="false">IF(AM488=0,0,(SUMIF(Resource_Planning!$P$49:$P$356,$P693,Resource_Planning!AM$49:AM$356))/AM488-1)</f>
        <v>0</v>
      </c>
      <c r="AN693" s="166" t="n">
        <f aca="false">IF(AN488=0,0,(SUMIF(Resource_Planning!$P$49:$P$356,$P693,Resource_Planning!AN$49:AN$356))/AN488-1)</f>
        <v>0</v>
      </c>
      <c r="AO693" s="166" t="n">
        <f aca="false">IF(AO488=0,0,(SUMIF(Resource_Planning!$P$49:$P$356,$P693,Resource_Planning!AO$49:AO$356))/AO488-1)</f>
        <v>0</v>
      </c>
      <c r="AP693" s="166" t="n">
        <f aca="false">IF(AP488=0,0,(SUMIF(Resource_Planning!$P$49:$P$356,$P693,Resource_Planning!AP$49:AP$356))/AP488-1)</f>
        <v>0</v>
      </c>
      <c r="AQ693" s="166" t="n">
        <f aca="false">IF(AQ488=0,0,(SUMIF(Resource_Planning!$P$49:$P$356,$P693,Resource_Planning!AQ$49:AQ$356))/AQ488-1)</f>
        <v>0</v>
      </c>
      <c r="AR693" s="166" t="n">
        <f aca="false">IF(AR488=0,0,(SUMIF(Resource_Planning!$P$49:$P$356,$P693,Resource_Planning!AR$49:AR$356))/AR488-1)</f>
        <v>0</v>
      </c>
      <c r="AS693" s="166" t="n">
        <f aca="false">IF(AS488=0,0,(SUMIF(Resource_Planning!$P$49:$P$356,$P693,Resource_Planning!AS$49:AS$356))/AS488-1)</f>
        <v>0</v>
      </c>
      <c r="AT693" s="166" t="n">
        <f aca="false">IF(AT488=0,0,(SUMIF(Resource_Planning!$P$49:$P$356,$P693,Resource_Planning!AT$49:AT$356))/AT488-1)</f>
        <v>0</v>
      </c>
      <c r="AU693" s="166" t="n">
        <f aca="false">IF(AU488=0,0,(SUMIF(Resource_Planning!$P$49:$P$356,$P693,Resource_Planning!AU$49:AU$356))/AU488-1)</f>
        <v>0</v>
      </c>
      <c r="AV693" s="166" t="n">
        <f aca="false">IF(AV488=0,0,(SUMIF(Resource_Planning!$P$49:$P$356,$P693,Resource_Planning!AV$49:AV$356))/AV488-1)</f>
        <v>0</v>
      </c>
      <c r="AW693" s="166" t="n">
        <f aca="false">IF(AW488=0,0,(SUMIF(Resource_Planning!$P$49:$P$356,$P693,Resource_Planning!AW$49:AW$356))/AW488-1)</f>
        <v>0</v>
      </c>
      <c r="AX693" s="166" t="n">
        <f aca="false">IF(AX488=0,0,(SUMIF(Resource_Planning!$P$49:$P$356,$P693,Resource_Planning!AX$49:AX$356))/AX488-1)</f>
        <v>0</v>
      </c>
      <c r="AY693" s="166" t="n">
        <f aca="false">IF(AY488=0,0,(SUMIF(Resource_Planning!$P$49:$P$356,$P693,Resource_Planning!AY$49:AY$356))/AY488-1)</f>
        <v>0</v>
      </c>
      <c r="AZ693" s="166" t="n">
        <f aca="false">IF(AZ488=0,0,(SUMIF(Resource_Planning!$P$49:$P$356,$P693,Resource_Planning!AZ$49:AZ$356))/AZ488-1)</f>
        <v>0</v>
      </c>
      <c r="BA693" s="166" t="n">
        <f aca="false">IF(BA488=0,0,(SUMIF(Resource_Planning!$P$49:$P$356,$P693,Resource_Planning!BA$49:BA$356))/BA488-1)</f>
        <v>0</v>
      </c>
      <c r="BB693" s="166" t="n">
        <f aca="false">IF(BB488=0,0,(SUMIF(Resource_Planning!$P$49:$P$356,$P693,Resource_Planning!BB$49:BB$356))/BB488-1)</f>
        <v>0</v>
      </c>
    </row>
    <row r="694" s="173" customFormat="true" ht="15" hidden="true" customHeight="false" outlineLevel="1" collapsed="false">
      <c r="E694" s="40"/>
      <c r="K694" s="40"/>
      <c r="L694" s="40"/>
      <c r="M694" s="40"/>
      <c r="N694" s="40"/>
      <c r="P694" s="177" t="n">
        <f aca="false">P352</f>
        <v>0</v>
      </c>
      <c r="Q694" s="40"/>
      <c r="R694" s="178"/>
      <c r="S694" s="166" t="n">
        <f aca="false">IF(S489=0,0,(SUMIF(Resource_Planning!$P$49:$P$356,$P694,Resource_Planning!S$49:S$356))/S489-1)</f>
        <v>0</v>
      </c>
      <c r="T694" s="166" t="n">
        <f aca="false">IF(T489=0,0,(SUMIF(Resource_Planning!$P$49:$P$356,$P694,Resource_Planning!T$49:T$356))/T489-1)</f>
        <v>0</v>
      </c>
      <c r="U694" s="166" t="n">
        <f aca="false">IF(U489=0,0,(SUMIF(Resource_Planning!$P$49:$P$356,$P694,Resource_Planning!U$49:U$356))/U489-1)</f>
        <v>0</v>
      </c>
      <c r="V694" s="166" t="n">
        <f aca="false">IF(V489=0,0,(SUMIF(Resource_Planning!$P$49:$P$356,$P694,Resource_Planning!V$49:V$356))/V489-1)</f>
        <v>0</v>
      </c>
      <c r="W694" s="166" t="n">
        <f aca="false">IF(W489=0,0,(SUMIF(Resource_Planning!$P$49:$P$356,$P694,Resource_Planning!W$49:W$356))/W489-1)</f>
        <v>0</v>
      </c>
      <c r="X694" s="166" t="n">
        <f aca="false">IF(X489=0,0,(SUMIF(Resource_Planning!$P$49:$P$356,$P694,Resource_Planning!X$49:X$356))/X489-1)</f>
        <v>0</v>
      </c>
      <c r="Y694" s="166" t="n">
        <f aca="false">IF(Y489=0,0,(SUMIF(Resource_Planning!$P$49:$P$356,$P694,Resource_Planning!Y$49:Y$356))/Y489-1)</f>
        <v>0</v>
      </c>
      <c r="Z694" s="166" t="n">
        <f aca="false">IF(Z489=0,0,(SUMIF(Resource_Planning!$P$49:$P$356,$P694,Resource_Planning!Z$49:Z$356))/Z489-1)</f>
        <v>0</v>
      </c>
      <c r="AA694" s="166" t="n">
        <f aca="false">IF(AA489=0,0,(SUMIF(Resource_Planning!$P$49:$P$356,$P694,Resource_Planning!AA$49:AA$356))/AA489-1)</f>
        <v>0</v>
      </c>
      <c r="AB694" s="166" t="n">
        <f aca="false">IF(AB489=0,0,(SUMIF(Resource_Planning!$P$49:$P$356,$P694,Resource_Planning!AB$49:AB$356))/AB489-1)</f>
        <v>0</v>
      </c>
      <c r="AC694" s="166" t="n">
        <f aca="false">IF(AC489=0,0,(SUMIF(Resource_Planning!$P$49:$P$356,$P694,Resource_Planning!AC$49:AC$356))/AC489-1)</f>
        <v>0</v>
      </c>
      <c r="AD694" s="166" t="n">
        <f aca="false">IF(AD489=0,0,(SUMIF(Resource_Planning!$P$49:$P$356,$P694,Resource_Planning!AD$49:AD$356))/AD489-1)</f>
        <v>0</v>
      </c>
      <c r="AE694" s="166" t="n">
        <f aca="false">IF(AE489=0,0,(SUMIF(Resource_Planning!$P$49:$P$356,$P694,Resource_Planning!AE$49:AE$356))/AE489-1)</f>
        <v>0</v>
      </c>
      <c r="AF694" s="166" t="n">
        <f aca="false">IF(AF489=0,0,(SUMIF(Resource_Planning!$P$49:$P$356,$P694,Resource_Planning!AF$49:AF$356))/AF489-1)</f>
        <v>0</v>
      </c>
      <c r="AG694" s="166" t="n">
        <f aca="false">IF(AG489=0,0,(SUMIF(Resource_Planning!$P$49:$P$356,$P694,Resource_Planning!AG$49:AG$356))/AG489-1)</f>
        <v>0</v>
      </c>
      <c r="AH694" s="166" t="n">
        <f aca="false">IF(AH489=0,0,(SUMIF(Resource_Planning!$P$49:$P$356,$P694,Resource_Planning!AH$49:AH$356))/AH489-1)</f>
        <v>0</v>
      </c>
      <c r="AI694" s="166" t="n">
        <f aca="false">IF(AI489=0,0,(SUMIF(Resource_Planning!$P$49:$P$356,$P694,Resource_Planning!AI$49:AI$356))/AI489-1)</f>
        <v>0</v>
      </c>
      <c r="AJ694" s="166" t="n">
        <f aca="false">IF(AJ489=0,0,(SUMIF(Resource_Planning!$P$49:$P$356,$P694,Resource_Planning!AJ$49:AJ$356))/AJ489-1)</f>
        <v>0</v>
      </c>
      <c r="AK694" s="166" t="n">
        <f aca="false">IF(AK489=0,0,(SUMIF(Resource_Planning!$P$49:$P$356,$P694,Resource_Planning!AK$49:AK$356))/AK489-1)</f>
        <v>0</v>
      </c>
      <c r="AL694" s="166" t="n">
        <f aca="false">IF(AL489=0,0,(SUMIF(Resource_Planning!$P$49:$P$356,$P694,Resource_Planning!AL$49:AL$356))/AL489-1)</f>
        <v>0</v>
      </c>
      <c r="AM694" s="166" t="n">
        <f aca="false">IF(AM489=0,0,(SUMIF(Resource_Planning!$P$49:$P$356,$P694,Resource_Planning!AM$49:AM$356))/AM489-1)</f>
        <v>0</v>
      </c>
      <c r="AN694" s="166" t="n">
        <f aca="false">IF(AN489=0,0,(SUMIF(Resource_Planning!$P$49:$P$356,$P694,Resource_Planning!AN$49:AN$356))/AN489-1)</f>
        <v>0</v>
      </c>
      <c r="AO694" s="166" t="n">
        <f aca="false">IF(AO489=0,0,(SUMIF(Resource_Planning!$P$49:$P$356,$P694,Resource_Planning!AO$49:AO$356))/AO489-1)</f>
        <v>0</v>
      </c>
      <c r="AP694" s="166" t="n">
        <f aca="false">IF(AP489=0,0,(SUMIF(Resource_Planning!$P$49:$P$356,$P694,Resource_Planning!AP$49:AP$356))/AP489-1)</f>
        <v>0</v>
      </c>
      <c r="AQ694" s="166" t="n">
        <f aca="false">IF(AQ489=0,0,(SUMIF(Resource_Planning!$P$49:$P$356,$P694,Resource_Planning!AQ$49:AQ$356))/AQ489-1)</f>
        <v>0</v>
      </c>
      <c r="AR694" s="166" t="n">
        <f aca="false">IF(AR489=0,0,(SUMIF(Resource_Planning!$P$49:$P$356,$P694,Resource_Planning!AR$49:AR$356))/AR489-1)</f>
        <v>0</v>
      </c>
      <c r="AS694" s="166" t="n">
        <f aca="false">IF(AS489=0,0,(SUMIF(Resource_Planning!$P$49:$P$356,$P694,Resource_Planning!AS$49:AS$356))/AS489-1)</f>
        <v>0</v>
      </c>
      <c r="AT694" s="166" t="n">
        <f aca="false">IF(AT489=0,0,(SUMIF(Resource_Planning!$P$49:$P$356,$P694,Resource_Planning!AT$49:AT$356))/AT489-1)</f>
        <v>0</v>
      </c>
      <c r="AU694" s="166" t="n">
        <f aca="false">IF(AU489=0,0,(SUMIF(Resource_Planning!$P$49:$P$356,$P694,Resource_Planning!AU$49:AU$356))/AU489-1)</f>
        <v>0</v>
      </c>
      <c r="AV694" s="166" t="n">
        <f aca="false">IF(AV489=0,0,(SUMIF(Resource_Planning!$P$49:$P$356,$P694,Resource_Planning!AV$49:AV$356))/AV489-1)</f>
        <v>0</v>
      </c>
      <c r="AW694" s="166" t="n">
        <f aca="false">IF(AW489=0,0,(SUMIF(Resource_Planning!$P$49:$P$356,$P694,Resource_Planning!AW$49:AW$356))/AW489-1)</f>
        <v>0</v>
      </c>
      <c r="AX694" s="166" t="n">
        <f aca="false">IF(AX489=0,0,(SUMIF(Resource_Planning!$P$49:$P$356,$P694,Resource_Planning!AX$49:AX$356))/AX489-1)</f>
        <v>0</v>
      </c>
      <c r="AY694" s="166" t="n">
        <f aca="false">IF(AY489=0,0,(SUMIF(Resource_Planning!$P$49:$P$356,$P694,Resource_Planning!AY$49:AY$356))/AY489-1)</f>
        <v>0</v>
      </c>
      <c r="AZ694" s="166" t="n">
        <f aca="false">IF(AZ489=0,0,(SUMIF(Resource_Planning!$P$49:$P$356,$P694,Resource_Planning!AZ$49:AZ$356))/AZ489-1)</f>
        <v>0</v>
      </c>
      <c r="BA694" s="166" t="n">
        <f aca="false">IF(BA489=0,0,(SUMIF(Resource_Planning!$P$49:$P$356,$P694,Resource_Planning!BA$49:BA$356))/BA489-1)</f>
        <v>0</v>
      </c>
      <c r="BB694" s="166" t="n">
        <f aca="false">IF(BB489=0,0,(SUMIF(Resource_Planning!$P$49:$P$356,$P694,Resource_Planning!BB$49:BB$356))/BB489-1)</f>
        <v>0</v>
      </c>
    </row>
    <row r="695" s="173" customFormat="true" ht="15" hidden="true" customHeight="false" outlineLevel="1" collapsed="false">
      <c r="E695" s="40"/>
      <c r="K695" s="40"/>
      <c r="L695" s="40"/>
      <c r="M695" s="40"/>
      <c r="N695" s="40"/>
      <c r="P695" s="177" t="n">
        <f aca="false">P353</f>
        <v>0</v>
      </c>
      <c r="Q695" s="40"/>
      <c r="R695" s="178"/>
      <c r="S695" s="166" t="n">
        <f aca="false">IF(S490=0,0,(SUMIF(Resource_Planning!$P$49:$P$356,$P695,Resource_Planning!S$49:S$356))/S490-1)</f>
        <v>0</v>
      </c>
      <c r="T695" s="166" t="n">
        <f aca="false">IF(T490=0,0,(SUMIF(Resource_Planning!$P$49:$P$356,$P695,Resource_Planning!T$49:T$356))/T490-1)</f>
        <v>0</v>
      </c>
      <c r="U695" s="166" t="n">
        <f aca="false">IF(U490=0,0,(SUMIF(Resource_Planning!$P$49:$P$356,$P695,Resource_Planning!U$49:U$356))/U490-1)</f>
        <v>0</v>
      </c>
      <c r="V695" s="166" t="n">
        <f aca="false">IF(V490=0,0,(SUMIF(Resource_Planning!$P$49:$P$356,$P695,Resource_Planning!V$49:V$356))/V490-1)</f>
        <v>0</v>
      </c>
      <c r="W695" s="166" t="n">
        <f aca="false">IF(W490=0,0,(SUMIF(Resource_Planning!$P$49:$P$356,$P695,Resource_Planning!W$49:W$356))/W490-1)</f>
        <v>0</v>
      </c>
      <c r="X695" s="166" t="n">
        <f aca="false">IF(X490=0,0,(SUMIF(Resource_Planning!$P$49:$P$356,$P695,Resource_Planning!X$49:X$356))/X490-1)</f>
        <v>0</v>
      </c>
      <c r="Y695" s="166" t="n">
        <f aca="false">IF(Y490=0,0,(SUMIF(Resource_Planning!$P$49:$P$356,$P695,Resource_Planning!Y$49:Y$356))/Y490-1)</f>
        <v>0</v>
      </c>
      <c r="Z695" s="166" t="n">
        <f aca="false">IF(Z490=0,0,(SUMIF(Resource_Planning!$P$49:$P$356,$P695,Resource_Planning!Z$49:Z$356))/Z490-1)</f>
        <v>0</v>
      </c>
      <c r="AA695" s="166" t="n">
        <f aca="false">IF(AA490=0,0,(SUMIF(Resource_Planning!$P$49:$P$356,$P695,Resource_Planning!AA$49:AA$356))/AA490-1)</f>
        <v>0</v>
      </c>
      <c r="AB695" s="166" t="n">
        <f aca="false">IF(AB490=0,0,(SUMIF(Resource_Planning!$P$49:$P$356,$P695,Resource_Planning!AB$49:AB$356))/AB490-1)</f>
        <v>0</v>
      </c>
      <c r="AC695" s="166" t="n">
        <f aca="false">IF(AC490=0,0,(SUMIF(Resource_Planning!$P$49:$P$356,$P695,Resource_Planning!AC$49:AC$356))/AC490-1)</f>
        <v>0</v>
      </c>
      <c r="AD695" s="166" t="n">
        <f aca="false">IF(AD490=0,0,(SUMIF(Resource_Planning!$P$49:$P$356,$P695,Resource_Planning!AD$49:AD$356))/AD490-1)</f>
        <v>0</v>
      </c>
      <c r="AE695" s="166" t="n">
        <f aca="false">IF(AE490=0,0,(SUMIF(Resource_Planning!$P$49:$P$356,$P695,Resource_Planning!AE$49:AE$356))/AE490-1)</f>
        <v>0</v>
      </c>
      <c r="AF695" s="166" t="n">
        <f aca="false">IF(AF490=0,0,(SUMIF(Resource_Planning!$P$49:$P$356,$P695,Resource_Planning!AF$49:AF$356))/AF490-1)</f>
        <v>0</v>
      </c>
      <c r="AG695" s="166" t="n">
        <f aca="false">IF(AG490=0,0,(SUMIF(Resource_Planning!$P$49:$P$356,$P695,Resource_Planning!AG$49:AG$356))/AG490-1)</f>
        <v>0</v>
      </c>
      <c r="AH695" s="166" t="n">
        <f aca="false">IF(AH490=0,0,(SUMIF(Resource_Planning!$P$49:$P$356,$P695,Resource_Planning!AH$49:AH$356))/AH490-1)</f>
        <v>0</v>
      </c>
      <c r="AI695" s="166" t="n">
        <f aca="false">IF(AI490=0,0,(SUMIF(Resource_Planning!$P$49:$P$356,$P695,Resource_Planning!AI$49:AI$356))/AI490-1)</f>
        <v>0</v>
      </c>
      <c r="AJ695" s="166" t="n">
        <f aca="false">IF(AJ490=0,0,(SUMIF(Resource_Planning!$P$49:$P$356,$P695,Resource_Planning!AJ$49:AJ$356))/AJ490-1)</f>
        <v>0</v>
      </c>
      <c r="AK695" s="166" t="n">
        <f aca="false">IF(AK490=0,0,(SUMIF(Resource_Planning!$P$49:$P$356,$P695,Resource_Planning!AK$49:AK$356))/AK490-1)</f>
        <v>0</v>
      </c>
      <c r="AL695" s="166" t="n">
        <f aca="false">IF(AL490=0,0,(SUMIF(Resource_Planning!$P$49:$P$356,$P695,Resource_Planning!AL$49:AL$356))/AL490-1)</f>
        <v>0</v>
      </c>
      <c r="AM695" s="166" t="n">
        <f aca="false">IF(AM490=0,0,(SUMIF(Resource_Planning!$P$49:$P$356,$P695,Resource_Planning!AM$49:AM$356))/AM490-1)</f>
        <v>0</v>
      </c>
      <c r="AN695" s="166" t="n">
        <f aca="false">IF(AN490=0,0,(SUMIF(Resource_Planning!$P$49:$P$356,$P695,Resource_Planning!AN$49:AN$356))/AN490-1)</f>
        <v>0</v>
      </c>
      <c r="AO695" s="166" t="n">
        <f aca="false">IF(AO490=0,0,(SUMIF(Resource_Planning!$P$49:$P$356,$P695,Resource_Planning!AO$49:AO$356))/AO490-1)</f>
        <v>0</v>
      </c>
      <c r="AP695" s="166" t="n">
        <f aca="false">IF(AP490=0,0,(SUMIF(Resource_Planning!$P$49:$P$356,$P695,Resource_Planning!AP$49:AP$356))/AP490-1)</f>
        <v>0</v>
      </c>
      <c r="AQ695" s="166" t="n">
        <f aca="false">IF(AQ490=0,0,(SUMIF(Resource_Planning!$P$49:$P$356,$P695,Resource_Planning!AQ$49:AQ$356))/AQ490-1)</f>
        <v>0</v>
      </c>
      <c r="AR695" s="166" t="n">
        <f aca="false">IF(AR490=0,0,(SUMIF(Resource_Planning!$P$49:$P$356,$P695,Resource_Planning!AR$49:AR$356))/AR490-1)</f>
        <v>0</v>
      </c>
      <c r="AS695" s="166" t="n">
        <f aca="false">IF(AS490=0,0,(SUMIF(Resource_Planning!$P$49:$P$356,$P695,Resource_Planning!AS$49:AS$356))/AS490-1)</f>
        <v>0</v>
      </c>
      <c r="AT695" s="166" t="n">
        <f aca="false">IF(AT490=0,0,(SUMIF(Resource_Planning!$P$49:$P$356,$P695,Resource_Planning!AT$49:AT$356))/AT490-1)</f>
        <v>0</v>
      </c>
      <c r="AU695" s="166" t="n">
        <f aca="false">IF(AU490=0,0,(SUMIF(Resource_Planning!$P$49:$P$356,$P695,Resource_Planning!AU$49:AU$356))/AU490-1)</f>
        <v>0</v>
      </c>
      <c r="AV695" s="166" t="n">
        <f aca="false">IF(AV490=0,0,(SUMIF(Resource_Planning!$P$49:$P$356,$P695,Resource_Planning!AV$49:AV$356))/AV490-1)</f>
        <v>0</v>
      </c>
      <c r="AW695" s="166" t="n">
        <f aca="false">IF(AW490=0,0,(SUMIF(Resource_Planning!$P$49:$P$356,$P695,Resource_Planning!AW$49:AW$356))/AW490-1)</f>
        <v>0</v>
      </c>
      <c r="AX695" s="166" t="n">
        <f aca="false">IF(AX490=0,0,(SUMIF(Resource_Planning!$P$49:$P$356,$P695,Resource_Planning!AX$49:AX$356))/AX490-1)</f>
        <v>0</v>
      </c>
      <c r="AY695" s="166" t="n">
        <f aca="false">IF(AY490=0,0,(SUMIF(Resource_Planning!$P$49:$P$356,$P695,Resource_Planning!AY$49:AY$356))/AY490-1)</f>
        <v>0</v>
      </c>
      <c r="AZ695" s="166" t="n">
        <f aca="false">IF(AZ490=0,0,(SUMIF(Resource_Planning!$P$49:$P$356,$P695,Resource_Planning!AZ$49:AZ$356))/AZ490-1)</f>
        <v>0</v>
      </c>
      <c r="BA695" s="166" t="n">
        <f aca="false">IF(BA490=0,0,(SUMIF(Resource_Planning!$P$49:$P$356,$P695,Resource_Planning!BA$49:BA$356))/BA490-1)</f>
        <v>0</v>
      </c>
      <c r="BB695" s="166" t="n">
        <f aca="false">IF(BB490=0,0,(SUMIF(Resource_Planning!$P$49:$P$356,$P695,Resource_Planning!BB$49:BB$356))/BB490-1)</f>
        <v>0</v>
      </c>
    </row>
    <row r="696" s="173" customFormat="true" ht="15.75" hidden="false" customHeight="false" outlineLevel="0" collapsed="false">
      <c r="E696" s="40"/>
      <c r="K696" s="40"/>
      <c r="L696" s="40"/>
      <c r="M696" s="40"/>
      <c r="N696" s="40"/>
      <c r="P696" s="188" t="s">
        <v>234</v>
      </c>
      <c r="Q696" s="40"/>
      <c r="R696" s="180"/>
      <c r="S696" s="189" t="n">
        <f aca="false">SUM(S596:S695)</f>
        <v>-0.8</v>
      </c>
      <c r="T696" s="189" t="n">
        <f aca="false">SUM(T596:T695)</f>
        <v>-0.8</v>
      </c>
      <c r="U696" s="189" t="n">
        <f aca="false">SUM(U596:U695)</f>
        <v>-0.8</v>
      </c>
      <c r="V696" s="189" t="n">
        <f aca="false">SUM(V596:V695)</f>
        <v>-0.8</v>
      </c>
      <c r="W696" s="189" t="n">
        <f aca="false">SUM(W596:W695)</f>
        <v>-0.8</v>
      </c>
      <c r="X696" s="189" t="n">
        <f aca="false">SUM(X596:X695)</f>
        <v>-0.8</v>
      </c>
      <c r="Y696" s="189" t="n">
        <f aca="false">SUM(Y596:Y695)</f>
        <v>-0.8</v>
      </c>
      <c r="Z696" s="189" t="n">
        <f aca="false">SUM(Z596:Z695)</f>
        <v>-0.8</v>
      </c>
      <c r="AA696" s="189" t="n">
        <f aca="false">SUM(AA596:AA695)</f>
        <v>-0.8</v>
      </c>
      <c r="AB696" s="189" t="n">
        <f aca="false">SUM(AB596:AB695)</f>
        <v>-0.8</v>
      </c>
      <c r="AC696" s="189" t="n">
        <f aca="false">SUM(AC596:AC695)</f>
        <v>-0.8</v>
      </c>
      <c r="AD696" s="189" t="n">
        <f aca="false">SUM(AD596:AD695)</f>
        <v>-0.8</v>
      </c>
      <c r="AE696" s="189" t="n">
        <f aca="false">SUM(AE596:AE695)</f>
        <v>-0.8</v>
      </c>
      <c r="AF696" s="189" t="n">
        <f aca="false">SUM(AF596:AF695)</f>
        <v>-0.8</v>
      </c>
      <c r="AG696" s="189" t="n">
        <f aca="false">SUM(AG596:AG695)</f>
        <v>-0.8</v>
      </c>
      <c r="AH696" s="189" t="n">
        <f aca="false">SUM(AH596:AH695)</f>
        <v>-0.8</v>
      </c>
      <c r="AI696" s="189" t="n">
        <f aca="false">SUM(AI596:AI695)</f>
        <v>-0.8</v>
      </c>
      <c r="AJ696" s="189" t="n">
        <f aca="false">SUM(AJ596:AJ695)</f>
        <v>-0.8</v>
      </c>
      <c r="AK696" s="189" t="n">
        <f aca="false">SUM(AK596:AK695)</f>
        <v>-0.8</v>
      </c>
      <c r="AL696" s="189" t="n">
        <f aca="false">SUM(AL596:AL695)</f>
        <v>-0.8</v>
      </c>
      <c r="AM696" s="189" t="n">
        <f aca="false">SUM(AM596:AM695)</f>
        <v>-0.8</v>
      </c>
      <c r="AN696" s="189" t="n">
        <f aca="false">SUM(AN596:AN695)</f>
        <v>-0.8</v>
      </c>
      <c r="AO696" s="189" t="n">
        <f aca="false">SUM(AO596:AO695)</f>
        <v>-0.8</v>
      </c>
      <c r="AP696" s="189" t="n">
        <f aca="false">SUM(AP596:AP695)</f>
        <v>-0.8</v>
      </c>
      <c r="AQ696" s="189" t="n">
        <f aca="false">SUM(AQ596:AQ695)</f>
        <v>-0.8</v>
      </c>
      <c r="AR696" s="189" t="n">
        <f aca="false">SUM(AR596:AR695)</f>
        <v>-0.8</v>
      </c>
      <c r="AS696" s="189" t="n">
        <f aca="false">SUM(AS596:AS695)</f>
        <v>-0.8</v>
      </c>
      <c r="AT696" s="189" t="n">
        <f aca="false">SUM(AT596:AT695)</f>
        <v>-0.8</v>
      </c>
      <c r="AU696" s="189" t="n">
        <f aca="false">SUM(AU596:AU695)</f>
        <v>-0.8</v>
      </c>
      <c r="AV696" s="189" t="n">
        <f aca="false">SUM(AV596:AV695)</f>
        <v>-0.8</v>
      </c>
      <c r="AW696" s="189" t="n">
        <f aca="false">SUM(AW596:AW695)</f>
        <v>-0.8</v>
      </c>
      <c r="AX696" s="189" t="n">
        <f aca="false">SUM(AX596:AX695)</f>
        <v>-0.8</v>
      </c>
      <c r="AY696" s="189" t="n">
        <f aca="false">SUM(AY596:AY695)</f>
        <v>-0.8</v>
      </c>
      <c r="AZ696" s="189" t="n">
        <f aca="false">SUM(AZ596:AZ695)</f>
        <v>-0.8</v>
      </c>
      <c r="BA696" s="189" t="n">
        <f aca="false">SUM(BA596:BA695)</f>
        <v>-0.8</v>
      </c>
      <c r="BB696" s="189" t="n">
        <f aca="false">SUM(BB596:BB695)</f>
        <v>-0.8</v>
      </c>
    </row>
    <row r="697" s="173" customFormat="true" ht="15" hidden="false" customHeight="false" outlineLevel="0" collapsed="false">
      <c r="E697" s="40"/>
      <c r="K697" s="40"/>
      <c r="L697" s="40"/>
      <c r="M697" s="40"/>
      <c r="N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</row>
    <row r="698" s="173" customFormat="true" ht="15.75" hidden="false" customHeight="false" outlineLevel="0" collapsed="false">
      <c r="E698" s="40"/>
      <c r="K698" s="40"/>
      <c r="L698" s="40"/>
      <c r="M698" s="40"/>
      <c r="N698" s="40"/>
      <c r="P698" s="175" t="s">
        <v>235</v>
      </c>
      <c r="Q698" s="40"/>
      <c r="R698" s="175"/>
      <c r="S698" s="176" t="str">
        <f aca="false">S48</f>
        <v>1 / 23</v>
      </c>
      <c r="T698" s="176" t="str">
        <f aca="false">T48</f>
        <v>2 / 23</v>
      </c>
      <c r="U698" s="176" t="str">
        <f aca="false">U48</f>
        <v>3 / 23</v>
      </c>
      <c r="V698" s="176" t="str">
        <f aca="false">V48</f>
        <v>4 / 23</v>
      </c>
      <c r="W698" s="176" t="str">
        <f aca="false">W48</f>
        <v>5 / 23</v>
      </c>
      <c r="X698" s="176" t="str">
        <f aca="false">X48</f>
        <v>6 / 23</v>
      </c>
      <c r="Y698" s="176" t="str">
        <f aca="false">Y48</f>
        <v>7 / 23</v>
      </c>
      <c r="Z698" s="176" t="str">
        <f aca="false">Z48</f>
        <v>8 / 23</v>
      </c>
      <c r="AA698" s="176" t="str">
        <f aca="false">AA48</f>
        <v>9 / 23</v>
      </c>
      <c r="AB698" s="176" t="str">
        <f aca="false">AB48</f>
        <v>10 / 23</v>
      </c>
      <c r="AC698" s="176" t="str">
        <f aca="false">AC48</f>
        <v>11 / 23</v>
      </c>
      <c r="AD698" s="176" t="str">
        <f aca="false">AD48</f>
        <v>12 / 23</v>
      </c>
      <c r="AE698" s="176" t="str">
        <f aca="false">AE48</f>
        <v>1 / 24</v>
      </c>
      <c r="AF698" s="176" t="str">
        <f aca="false">AF48</f>
        <v>2 / 24</v>
      </c>
      <c r="AG698" s="176" t="str">
        <f aca="false">AG48</f>
        <v>3 / 24</v>
      </c>
      <c r="AH698" s="176" t="str">
        <f aca="false">AH48</f>
        <v>4 / 24</v>
      </c>
      <c r="AI698" s="176" t="str">
        <f aca="false">AI48</f>
        <v>5 / 24</v>
      </c>
      <c r="AJ698" s="176" t="str">
        <f aca="false">AJ48</f>
        <v>6 / 24</v>
      </c>
      <c r="AK698" s="176" t="str">
        <f aca="false">AK48</f>
        <v>7 / 24</v>
      </c>
      <c r="AL698" s="176" t="str">
        <f aca="false">AL48</f>
        <v>8 / 24</v>
      </c>
      <c r="AM698" s="176" t="str">
        <f aca="false">AM48</f>
        <v>9 / 24</v>
      </c>
      <c r="AN698" s="176" t="str">
        <f aca="false">AN48</f>
        <v>10 / 24</v>
      </c>
      <c r="AO698" s="176" t="str">
        <f aca="false">AO48</f>
        <v>11 / 24</v>
      </c>
      <c r="AP698" s="176" t="str">
        <f aca="false">AP48</f>
        <v>12 / 24</v>
      </c>
      <c r="AQ698" s="176" t="str">
        <f aca="false">AQ48</f>
        <v>1 / 25</v>
      </c>
      <c r="AR698" s="176" t="str">
        <f aca="false">AR48</f>
        <v>2 / 25</v>
      </c>
      <c r="AS698" s="176" t="str">
        <f aca="false">AS48</f>
        <v>3 / 25</v>
      </c>
      <c r="AT698" s="176" t="str">
        <f aca="false">AT48</f>
        <v>4 / 25</v>
      </c>
      <c r="AU698" s="176" t="str">
        <f aca="false">AU48</f>
        <v>5 / 25</v>
      </c>
      <c r="AV698" s="176" t="str">
        <f aca="false">AV48</f>
        <v>6 / 25</v>
      </c>
      <c r="AW698" s="176" t="str">
        <f aca="false">AW48</f>
        <v>7 / 25</v>
      </c>
      <c r="AX698" s="176" t="str">
        <f aca="false">AX48</f>
        <v>8 / 25</v>
      </c>
      <c r="AY698" s="176" t="str">
        <f aca="false">AY48</f>
        <v>9 / 25</v>
      </c>
      <c r="AZ698" s="176" t="str">
        <f aca="false">AZ48</f>
        <v>10 / 25</v>
      </c>
      <c r="BA698" s="176" t="str">
        <f aca="false">BA48</f>
        <v>11 / 25</v>
      </c>
      <c r="BB698" s="176" t="str">
        <f aca="false">BB48</f>
        <v>12 / 25</v>
      </c>
    </row>
    <row r="699" s="173" customFormat="true" ht="15" hidden="false" customHeight="false" outlineLevel="0" collapsed="false">
      <c r="E699" s="40"/>
      <c r="K699" s="40"/>
      <c r="L699" s="40"/>
      <c r="M699" s="40"/>
      <c r="N699" s="40"/>
      <c r="P699" s="190" t="str">
        <f aca="false">Site!B10</f>
        <v>STS</v>
      </c>
      <c r="Q699" s="40"/>
      <c r="R699" s="191"/>
      <c r="S699" s="192" t="n">
        <f aca="false">SUMIF($C$49:$C$250,$P699,S$49:S$250)</f>
        <v>0</v>
      </c>
      <c r="T699" s="192" t="n">
        <f aca="false">SUMIF($C$49:$C$250,$P699,T$49:T$250)</f>
        <v>0</v>
      </c>
      <c r="U699" s="192" t="n">
        <f aca="false">SUMIF($C$49:$C$250,$P699,U$49:U$250)</f>
        <v>0</v>
      </c>
      <c r="V699" s="192" t="n">
        <f aca="false">SUMIF($C$49:$C$250,$P699,V$49:V$250)</f>
        <v>0</v>
      </c>
      <c r="W699" s="192" t="n">
        <f aca="false">SUMIF($C$49:$C$250,$P699,W$49:W$250)</f>
        <v>0</v>
      </c>
      <c r="X699" s="192" t="n">
        <f aca="false">SUMIF($C$49:$C$250,$P699,X$49:X$250)</f>
        <v>0</v>
      </c>
      <c r="Y699" s="192" t="n">
        <f aca="false">SUMIF($C$49:$C$250,$P699,Y$49:Y$250)</f>
        <v>0</v>
      </c>
      <c r="Z699" s="192" t="n">
        <f aca="false">SUMIF($C$49:$C$250,$P699,Z$49:Z$250)</f>
        <v>0</v>
      </c>
      <c r="AA699" s="192" t="n">
        <f aca="false">SUMIF($C$49:$C$250,$P699,AA$49:AA$250)</f>
        <v>0</v>
      </c>
      <c r="AB699" s="192" t="n">
        <f aca="false">SUMIF($C$49:$C$250,$P699,AB$49:AB$250)</f>
        <v>0</v>
      </c>
      <c r="AC699" s="192" t="n">
        <f aca="false">SUMIF($C$49:$C$250,$P699,AC$49:AC$250)</f>
        <v>0</v>
      </c>
      <c r="AD699" s="192" t="n">
        <f aca="false">SUMIF($C$49:$C$250,$P699,AD$49:AD$250)</f>
        <v>0</v>
      </c>
      <c r="AE699" s="192" t="n">
        <f aca="false">SUMIF($C$49:$C$250,$P699,AE$49:AE$250)</f>
        <v>0</v>
      </c>
      <c r="AF699" s="192" t="n">
        <f aca="false">SUMIF($C$49:$C$250,$P699,AF$49:AF$250)</f>
        <v>0</v>
      </c>
      <c r="AG699" s="192" t="n">
        <f aca="false">SUMIF($C$49:$C$250,$P699,AG$49:AG$250)</f>
        <v>0</v>
      </c>
      <c r="AH699" s="192" t="n">
        <f aca="false">SUMIF($C$49:$C$250,$P699,AH$49:AH$250)</f>
        <v>0</v>
      </c>
      <c r="AI699" s="192" t="n">
        <f aca="false">SUMIF($C$49:$C$250,$P699,AI$49:AI$250)</f>
        <v>0</v>
      </c>
      <c r="AJ699" s="192" t="n">
        <f aca="false">SUMIF($C$49:$C$250,$P699,AJ$49:AJ$250)</f>
        <v>0</v>
      </c>
      <c r="AK699" s="192" t="n">
        <f aca="false">SUMIF($C$49:$C$250,$P699,AK$49:AK$250)</f>
        <v>0</v>
      </c>
      <c r="AL699" s="192" t="n">
        <f aca="false">SUMIF($C$49:$C$250,$P699,AL$49:AL$250)</f>
        <v>0</v>
      </c>
      <c r="AM699" s="192" t="n">
        <f aca="false">SUMIF($C$49:$C$250,$P699,AM$49:AM$250)</f>
        <v>0</v>
      </c>
      <c r="AN699" s="192" t="n">
        <f aca="false">SUMIF($C$49:$C$250,$P699,AN$49:AN$250)</f>
        <v>0</v>
      </c>
      <c r="AO699" s="192" t="n">
        <f aca="false">SUMIF($C$49:$C$250,$P699,AO$49:AO$250)</f>
        <v>0</v>
      </c>
      <c r="AP699" s="192" t="n">
        <f aca="false">SUMIF($C$49:$C$250,$P699,AP$49:AP$250)</f>
        <v>0</v>
      </c>
      <c r="AQ699" s="192" t="n">
        <f aca="false">SUMIF($C$49:$C$250,$P699,AQ$49:AQ$250)</f>
        <v>0</v>
      </c>
      <c r="AR699" s="192" t="n">
        <f aca="false">SUMIF($C$49:$C$250,$P699,AR$49:AR$250)</f>
        <v>0</v>
      </c>
      <c r="AS699" s="192" t="n">
        <f aca="false">SUMIF($C$49:$C$250,$P699,AS$49:AS$250)</f>
        <v>0</v>
      </c>
      <c r="AT699" s="192" t="n">
        <f aca="false">SUMIF($C$49:$C$250,$P699,AT$49:AT$250)</f>
        <v>0</v>
      </c>
      <c r="AU699" s="192" t="n">
        <f aca="false">SUMIF($C$49:$C$250,$P699,AU$49:AU$250)</f>
        <v>0</v>
      </c>
      <c r="AV699" s="192" t="n">
        <f aca="false">SUMIF($C$49:$C$250,$P699,AV$49:AV$250)</f>
        <v>0</v>
      </c>
      <c r="AW699" s="192" t="n">
        <f aca="false">SUMIF($C$49:$C$250,$P699,AW$49:AW$250)</f>
        <v>0</v>
      </c>
      <c r="AX699" s="192" t="n">
        <f aca="false">SUMIF($C$49:$C$250,$P699,AX$49:AX$250)</f>
        <v>0</v>
      </c>
      <c r="AY699" s="192" t="n">
        <f aca="false">SUMIF($C$49:$C$250,$P699,AY$49:AY$250)</f>
        <v>0</v>
      </c>
      <c r="AZ699" s="192" t="n">
        <f aca="false">SUMIF($C$49:$C$250,$P699,AZ$49:AZ$250)</f>
        <v>0</v>
      </c>
      <c r="BA699" s="192" t="n">
        <f aca="false">SUMIF($C$49:$C$250,$P699,BA$49:BA$250)</f>
        <v>0</v>
      </c>
      <c r="BB699" s="192" t="n">
        <f aca="false">SUMIF($C$49:$C$250,$P699,BB$49:BB$250)</f>
        <v>0</v>
      </c>
    </row>
    <row r="700" s="173" customFormat="true" ht="15" hidden="false" customHeight="false" outlineLevel="0" collapsed="false">
      <c r="E700" s="40"/>
      <c r="K700" s="40"/>
      <c r="L700" s="40"/>
      <c r="M700" s="40"/>
      <c r="N700" s="40"/>
      <c r="P700" s="190" t="str">
        <f aca="false">Site!B11</f>
        <v>TCD</v>
      </c>
      <c r="Q700" s="40"/>
      <c r="R700" s="191"/>
      <c r="S700" s="192" t="n">
        <f aca="false">SUMIF($C$49:$C$250,$P700,S$49:S$250)</f>
        <v>0</v>
      </c>
      <c r="T700" s="192" t="n">
        <f aca="false">SUMIF($C$49:$C$250,$P700,T$49:T$250)</f>
        <v>0</v>
      </c>
      <c r="U700" s="192" t="n">
        <f aca="false">SUMIF($C$49:$C$250,$P700,U$49:U$250)</f>
        <v>2325.76</v>
      </c>
      <c r="V700" s="192" t="n">
        <f aca="false">SUMIF($C$49:$C$250,$P700,V$49:V$250)</f>
        <v>1820.16</v>
      </c>
      <c r="W700" s="192" t="n">
        <f aca="false">SUMIF($C$49:$C$250,$P700,W$49:W$250)</f>
        <v>2123.52</v>
      </c>
      <c r="X700" s="192" t="n">
        <f aca="false">SUMIF($C$49:$C$250,$P700,X$49:X$250)</f>
        <v>2022.4</v>
      </c>
      <c r="Y700" s="192" t="n">
        <f aca="false">SUMIF($C$49:$C$250,$P700,Y$49:Y$250)</f>
        <v>2123.52</v>
      </c>
      <c r="Z700" s="192" t="n">
        <f aca="false">SUMIF($C$49:$C$250,$P700,Z$49:Z$250)</f>
        <v>2325.76</v>
      </c>
      <c r="AA700" s="192" t="n">
        <f aca="false">SUMIF($C$49:$C$250,$P700,AA$49:AA$250)</f>
        <v>2123.52</v>
      </c>
      <c r="AB700" s="192" t="n">
        <f aca="false">SUMIF($C$49:$C$250,$P700,AB$49:AB$250)</f>
        <v>2224.64</v>
      </c>
      <c r="AC700" s="192" t="n">
        <f aca="false">SUMIF($C$49:$C$250,$P700,AC$49:AC$250)</f>
        <v>2224.64</v>
      </c>
      <c r="AD700" s="192" t="n">
        <f aca="false">SUMIF($C$49:$C$250,$P700,AD$49:AD$250)</f>
        <v>1921.28</v>
      </c>
      <c r="AE700" s="192" t="n">
        <f aca="false">SUMIF($C$49:$C$250,$P700,AE$49:AE$250)</f>
        <v>0</v>
      </c>
      <c r="AF700" s="192" t="n">
        <f aca="false">SUMIF($C$49:$C$250,$P700,AF$49:AF$250)</f>
        <v>0</v>
      </c>
      <c r="AG700" s="192" t="n">
        <f aca="false">SUMIF($C$49:$C$250,$P700,AG$49:AG$250)</f>
        <v>0</v>
      </c>
      <c r="AH700" s="192" t="n">
        <f aca="false">SUMIF($C$49:$C$250,$P700,AH$49:AH$250)</f>
        <v>0</v>
      </c>
      <c r="AI700" s="192" t="n">
        <f aca="false">SUMIF($C$49:$C$250,$P700,AI$49:AI$250)</f>
        <v>0</v>
      </c>
      <c r="AJ700" s="192" t="n">
        <f aca="false">SUMIF($C$49:$C$250,$P700,AJ$49:AJ$250)</f>
        <v>0</v>
      </c>
      <c r="AK700" s="192" t="n">
        <f aca="false">SUMIF($C$49:$C$250,$P700,AK$49:AK$250)</f>
        <v>0</v>
      </c>
      <c r="AL700" s="192" t="n">
        <f aca="false">SUMIF($C$49:$C$250,$P700,AL$49:AL$250)</f>
        <v>0</v>
      </c>
      <c r="AM700" s="192" t="n">
        <f aca="false">SUMIF($C$49:$C$250,$P700,AM$49:AM$250)</f>
        <v>0</v>
      </c>
      <c r="AN700" s="192" t="n">
        <f aca="false">SUMIF($C$49:$C$250,$P700,AN$49:AN$250)</f>
        <v>0</v>
      </c>
      <c r="AO700" s="192" t="n">
        <f aca="false">SUMIF($C$49:$C$250,$P700,AO$49:AO$250)</f>
        <v>0</v>
      </c>
      <c r="AP700" s="192" t="n">
        <f aca="false">SUMIF($C$49:$C$250,$P700,AP$49:AP$250)</f>
        <v>0</v>
      </c>
      <c r="AQ700" s="192" t="n">
        <f aca="false">SUMIF($C$49:$C$250,$P700,AQ$49:AQ$250)</f>
        <v>0</v>
      </c>
      <c r="AR700" s="192" t="n">
        <f aca="false">SUMIF($C$49:$C$250,$P700,AR$49:AR$250)</f>
        <v>0</v>
      </c>
      <c r="AS700" s="192" t="n">
        <f aca="false">SUMIF($C$49:$C$250,$P700,AS$49:AS$250)</f>
        <v>0</v>
      </c>
      <c r="AT700" s="192" t="n">
        <f aca="false">SUMIF($C$49:$C$250,$P700,AT$49:AT$250)</f>
        <v>0</v>
      </c>
      <c r="AU700" s="192" t="n">
        <f aca="false">SUMIF($C$49:$C$250,$P700,AU$49:AU$250)</f>
        <v>0</v>
      </c>
      <c r="AV700" s="192" t="n">
        <f aca="false">SUMIF($C$49:$C$250,$P700,AV$49:AV$250)</f>
        <v>0</v>
      </c>
      <c r="AW700" s="192" t="n">
        <f aca="false">SUMIF($C$49:$C$250,$P700,AW$49:AW$250)</f>
        <v>0</v>
      </c>
      <c r="AX700" s="192" t="n">
        <f aca="false">SUMIF($C$49:$C$250,$P700,AX$49:AX$250)</f>
        <v>0</v>
      </c>
      <c r="AY700" s="192" t="n">
        <f aca="false">SUMIF($C$49:$C$250,$P700,AY$49:AY$250)</f>
        <v>0</v>
      </c>
      <c r="AZ700" s="192" t="n">
        <f aca="false">SUMIF($C$49:$C$250,$P700,AZ$49:AZ$250)</f>
        <v>0</v>
      </c>
      <c r="BA700" s="192" t="n">
        <f aca="false">SUMIF($C$49:$C$250,$P700,BA$49:BA$250)</f>
        <v>0</v>
      </c>
      <c r="BB700" s="192" t="n">
        <f aca="false">SUMIF($C$49:$C$250,$P700,BB$49:BB$250)</f>
        <v>0</v>
      </c>
    </row>
    <row r="701" s="173" customFormat="true" ht="15" hidden="false" customHeight="false" outlineLevel="0" collapsed="false">
      <c r="E701" s="40"/>
      <c r="K701" s="40"/>
      <c r="L701" s="40"/>
      <c r="M701" s="40"/>
      <c r="N701" s="40"/>
      <c r="P701" s="190" t="str">
        <f aca="false">Site!B12</f>
        <v>Others</v>
      </c>
      <c r="Q701" s="40"/>
      <c r="R701" s="191"/>
      <c r="S701" s="192" t="n">
        <f aca="false">SUMIF($C$49:$C$250,$P701,S$49:S$250)</f>
        <v>0</v>
      </c>
      <c r="T701" s="192" t="n">
        <f aca="false">SUMIF($C$49:$C$250,$P701,T$49:T$250)</f>
        <v>0</v>
      </c>
      <c r="U701" s="192" t="n">
        <f aca="false">SUMIF($C$49:$C$250,$P701,U$49:U$250)</f>
        <v>0</v>
      </c>
      <c r="V701" s="192" t="n">
        <f aca="false">SUMIF($C$49:$C$250,$P701,V$49:V$250)</f>
        <v>0</v>
      </c>
      <c r="W701" s="192" t="n">
        <f aca="false">SUMIF($C$49:$C$250,$P701,W$49:W$250)</f>
        <v>0</v>
      </c>
      <c r="X701" s="192" t="n">
        <f aca="false">SUMIF($C$49:$C$250,$P701,X$49:X$250)</f>
        <v>0</v>
      </c>
      <c r="Y701" s="192" t="n">
        <f aca="false">SUMIF($C$49:$C$250,$P701,Y$49:Y$250)</f>
        <v>0</v>
      </c>
      <c r="Z701" s="192" t="n">
        <f aca="false">SUMIF($C$49:$C$250,$P701,Z$49:Z$250)</f>
        <v>0</v>
      </c>
      <c r="AA701" s="192" t="n">
        <f aca="false">SUMIF($C$49:$C$250,$P701,AA$49:AA$250)</f>
        <v>0</v>
      </c>
      <c r="AB701" s="192" t="n">
        <f aca="false">SUMIF($C$49:$C$250,$P701,AB$49:AB$250)</f>
        <v>0</v>
      </c>
      <c r="AC701" s="192" t="n">
        <f aca="false">SUMIF($C$49:$C$250,$P701,AC$49:AC$250)</f>
        <v>0</v>
      </c>
      <c r="AD701" s="192" t="n">
        <f aca="false">SUMIF($C$49:$C$250,$P701,AD$49:AD$250)</f>
        <v>0</v>
      </c>
      <c r="AE701" s="192" t="n">
        <f aca="false">SUMIF($C$49:$C$250,$P701,AE$49:AE$250)</f>
        <v>0</v>
      </c>
      <c r="AF701" s="192" t="n">
        <f aca="false">SUMIF($C$49:$C$250,$P701,AF$49:AF$250)</f>
        <v>0</v>
      </c>
      <c r="AG701" s="192" t="n">
        <f aca="false">SUMIF($C$49:$C$250,$P701,AG$49:AG$250)</f>
        <v>0</v>
      </c>
      <c r="AH701" s="192" t="n">
        <f aca="false">SUMIF($C$49:$C$250,$P701,AH$49:AH$250)</f>
        <v>0</v>
      </c>
      <c r="AI701" s="192" t="n">
        <f aca="false">SUMIF($C$49:$C$250,$P701,AI$49:AI$250)</f>
        <v>0</v>
      </c>
      <c r="AJ701" s="192" t="n">
        <f aca="false">SUMIF($C$49:$C$250,$P701,AJ$49:AJ$250)</f>
        <v>0</v>
      </c>
      <c r="AK701" s="192" t="n">
        <f aca="false">SUMIF($C$49:$C$250,$P701,AK$49:AK$250)</f>
        <v>0</v>
      </c>
      <c r="AL701" s="192" t="n">
        <f aca="false">SUMIF($C$49:$C$250,$P701,AL$49:AL$250)</f>
        <v>0</v>
      </c>
      <c r="AM701" s="192" t="n">
        <f aca="false">SUMIF($C$49:$C$250,$P701,AM$49:AM$250)</f>
        <v>0</v>
      </c>
      <c r="AN701" s="192" t="n">
        <f aca="false">SUMIF($C$49:$C$250,$P701,AN$49:AN$250)</f>
        <v>0</v>
      </c>
      <c r="AO701" s="192" t="n">
        <f aca="false">SUMIF($C$49:$C$250,$P701,AO$49:AO$250)</f>
        <v>0</v>
      </c>
      <c r="AP701" s="192" t="n">
        <f aca="false">SUMIF($C$49:$C$250,$P701,AP$49:AP$250)</f>
        <v>0</v>
      </c>
      <c r="AQ701" s="192" t="n">
        <f aca="false">SUMIF($C$49:$C$250,$P701,AQ$49:AQ$250)</f>
        <v>0</v>
      </c>
      <c r="AR701" s="192" t="n">
        <f aca="false">SUMIF($C$49:$C$250,$P701,AR$49:AR$250)</f>
        <v>0</v>
      </c>
      <c r="AS701" s="192" t="n">
        <f aca="false">SUMIF($C$49:$C$250,$P701,AS$49:AS$250)</f>
        <v>0</v>
      </c>
      <c r="AT701" s="192" t="n">
        <f aca="false">SUMIF($C$49:$C$250,$P701,AT$49:AT$250)</f>
        <v>0</v>
      </c>
      <c r="AU701" s="192" t="n">
        <f aca="false">SUMIF($C$49:$C$250,$P701,AU$49:AU$250)</f>
        <v>0</v>
      </c>
      <c r="AV701" s="192" t="n">
        <f aca="false">SUMIF($C$49:$C$250,$P701,AV$49:AV$250)</f>
        <v>0</v>
      </c>
      <c r="AW701" s="192" t="n">
        <f aca="false">SUMIF($C$49:$C$250,$P701,AW$49:AW$250)</f>
        <v>0</v>
      </c>
      <c r="AX701" s="192" t="n">
        <f aca="false">SUMIF($C$49:$C$250,$P701,AX$49:AX$250)</f>
        <v>0</v>
      </c>
      <c r="AY701" s="192" t="n">
        <f aca="false">SUMIF($C$49:$C$250,$P701,AY$49:AY$250)</f>
        <v>0</v>
      </c>
      <c r="AZ701" s="192" t="n">
        <f aca="false">SUMIF($C$49:$C$250,$P701,AZ$49:AZ$250)</f>
        <v>0</v>
      </c>
      <c r="BA701" s="192" t="n">
        <f aca="false">SUMIF($C$49:$C$250,$P701,BA$49:BA$250)</f>
        <v>0</v>
      </c>
      <c r="BB701" s="192" t="n">
        <f aca="false">SUMIF($C$49:$C$250,$P701,BB$49:BB$250)</f>
        <v>0</v>
      </c>
    </row>
    <row r="702" s="173" customFormat="true" ht="15" hidden="false" customHeight="false" outlineLevel="0" collapsed="false">
      <c r="E702" s="40"/>
      <c r="K702" s="40"/>
      <c r="L702" s="40"/>
      <c r="M702" s="40"/>
      <c r="N702" s="40"/>
      <c r="P702" s="190" t="n">
        <f aca="false">Site!B13</f>
        <v>0</v>
      </c>
      <c r="Q702" s="40"/>
      <c r="R702" s="191"/>
      <c r="S702" s="192" t="n">
        <f aca="false">SUMIF($C$49:$C$250,$P702,S$49:S$250)</f>
        <v>0</v>
      </c>
      <c r="T702" s="192" t="n">
        <f aca="false">SUMIF($C$49:$C$250,$P702,T$49:T$250)</f>
        <v>0</v>
      </c>
      <c r="U702" s="192" t="n">
        <f aca="false">SUMIF($C$49:$C$250,$P702,U$49:U$250)</f>
        <v>0</v>
      </c>
      <c r="V702" s="192" t="n">
        <f aca="false">SUMIF($C$49:$C$250,$P702,V$49:V$250)</f>
        <v>0</v>
      </c>
      <c r="W702" s="192" t="n">
        <f aca="false">SUMIF($C$49:$C$250,$P702,W$49:W$250)</f>
        <v>0</v>
      </c>
      <c r="X702" s="192" t="n">
        <f aca="false">SUMIF($C$49:$C$250,$P702,X$49:X$250)</f>
        <v>0</v>
      </c>
      <c r="Y702" s="192" t="n">
        <f aca="false">SUMIF($C$49:$C$250,$P702,Y$49:Y$250)</f>
        <v>0</v>
      </c>
      <c r="Z702" s="192" t="n">
        <f aca="false">SUMIF($C$49:$C$250,$P702,Z$49:Z$250)</f>
        <v>0</v>
      </c>
      <c r="AA702" s="192" t="n">
        <f aca="false">SUMIF($C$49:$C$250,$P702,AA$49:AA$250)</f>
        <v>0</v>
      </c>
      <c r="AB702" s="192" t="n">
        <f aca="false">SUMIF($C$49:$C$250,$P702,AB$49:AB$250)</f>
        <v>0</v>
      </c>
      <c r="AC702" s="192" t="n">
        <f aca="false">SUMIF($C$49:$C$250,$P702,AC$49:AC$250)</f>
        <v>0</v>
      </c>
      <c r="AD702" s="192" t="n">
        <f aca="false">SUMIF($C$49:$C$250,$P702,AD$49:AD$250)</f>
        <v>0</v>
      </c>
      <c r="AE702" s="192" t="n">
        <f aca="false">SUMIF($C$49:$C$250,$P702,AE$49:AE$250)</f>
        <v>0</v>
      </c>
      <c r="AF702" s="192" t="n">
        <f aca="false">SUMIF($C$49:$C$250,$P702,AF$49:AF$250)</f>
        <v>0</v>
      </c>
      <c r="AG702" s="192" t="n">
        <f aca="false">SUMIF($C$49:$C$250,$P702,AG$49:AG$250)</f>
        <v>0</v>
      </c>
      <c r="AH702" s="192" t="n">
        <f aca="false">SUMIF($C$49:$C$250,$P702,AH$49:AH$250)</f>
        <v>0</v>
      </c>
      <c r="AI702" s="192" t="n">
        <f aca="false">SUMIF($C$49:$C$250,$P702,AI$49:AI$250)</f>
        <v>0</v>
      </c>
      <c r="AJ702" s="192" t="n">
        <f aca="false">SUMIF($C$49:$C$250,$P702,AJ$49:AJ$250)</f>
        <v>0</v>
      </c>
      <c r="AK702" s="192" t="n">
        <f aca="false">SUMIF($C$49:$C$250,$P702,AK$49:AK$250)</f>
        <v>0</v>
      </c>
      <c r="AL702" s="192" t="n">
        <f aca="false">SUMIF($C$49:$C$250,$P702,AL$49:AL$250)</f>
        <v>0</v>
      </c>
      <c r="AM702" s="192" t="n">
        <f aca="false">SUMIF($C$49:$C$250,$P702,AM$49:AM$250)</f>
        <v>0</v>
      </c>
      <c r="AN702" s="192" t="n">
        <f aca="false">SUMIF($C$49:$C$250,$P702,AN$49:AN$250)</f>
        <v>0</v>
      </c>
      <c r="AO702" s="192" t="n">
        <f aca="false">SUMIF($C$49:$C$250,$P702,AO$49:AO$250)</f>
        <v>0</v>
      </c>
      <c r="AP702" s="192" t="n">
        <f aca="false">SUMIF($C$49:$C$250,$P702,AP$49:AP$250)</f>
        <v>0</v>
      </c>
      <c r="AQ702" s="192" t="n">
        <f aca="false">SUMIF($C$49:$C$250,$P702,AQ$49:AQ$250)</f>
        <v>0</v>
      </c>
      <c r="AR702" s="192" t="n">
        <f aca="false">SUMIF($C$49:$C$250,$P702,AR$49:AR$250)</f>
        <v>0</v>
      </c>
      <c r="AS702" s="192" t="n">
        <f aca="false">SUMIF($C$49:$C$250,$P702,AS$49:AS$250)</f>
        <v>0</v>
      </c>
      <c r="AT702" s="192" t="n">
        <f aca="false">SUMIF($C$49:$C$250,$P702,AT$49:AT$250)</f>
        <v>0</v>
      </c>
      <c r="AU702" s="192" t="n">
        <f aca="false">SUMIF($C$49:$C$250,$P702,AU$49:AU$250)</f>
        <v>0</v>
      </c>
      <c r="AV702" s="192" t="n">
        <f aca="false">SUMIF($C$49:$C$250,$P702,AV$49:AV$250)</f>
        <v>0</v>
      </c>
      <c r="AW702" s="192" t="n">
        <f aca="false">SUMIF($C$49:$C$250,$P702,AW$49:AW$250)</f>
        <v>0</v>
      </c>
      <c r="AX702" s="192" t="n">
        <f aca="false">SUMIF($C$49:$C$250,$P702,AX$49:AX$250)</f>
        <v>0</v>
      </c>
      <c r="AY702" s="192" t="n">
        <f aca="false">SUMIF($C$49:$C$250,$P702,AY$49:AY$250)</f>
        <v>0</v>
      </c>
      <c r="AZ702" s="192" t="n">
        <f aca="false">SUMIF($C$49:$C$250,$P702,AZ$49:AZ$250)</f>
        <v>0</v>
      </c>
      <c r="BA702" s="192" t="n">
        <f aca="false">SUMIF($C$49:$C$250,$P702,BA$49:BA$250)</f>
        <v>0</v>
      </c>
      <c r="BB702" s="192" t="n">
        <f aca="false">SUMIF($C$49:$C$250,$P702,BB$49:BB$250)</f>
        <v>0</v>
      </c>
    </row>
    <row r="703" s="173" customFormat="true" ht="15" hidden="false" customHeight="false" outlineLevel="0" collapsed="false">
      <c r="E703" s="40"/>
      <c r="K703" s="40"/>
      <c r="L703" s="40"/>
      <c r="M703" s="40"/>
      <c r="N703" s="40"/>
      <c r="P703" s="190" t="n">
        <f aca="false">Site!B14</f>
        <v>0</v>
      </c>
      <c r="Q703" s="40"/>
      <c r="R703" s="191"/>
      <c r="S703" s="192" t="n">
        <f aca="false">SUMIF($C$49:$C$250,$P703,S$49:S$250)</f>
        <v>0</v>
      </c>
      <c r="T703" s="192" t="n">
        <f aca="false">SUMIF($C$49:$C$250,$P703,T$49:T$250)</f>
        <v>0</v>
      </c>
      <c r="U703" s="192" t="n">
        <f aca="false">SUMIF($C$49:$C$250,$P703,U$49:U$250)</f>
        <v>0</v>
      </c>
      <c r="V703" s="192" t="n">
        <f aca="false">SUMIF($C$49:$C$250,$P703,V$49:V$250)</f>
        <v>0</v>
      </c>
      <c r="W703" s="192" t="n">
        <f aca="false">SUMIF($C$49:$C$250,$P703,W$49:W$250)</f>
        <v>0</v>
      </c>
      <c r="X703" s="192" t="n">
        <f aca="false">SUMIF($C$49:$C$250,$P703,X$49:X$250)</f>
        <v>0</v>
      </c>
      <c r="Y703" s="192" t="n">
        <f aca="false">SUMIF($C$49:$C$250,$P703,Y$49:Y$250)</f>
        <v>0</v>
      </c>
      <c r="Z703" s="192" t="n">
        <f aca="false">SUMIF($C$49:$C$250,$P703,Z$49:Z$250)</f>
        <v>0</v>
      </c>
      <c r="AA703" s="192" t="n">
        <f aca="false">SUMIF($C$49:$C$250,$P703,AA$49:AA$250)</f>
        <v>0</v>
      </c>
      <c r="AB703" s="192" t="n">
        <f aca="false">SUMIF($C$49:$C$250,$P703,AB$49:AB$250)</f>
        <v>0</v>
      </c>
      <c r="AC703" s="192" t="n">
        <f aca="false">SUMIF($C$49:$C$250,$P703,AC$49:AC$250)</f>
        <v>0</v>
      </c>
      <c r="AD703" s="192" t="n">
        <f aca="false">SUMIF($C$49:$C$250,$P703,AD$49:AD$250)</f>
        <v>0</v>
      </c>
      <c r="AE703" s="192" t="n">
        <f aca="false">SUMIF($C$49:$C$250,$P703,AE$49:AE$250)</f>
        <v>0</v>
      </c>
      <c r="AF703" s="192" t="n">
        <f aca="false">SUMIF($C$49:$C$250,$P703,AF$49:AF$250)</f>
        <v>0</v>
      </c>
      <c r="AG703" s="192" t="n">
        <f aca="false">SUMIF($C$49:$C$250,$P703,AG$49:AG$250)</f>
        <v>0</v>
      </c>
      <c r="AH703" s="192" t="n">
        <f aca="false">SUMIF($C$49:$C$250,$P703,AH$49:AH$250)</f>
        <v>0</v>
      </c>
      <c r="AI703" s="192" t="n">
        <f aca="false">SUMIF($C$49:$C$250,$P703,AI$49:AI$250)</f>
        <v>0</v>
      </c>
      <c r="AJ703" s="192" t="n">
        <f aca="false">SUMIF($C$49:$C$250,$P703,AJ$49:AJ$250)</f>
        <v>0</v>
      </c>
      <c r="AK703" s="192" t="n">
        <f aca="false">SUMIF($C$49:$C$250,$P703,AK$49:AK$250)</f>
        <v>0</v>
      </c>
      <c r="AL703" s="192" t="n">
        <f aca="false">SUMIF($C$49:$C$250,$P703,AL$49:AL$250)</f>
        <v>0</v>
      </c>
      <c r="AM703" s="192" t="n">
        <f aca="false">SUMIF($C$49:$C$250,$P703,AM$49:AM$250)</f>
        <v>0</v>
      </c>
      <c r="AN703" s="192" t="n">
        <f aca="false">SUMIF($C$49:$C$250,$P703,AN$49:AN$250)</f>
        <v>0</v>
      </c>
      <c r="AO703" s="192" t="n">
        <f aca="false">SUMIF($C$49:$C$250,$P703,AO$49:AO$250)</f>
        <v>0</v>
      </c>
      <c r="AP703" s="192" t="n">
        <f aca="false">SUMIF($C$49:$C$250,$P703,AP$49:AP$250)</f>
        <v>0</v>
      </c>
      <c r="AQ703" s="192" t="n">
        <f aca="false">SUMIF($C$49:$C$250,$P703,AQ$49:AQ$250)</f>
        <v>0</v>
      </c>
      <c r="AR703" s="192" t="n">
        <f aca="false">SUMIF($C$49:$C$250,$P703,AR$49:AR$250)</f>
        <v>0</v>
      </c>
      <c r="AS703" s="192" t="n">
        <f aca="false">SUMIF($C$49:$C$250,$P703,AS$49:AS$250)</f>
        <v>0</v>
      </c>
      <c r="AT703" s="192" t="n">
        <f aca="false">SUMIF($C$49:$C$250,$P703,AT$49:AT$250)</f>
        <v>0</v>
      </c>
      <c r="AU703" s="192" t="n">
        <f aca="false">SUMIF($C$49:$C$250,$P703,AU$49:AU$250)</f>
        <v>0</v>
      </c>
      <c r="AV703" s="192" t="n">
        <f aca="false">SUMIF($C$49:$C$250,$P703,AV$49:AV$250)</f>
        <v>0</v>
      </c>
      <c r="AW703" s="192" t="n">
        <f aca="false">SUMIF($C$49:$C$250,$P703,AW$49:AW$250)</f>
        <v>0</v>
      </c>
      <c r="AX703" s="192" t="n">
        <f aca="false">SUMIF($C$49:$C$250,$P703,AX$49:AX$250)</f>
        <v>0</v>
      </c>
      <c r="AY703" s="192" t="n">
        <f aca="false">SUMIF($C$49:$C$250,$P703,AY$49:AY$250)</f>
        <v>0</v>
      </c>
      <c r="AZ703" s="192" t="n">
        <f aca="false">SUMIF($C$49:$C$250,$P703,AZ$49:AZ$250)</f>
        <v>0</v>
      </c>
      <c r="BA703" s="192" t="n">
        <f aca="false">SUMIF($C$49:$C$250,$P703,BA$49:BA$250)</f>
        <v>0</v>
      </c>
      <c r="BB703" s="192" t="n">
        <f aca="false">SUMIF($C$49:$C$250,$P703,BB$49:BB$250)</f>
        <v>0</v>
      </c>
    </row>
    <row r="704" s="173" customFormat="true" ht="15" hidden="false" customHeight="false" outlineLevel="0" collapsed="false">
      <c r="E704" s="40"/>
      <c r="K704" s="40"/>
      <c r="L704" s="40"/>
      <c r="M704" s="40"/>
      <c r="N704" s="40"/>
      <c r="P704" s="190" t="n">
        <f aca="false">Site!B15</f>
        <v>0</v>
      </c>
      <c r="Q704" s="40"/>
      <c r="R704" s="191"/>
      <c r="S704" s="192" t="n">
        <f aca="false">SUMIF($C$49:$C$250,$P704,S$49:S$250)</f>
        <v>0</v>
      </c>
      <c r="T704" s="192" t="n">
        <f aca="false">SUMIF($C$49:$C$250,$P704,T$49:T$250)</f>
        <v>0</v>
      </c>
      <c r="U704" s="192" t="n">
        <f aca="false">SUMIF($C$49:$C$250,$P704,U$49:U$250)</f>
        <v>0</v>
      </c>
      <c r="V704" s="192" t="n">
        <f aca="false">SUMIF($C$49:$C$250,$P704,V$49:V$250)</f>
        <v>0</v>
      </c>
      <c r="W704" s="192" t="n">
        <f aca="false">SUMIF($C$49:$C$250,$P704,W$49:W$250)</f>
        <v>0</v>
      </c>
      <c r="X704" s="192" t="n">
        <f aca="false">SUMIF($C$49:$C$250,$P704,X$49:X$250)</f>
        <v>0</v>
      </c>
      <c r="Y704" s="192" t="n">
        <f aca="false">SUMIF($C$49:$C$250,$P704,Y$49:Y$250)</f>
        <v>0</v>
      </c>
      <c r="Z704" s="192" t="n">
        <f aca="false">SUMIF($C$49:$C$250,$P704,Z$49:Z$250)</f>
        <v>0</v>
      </c>
      <c r="AA704" s="192" t="n">
        <f aca="false">SUMIF($C$49:$C$250,$P704,AA$49:AA$250)</f>
        <v>0</v>
      </c>
      <c r="AB704" s="192" t="n">
        <f aca="false">SUMIF($C$49:$C$250,$P704,AB$49:AB$250)</f>
        <v>0</v>
      </c>
      <c r="AC704" s="192" t="n">
        <f aca="false">SUMIF($C$49:$C$250,$P704,AC$49:AC$250)</f>
        <v>0</v>
      </c>
      <c r="AD704" s="192" t="n">
        <f aca="false">SUMIF($C$49:$C$250,$P704,AD$49:AD$250)</f>
        <v>0</v>
      </c>
      <c r="AE704" s="192" t="n">
        <f aca="false">SUMIF($C$49:$C$250,$P704,AE$49:AE$250)</f>
        <v>0</v>
      </c>
      <c r="AF704" s="192" t="n">
        <f aca="false">SUMIF($C$49:$C$250,$P704,AF$49:AF$250)</f>
        <v>0</v>
      </c>
      <c r="AG704" s="192" t="n">
        <f aca="false">SUMIF($C$49:$C$250,$P704,AG$49:AG$250)</f>
        <v>0</v>
      </c>
      <c r="AH704" s="192" t="n">
        <f aca="false">SUMIF($C$49:$C$250,$P704,AH$49:AH$250)</f>
        <v>0</v>
      </c>
      <c r="AI704" s="192" t="n">
        <f aca="false">SUMIF($C$49:$C$250,$P704,AI$49:AI$250)</f>
        <v>0</v>
      </c>
      <c r="AJ704" s="192" t="n">
        <f aca="false">SUMIF($C$49:$C$250,$P704,AJ$49:AJ$250)</f>
        <v>0</v>
      </c>
      <c r="AK704" s="192" t="n">
        <f aca="false">SUMIF($C$49:$C$250,$P704,AK$49:AK$250)</f>
        <v>0</v>
      </c>
      <c r="AL704" s="192" t="n">
        <f aca="false">SUMIF($C$49:$C$250,$P704,AL$49:AL$250)</f>
        <v>0</v>
      </c>
      <c r="AM704" s="192" t="n">
        <f aca="false">SUMIF($C$49:$C$250,$P704,AM$49:AM$250)</f>
        <v>0</v>
      </c>
      <c r="AN704" s="192" t="n">
        <f aca="false">SUMIF($C$49:$C$250,$P704,AN$49:AN$250)</f>
        <v>0</v>
      </c>
      <c r="AO704" s="192" t="n">
        <f aca="false">SUMIF($C$49:$C$250,$P704,AO$49:AO$250)</f>
        <v>0</v>
      </c>
      <c r="AP704" s="192" t="n">
        <f aca="false">SUMIF($C$49:$C$250,$P704,AP$49:AP$250)</f>
        <v>0</v>
      </c>
      <c r="AQ704" s="192" t="n">
        <f aca="false">SUMIF($C$49:$C$250,$P704,AQ$49:AQ$250)</f>
        <v>0</v>
      </c>
      <c r="AR704" s="192" t="n">
        <f aca="false">SUMIF($C$49:$C$250,$P704,AR$49:AR$250)</f>
        <v>0</v>
      </c>
      <c r="AS704" s="192" t="n">
        <f aca="false">SUMIF($C$49:$C$250,$P704,AS$49:AS$250)</f>
        <v>0</v>
      </c>
      <c r="AT704" s="192" t="n">
        <f aca="false">SUMIF($C$49:$C$250,$P704,AT$49:AT$250)</f>
        <v>0</v>
      </c>
      <c r="AU704" s="192" t="n">
        <f aca="false">SUMIF($C$49:$C$250,$P704,AU$49:AU$250)</f>
        <v>0</v>
      </c>
      <c r="AV704" s="192" t="n">
        <f aca="false">SUMIF($C$49:$C$250,$P704,AV$49:AV$250)</f>
        <v>0</v>
      </c>
      <c r="AW704" s="192" t="n">
        <f aca="false">SUMIF($C$49:$C$250,$P704,AW$49:AW$250)</f>
        <v>0</v>
      </c>
      <c r="AX704" s="192" t="n">
        <f aca="false">SUMIF($C$49:$C$250,$P704,AX$49:AX$250)</f>
        <v>0</v>
      </c>
      <c r="AY704" s="192" t="n">
        <f aca="false">SUMIF($C$49:$C$250,$P704,AY$49:AY$250)</f>
        <v>0</v>
      </c>
      <c r="AZ704" s="192" t="n">
        <f aca="false">SUMIF($C$49:$C$250,$P704,AZ$49:AZ$250)</f>
        <v>0</v>
      </c>
      <c r="BA704" s="192" t="n">
        <f aca="false">SUMIF($C$49:$C$250,$P704,BA$49:BA$250)</f>
        <v>0</v>
      </c>
      <c r="BB704" s="192" t="n">
        <f aca="false">SUMIF($C$49:$C$250,$P704,BB$49:BB$250)</f>
        <v>0</v>
      </c>
    </row>
    <row r="705" s="173" customFormat="true" ht="15" hidden="false" customHeight="false" outlineLevel="0" collapsed="false">
      <c r="E705" s="40"/>
      <c r="K705" s="40"/>
      <c r="L705" s="40"/>
      <c r="M705" s="40"/>
      <c r="N705" s="40"/>
      <c r="P705" s="190" t="n">
        <f aca="false">Site!B16</f>
        <v>0</v>
      </c>
      <c r="Q705" s="40"/>
      <c r="R705" s="191"/>
      <c r="S705" s="192" t="n">
        <f aca="false">SUMIF($C$49:$C$250,$P705,S$49:S$250)</f>
        <v>0</v>
      </c>
      <c r="T705" s="192" t="n">
        <f aca="false">SUMIF($C$49:$C$250,$P705,T$49:T$250)</f>
        <v>0</v>
      </c>
      <c r="U705" s="192" t="n">
        <f aca="false">SUMIF($C$49:$C$250,$P705,U$49:U$250)</f>
        <v>0</v>
      </c>
      <c r="V705" s="192" t="n">
        <f aca="false">SUMIF($C$49:$C$250,$P705,V$49:V$250)</f>
        <v>0</v>
      </c>
      <c r="W705" s="192" t="n">
        <f aca="false">SUMIF($C$49:$C$250,$P705,W$49:W$250)</f>
        <v>0</v>
      </c>
      <c r="X705" s="192" t="n">
        <f aca="false">SUMIF($C$49:$C$250,$P705,X$49:X$250)</f>
        <v>0</v>
      </c>
      <c r="Y705" s="192" t="n">
        <f aca="false">SUMIF($C$49:$C$250,$P705,Y$49:Y$250)</f>
        <v>0</v>
      </c>
      <c r="Z705" s="192" t="n">
        <f aca="false">SUMIF($C$49:$C$250,$P705,Z$49:Z$250)</f>
        <v>0</v>
      </c>
      <c r="AA705" s="192" t="n">
        <f aca="false">SUMIF($C$49:$C$250,$P705,AA$49:AA$250)</f>
        <v>0</v>
      </c>
      <c r="AB705" s="192" t="n">
        <f aca="false">SUMIF($C$49:$C$250,$P705,AB$49:AB$250)</f>
        <v>0</v>
      </c>
      <c r="AC705" s="192" t="n">
        <f aca="false">SUMIF($C$49:$C$250,$P705,AC$49:AC$250)</f>
        <v>0</v>
      </c>
      <c r="AD705" s="192" t="n">
        <f aca="false">SUMIF($C$49:$C$250,$P705,AD$49:AD$250)</f>
        <v>0</v>
      </c>
      <c r="AE705" s="192" t="n">
        <f aca="false">SUMIF($C$49:$C$250,$P705,AE$49:AE$250)</f>
        <v>0</v>
      </c>
      <c r="AF705" s="192" t="n">
        <f aca="false">SUMIF($C$49:$C$250,$P705,AF$49:AF$250)</f>
        <v>0</v>
      </c>
      <c r="AG705" s="192" t="n">
        <f aca="false">SUMIF($C$49:$C$250,$P705,AG$49:AG$250)</f>
        <v>0</v>
      </c>
      <c r="AH705" s="192" t="n">
        <f aca="false">SUMIF($C$49:$C$250,$P705,AH$49:AH$250)</f>
        <v>0</v>
      </c>
      <c r="AI705" s="192" t="n">
        <f aca="false">SUMIF($C$49:$C$250,$P705,AI$49:AI$250)</f>
        <v>0</v>
      </c>
      <c r="AJ705" s="192" t="n">
        <f aca="false">SUMIF($C$49:$C$250,$P705,AJ$49:AJ$250)</f>
        <v>0</v>
      </c>
      <c r="AK705" s="192" t="n">
        <f aca="false">SUMIF($C$49:$C$250,$P705,AK$49:AK$250)</f>
        <v>0</v>
      </c>
      <c r="AL705" s="192" t="n">
        <f aca="false">SUMIF($C$49:$C$250,$P705,AL$49:AL$250)</f>
        <v>0</v>
      </c>
      <c r="AM705" s="192" t="n">
        <f aca="false">SUMIF($C$49:$C$250,$P705,AM$49:AM$250)</f>
        <v>0</v>
      </c>
      <c r="AN705" s="192" t="n">
        <f aca="false">SUMIF($C$49:$C$250,$P705,AN$49:AN$250)</f>
        <v>0</v>
      </c>
      <c r="AO705" s="192" t="n">
        <f aca="false">SUMIF($C$49:$C$250,$P705,AO$49:AO$250)</f>
        <v>0</v>
      </c>
      <c r="AP705" s="192" t="n">
        <f aca="false">SUMIF($C$49:$C$250,$P705,AP$49:AP$250)</f>
        <v>0</v>
      </c>
      <c r="AQ705" s="192" t="n">
        <f aca="false">SUMIF($C$49:$C$250,$P705,AQ$49:AQ$250)</f>
        <v>0</v>
      </c>
      <c r="AR705" s="192" t="n">
        <f aca="false">SUMIF($C$49:$C$250,$P705,AR$49:AR$250)</f>
        <v>0</v>
      </c>
      <c r="AS705" s="192" t="n">
        <f aca="false">SUMIF($C$49:$C$250,$P705,AS$49:AS$250)</f>
        <v>0</v>
      </c>
      <c r="AT705" s="192" t="n">
        <f aca="false">SUMIF($C$49:$C$250,$P705,AT$49:AT$250)</f>
        <v>0</v>
      </c>
      <c r="AU705" s="192" t="n">
        <f aca="false">SUMIF($C$49:$C$250,$P705,AU$49:AU$250)</f>
        <v>0</v>
      </c>
      <c r="AV705" s="192" t="n">
        <f aca="false">SUMIF($C$49:$C$250,$P705,AV$49:AV$250)</f>
        <v>0</v>
      </c>
      <c r="AW705" s="192" t="n">
        <f aca="false">SUMIF($C$49:$C$250,$P705,AW$49:AW$250)</f>
        <v>0</v>
      </c>
      <c r="AX705" s="192" t="n">
        <f aca="false">SUMIF($C$49:$C$250,$P705,AX$49:AX$250)</f>
        <v>0</v>
      </c>
      <c r="AY705" s="192" t="n">
        <f aca="false">SUMIF($C$49:$C$250,$P705,AY$49:AY$250)</f>
        <v>0</v>
      </c>
      <c r="AZ705" s="192" t="n">
        <f aca="false">SUMIF($C$49:$C$250,$P705,AZ$49:AZ$250)</f>
        <v>0</v>
      </c>
      <c r="BA705" s="192" t="n">
        <f aca="false">SUMIF($C$49:$C$250,$P705,BA$49:BA$250)</f>
        <v>0</v>
      </c>
      <c r="BB705" s="192" t="n">
        <f aca="false">SUMIF($C$49:$C$250,$P705,BB$49:BB$250)</f>
        <v>0</v>
      </c>
    </row>
    <row r="706" s="173" customFormat="true" ht="15" hidden="false" customHeight="false" outlineLevel="0" collapsed="false">
      <c r="E706" s="40"/>
      <c r="K706" s="40"/>
      <c r="L706" s="40"/>
      <c r="M706" s="40"/>
      <c r="N706" s="40"/>
      <c r="P706" s="190" t="n">
        <f aca="false">Site!B17</f>
        <v>0</v>
      </c>
      <c r="Q706" s="40"/>
      <c r="R706" s="191"/>
      <c r="S706" s="192" t="n">
        <f aca="false">SUMIF($C$49:$C$250,$P706,S$49:S$250)</f>
        <v>0</v>
      </c>
      <c r="T706" s="192" t="n">
        <f aca="false">SUMIF($C$49:$C$250,$P706,T$49:T$250)</f>
        <v>0</v>
      </c>
      <c r="U706" s="192" t="n">
        <f aca="false">SUMIF($C$49:$C$250,$P706,U$49:U$250)</f>
        <v>0</v>
      </c>
      <c r="V706" s="192" t="n">
        <f aca="false">SUMIF($C$49:$C$250,$P706,V$49:V$250)</f>
        <v>0</v>
      </c>
      <c r="W706" s="192" t="n">
        <f aca="false">SUMIF($C$49:$C$250,$P706,W$49:W$250)</f>
        <v>0</v>
      </c>
      <c r="X706" s="192" t="n">
        <f aca="false">SUMIF($C$49:$C$250,$P706,X$49:X$250)</f>
        <v>0</v>
      </c>
      <c r="Y706" s="192" t="n">
        <f aca="false">SUMIF($C$49:$C$250,$P706,Y$49:Y$250)</f>
        <v>0</v>
      </c>
      <c r="Z706" s="192" t="n">
        <f aca="false">SUMIF($C$49:$C$250,$P706,Z$49:Z$250)</f>
        <v>0</v>
      </c>
      <c r="AA706" s="192" t="n">
        <f aca="false">SUMIF($C$49:$C$250,$P706,AA$49:AA$250)</f>
        <v>0</v>
      </c>
      <c r="AB706" s="192" t="n">
        <f aca="false">SUMIF($C$49:$C$250,$P706,AB$49:AB$250)</f>
        <v>0</v>
      </c>
      <c r="AC706" s="192" t="n">
        <f aca="false">SUMIF($C$49:$C$250,$P706,AC$49:AC$250)</f>
        <v>0</v>
      </c>
      <c r="AD706" s="192" t="n">
        <f aca="false">SUMIF($C$49:$C$250,$P706,AD$49:AD$250)</f>
        <v>0</v>
      </c>
      <c r="AE706" s="192" t="n">
        <f aca="false">SUMIF($C$49:$C$250,$P706,AE$49:AE$250)</f>
        <v>0</v>
      </c>
      <c r="AF706" s="192" t="n">
        <f aca="false">SUMIF($C$49:$C$250,$P706,AF$49:AF$250)</f>
        <v>0</v>
      </c>
      <c r="AG706" s="192" t="n">
        <f aca="false">SUMIF($C$49:$C$250,$P706,AG$49:AG$250)</f>
        <v>0</v>
      </c>
      <c r="AH706" s="192" t="n">
        <f aca="false">SUMIF($C$49:$C$250,$P706,AH$49:AH$250)</f>
        <v>0</v>
      </c>
      <c r="AI706" s="192" t="n">
        <f aca="false">SUMIF($C$49:$C$250,$P706,AI$49:AI$250)</f>
        <v>0</v>
      </c>
      <c r="AJ706" s="192" t="n">
        <f aca="false">SUMIF($C$49:$C$250,$P706,AJ$49:AJ$250)</f>
        <v>0</v>
      </c>
      <c r="AK706" s="192" t="n">
        <f aca="false">SUMIF($C$49:$C$250,$P706,AK$49:AK$250)</f>
        <v>0</v>
      </c>
      <c r="AL706" s="192" t="n">
        <f aca="false">SUMIF($C$49:$C$250,$P706,AL$49:AL$250)</f>
        <v>0</v>
      </c>
      <c r="AM706" s="192" t="n">
        <f aca="false">SUMIF($C$49:$C$250,$P706,AM$49:AM$250)</f>
        <v>0</v>
      </c>
      <c r="AN706" s="192" t="n">
        <f aca="false">SUMIF($C$49:$C$250,$P706,AN$49:AN$250)</f>
        <v>0</v>
      </c>
      <c r="AO706" s="192" t="n">
        <f aca="false">SUMIF($C$49:$C$250,$P706,AO$49:AO$250)</f>
        <v>0</v>
      </c>
      <c r="AP706" s="192" t="n">
        <f aca="false">SUMIF($C$49:$C$250,$P706,AP$49:AP$250)</f>
        <v>0</v>
      </c>
      <c r="AQ706" s="192" t="n">
        <f aca="false">SUMIF($C$49:$C$250,$P706,AQ$49:AQ$250)</f>
        <v>0</v>
      </c>
      <c r="AR706" s="192" t="n">
        <f aca="false">SUMIF($C$49:$C$250,$P706,AR$49:AR$250)</f>
        <v>0</v>
      </c>
      <c r="AS706" s="192" t="n">
        <f aca="false">SUMIF($C$49:$C$250,$P706,AS$49:AS$250)</f>
        <v>0</v>
      </c>
      <c r="AT706" s="192" t="n">
        <f aca="false">SUMIF($C$49:$C$250,$P706,AT$49:AT$250)</f>
        <v>0</v>
      </c>
      <c r="AU706" s="192" t="n">
        <f aca="false">SUMIF($C$49:$C$250,$P706,AU$49:AU$250)</f>
        <v>0</v>
      </c>
      <c r="AV706" s="192" t="n">
        <f aca="false">SUMIF($C$49:$C$250,$P706,AV$49:AV$250)</f>
        <v>0</v>
      </c>
      <c r="AW706" s="192" t="n">
        <f aca="false">SUMIF($C$49:$C$250,$P706,AW$49:AW$250)</f>
        <v>0</v>
      </c>
      <c r="AX706" s="192" t="n">
        <f aca="false">SUMIF($C$49:$C$250,$P706,AX$49:AX$250)</f>
        <v>0</v>
      </c>
      <c r="AY706" s="192" t="n">
        <f aca="false">SUMIF($C$49:$C$250,$P706,AY$49:AY$250)</f>
        <v>0</v>
      </c>
      <c r="AZ706" s="192" t="n">
        <f aca="false">SUMIF($C$49:$C$250,$P706,AZ$49:AZ$250)</f>
        <v>0</v>
      </c>
      <c r="BA706" s="192" t="n">
        <f aca="false">SUMIF($C$49:$C$250,$P706,BA$49:BA$250)</f>
        <v>0</v>
      </c>
      <c r="BB706" s="192" t="n">
        <f aca="false">SUMIF($C$49:$C$250,$P706,BB$49:BB$250)</f>
        <v>0</v>
      </c>
    </row>
    <row r="707" s="173" customFormat="true" ht="15" hidden="false" customHeight="false" outlineLevel="0" collapsed="false">
      <c r="E707" s="40"/>
      <c r="K707" s="40"/>
      <c r="L707" s="40"/>
      <c r="M707" s="40"/>
      <c r="N707" s="40"/>
      <c r="P707" s="190" t="n">
        <f aca="false">Site!B18</f>
        <v>0</v>
      </c>
      <c r="Q707" s="40"/>
      <c r="R707" s="191"/>
      <c r="S707" s="192" t="n">
        <f aca="false">SUMIF($C$49:$C$250,$P707,S$49:S$250)</f>
        <v>0</v>
      </c>
      <c r="T707" s="192" t="n">
        <f aca="false">SUMIF($C$49:$C$250,$P707,T$49:T$250)</f>
        <v>0</v>
      </c>
      <c r="U707" s="192" t="n">
        <f aca="false">SUMIF($C$49:$C$250,$P707,U$49:U$250)</f>
        <v>0</v>
      </c>
      <c r="V707" s="192" t="n">
        <f aca="false">SUMIF($C$49:$C$250,$P707,V$49:V$250)</f>
        <v>0</v>
      </c>
      <c r="W707" s="192" t="n">
        <f aca="false">SUMIF($C$49:$C$250,$P707,W$49:W$250)</f>
        <v>0</v>
      </c>
      <c r="X707" s="192" t="n">
        <f aca="false">SUMIF($C$49:$C$250,$P707,X$49:X$250)</f>
        <v>0</v>
      </c>
      <c r="Y707" s="192" t="n">
        <f aca="false">SUMIF($C$49:$C$250,$P707,Y$49:Y$250)</f>
        <v>0</v>
      </c>
      <c r="Z707" s="192" t="n">
        <f aca="false">SUMIF($C$49:$C$250,$P707,Z$49:Z$250)</f>
        <v>0</v>
      </c>
      <c r="AA707" s="192" t="n">
        <f aca="false">SUMIF($C$49:$C$250,$P707,AA$49:AA$250)</f>
        <v>0</v>
      </c>
      <c r="AB707" s="192" t="n">
        <f aca="false">SUMIF($C$49:$C$250,$P707,AB$49:AB$250)</f>
        <v>0</v>
      </c>
      <c r="AC707" s="192" t="n">
        <f aca="false">SUMIF($C$49:$C$250,$P707,AC$49:AC$250)</f>
        <v>0</v>
      </c>
      <c r="AD707" s="192" t="n">
        <f aca="false">SUMIF($C$49:$C$250,$P707,AD$49:AD$250)</f>
        <v>0</v>
      </c>
      <c r="AE707" s="192" t="n">
        <f aca="false">SUMIF($C$49:$C$250,$P707,AE$49:AE$250)</f>
        <v>0</v>
      </c>
      <c r="AF707" s="192" t="n">
        <f aca="false">SUMIF($C$49:$C$250,$P707,AF$49:AF$250)</f>
        <v>0</v>
      </c>
      <c r="AG707" s="192" t="n">
        <f aca="false">SUMIF($C$49:$C$250,$P707,AG$49:AG$250)</f>
        <v>0</v>
      </c>
      <c r="AH707" s="192" t="n">
        <f aca="false">SUMIF($C$49:$C$250,$P707,AH$49:AH$250)</f>
        <v>0</v>
      </c>
      <c r="AI707" s="192" t="n">
        <f aca="false">SUMIF($C$49:$C$250,$P707,AI$49:AI$250)</f>
        <v>0</v>
      </c>
      <c r="AJ707" s="192" t="n">
        <f aca="false">SUMIF($C$49:$C$250,$P707,AJ$49:AJ$250)</f>
        <v>0</v>
      </c>
      <c r="AK707" s="192" t="n">
        <f aca="false">SUMIF($C$49:$C$250,$P707,AK$49:AK$250)</f>
        <v>0</v>
      </c>
      <c r="AL707" s="192" t="n">
        <f aca="false">SUMIF($C$49:$C$250,$P707,AL$49:AL$250)</f>
        <v>0</v>
      </c>
      <c r="AM707" s="192" t="n">
        <f aca="false">SUMIF($C$49:$C$250,$P707,AM$49:AM$250)</f>
        <v>0</v>
      </c>
      <c r="AN707" s="192" t="n">
        <f aca="false">SUMIF($C$49:$C$250,$P707,AN$49:AN$250)</f>
        <v>0</v>
      </c>
      <c r="AO707" s="192" t="n">
        <f aca="false">SUMIF($C$49:$C$250,$P707,AO$49:AO$250)</f>
        <v>0</v>
      </c>
      <c r="AP707" s="192" t="n">
        <f aca="false">SUMIF($C$49:$C$250,$P707,AP$49:AP$250)</f>
        <v>0</v>
      </c>
      <c r="AQ707" s="192" t="n">
        <f aca="false">SUMIF($C$49:$C$250,$P707,AQ$49:AQ$250)</f>
        <v>0</v>
      </c>
      <c r="AR707" s="192" t="n">
        <f aca="false">SUMIF($C$49:$C$250,$P707,AR$49:AR$250)</f>
        <v>0</v>
      </c>
      <c r="AS707" s="192" t="n">
        <f aca="false">SUMIF($C$49:$C$250,$P707,AS$49:AS$250)</f>
        <v>0</v>
      </c>
      <c r="AT707" s="192" t="n">
        <f aca="false">SUMIF($C$49:$C$250,$P707,AT$49:AT$250)</f>
        <v>0</v>
      </c>
      <c r="AU707" s="192" t="n">
        <f aca="false">SUMIF($C$49:$C$250,$P707,AU$49:AU$250)</f>
        <v>0</v>
      </c>
      <c r="AV707" s="192" t="n">
        <f aca="false">SUMIF($C$49:$C$250,$P707,AV$49:AV$250)</f>
        <v>0</v>
      </c>
      <c r="AW707" s="192" t="n">
        <f aca="false">SUMIF($C$49:$C$250,$P707,AW$49:AW$250)</f>
        <v>0</v>
      </c>
      <c r="AX707" s="192" t="n">
        <f aca="false">SUMIF($C$49:$C$250,$P707,AX$49:AX$250)</f>
        <v>0</v>
      </c>
      <c r="AY707" s="192" t="n">
        <f aca="false">SUMIF($C$49:$C$250,$P707,AY$49:AY$250)</f>
        <v>0</v>
      </c>
      <c r="AZ707" s="192" t="n">
        <f aca="false">SUMIF($C$49:$C$250,$P707,AZ$49:AZ$250)</f>
        <v>0</v>
      </c>
      <c r="BA707" s="192" t="n">
        <f aca="false">SUMIF($C$49:$C$250,$P707,BA$49:BA$250)</f>
        <v>0</v>
      </c>
      <c r="BB707" s="192" t="n">
        <f aca="false">SUMIF($C$49:$C$250,$P707,BB$49:BB$250)</f>
        <v>0</v>
      </c>
    </row>
    <row r="708" s="173" customFormat="true" ht="15.75" hidden="false" customHeight="false" outlineLevel="0" collapsed="false">
      <c r="E708" s="40"/>
      <c r="K708" s="40"/>
      <c r="L708" s="40"/>
      <c r="M708" s="40"/>
      <c r="N708" s="40"/>
      <c r="P708" s="193" t="s">
        <v>236</v>
      </c>
      <c r="Q708" s="40"/>
      <c r="R708" s="180"/>
      <c r="S708" s="194" t="n">
        <f aca="false">SUM(S699:S707)</f>
        <v>0</v>
      </c>
      <c r="T708" s="194" t="n">
        <f aca="false">SUM(T699:T707)</f>
        <v>0</v>
      </c>
      <c r="U708" s="194" t="n">
        <f aca="false">SUM(U699:U707)</f>
        <v>2325.76</v>
      </c>
      <c r="V708" s="194" t="n">
        <f aca="false">SUM(V699:V707)</f>
        <v>1820.16</v>
      </c>
      <c r="W708" s="194" t="n">
        <f aca="false">SUM(W699:W707)</f>
        <v>2123.52</v>
      </c>
      <c r="X708" s="194" t="n">
        <f aca="false">SUM(X699:X707)</f>
        <v>2022.4</v>
      </c>
      <c r="Y708" s="194" t="n">
        <f aca="false">SUM(Y699:Y707)</f>
        <v>2123.52</v>
      </c>
      <c r="Z708" s="194" t="n">
        <f aca="false">SUM(Z699:Z707)</f>
        <v>2325.76</v>
      </c>
      <c r="AA708" s="194" t="n">
        <f aca="false">SUM(AA699:AA707)</f>
        <v>2123.52</v>
      </c>
      <c r="AB708" s="194" t="n">
        <f aca="false">SUM(AB699:AB707)</f>
        <v>2224.64</v>
      </c>
      <c r="AC708" s="194" t="n">
        <f aca="false">SUM(AC699:AC707)</f>
        <v>2224.64</v>
      </c>
      <c r="AD708" s="194" t="n">
        <f aca="false">SUM(AD699:AD707)</f>
        <v>1921.28</v>
      </c>
      <c r="AE708" s="194" t="n">
        <f aca="false">SUM(AE699:AE707)</f>
        <v>0</v>
      </c>
      <c r="AF708" s="194" t="n">
        <f aca="false">SUM(AF699:AF707)</f>
        <v>0</v>
      </c>
      <c r="AG708" s="194" t="n">
        <f aca="false">SUM(AG699:AG707)</f>
        <v>0</v>
      </c>
      <c r="AH708" s="194" t="n">
        <f aca="false">SUM(AH699:AH707)</f>
        <v>0</v>
      </c>
      <c r="AI708" s="194" t="n">
        <f aca="false">SUM(AI699:AI707)</f>
        <v>0</v>
      </c>
      <c r="AJ708" s="194" t="n">
        <f aca="false">SUM(AJ699:AJ707)</f>
        <v>0</v>
      </c>
      <c r="AK708" s="194" t="n">
        <f aca="false">SUM(AK699:AK707)</f>
        <v>0</v>
      </c>
      <c r="AL708" s="194" t="n">
        <f aca="false">SUM(AL699:AL707)</f>
        <v>0</v>
      </c>
      <c r="AM708" s="194" t="n">
        <f aca="false">SUM(AM699:AM707)</f>
        <v>0</v>
      </c>
      <c r="AN708" s="194" t="n">
        <f aca="false">SUM(AN699:AN707)</f>
        <v>0</v>
      </c>
      <c r="AO708" s="194" t="n">
        <f aca="false">SUM(AO699:AO707)</f>
        <v>0</v>
      </c>
      <c r="AP708" s="194" t="n">
        <f aca="false">SUM(AP699:AP707)</f>
        <v>0</v>
      </c>
      <c r="AQ708" s="194" t="n">
        <f aca="false">SUM(AQ699:AQ707)</f>
        <v>0</v>
      </c>
      <c r="AR708" s="194" t="n">
        <f aca="false">SUM(AR699:AR707)</f>
        <v>0</v>
      </c>
      <c r="AS708" s="194" t="n">
        <f aca="false">SUM(AS699:AS707)</f>
        <v>0</v>
      </c>
      <c r="AT708" s="194" t="n">
        <f aca="false">SUM(AT699:AT707)</f>
        <v>0</v>
      </c>
      <c r="AU708" s="194" t="n">
        <f aca="false">SUM(AU699:AU707)</f>
        <v>0</v>
      </c>
      <c r="AV708" s="194" t="n">
        <f aca="false">SUM(AV699:AV707)</f>
        <v>0</v>
      </c>
      <c r="AW708" s="194" t="n">
        <f aca="false">SUM(AW699:AW707)</f>
        <v>0</v>
      </c>
      <c r="AX708" s="194" t="n">
        <f aca="false">SUM(AX699:AX707)</f>
        <v>0</v>
      </c>
      <c r="AY708" s="194" t="n">
        <f aca="false">SUM(AY699:AY707)</f>
        <v>0</v>
      </c>
      <c r="AZ708" s="194" t="n">
        <f aca="false">SUM(AZ699:AZ707)</f>
        <v>0</v>
      </c>
      <c r="BA708" s="194" t="n">
        <f aca="false">SUM(BA699:BA707)</f>
        <v>0</v>
      </c>
      <c r="BB708" s="194" t="n">
        <f aca="false">SUM(BB699:BB707)</f>
        <v>0</v>
      </c>
    </row>
    <row r="709" s="173" customFormat="true" ht="12.75" hidden="false" customHeight="false" outlineLevel="0" collapsed="false"/>
    <row r="710" s="173" customFormat="true" ht="12.75" hidden="false" customHeight="false" outlineLevel="0" collapsed="false"/>
    <row r="711" customFormat="false" ht="15.75" hidden="false" customHeight="false" outlineLevel="0" collapsed="false">
      <c r="P711" s="175" t="s">
        <v>237</v>
      </c>
      <c r="R711" s="175"/>
      <c r="S711" s="176" t="str">
        <f aca="false">S698</f>
        <v>1 / 23</v>
      </c>
      <c r="T711" s="176" t="str">
        <f aca="false">T698</f>
        <v>2 / 23</v>
      </c>
      <c r="U711" s="176" t="str">
        <f aca="false">U698</f>
        <v>3 / 23</v>
      </c>
      <c r="V711" s="176" t="str">
        <f aca="false">V698</f>
        <v>4 / 23</v>
      </c>
      <c r="W711" s="176" t="str">
        <f aca="false">W698</f>
        <v>5 / 23</v>
      </c>
      <c r="X711" s="176" t="str">
        <f aca="false">X698</f>
        <v>6 / 23</v>
      </c>
      <c r="Y711" s="176" t="str">
        <f aca="false">Y698</f>
        <v>7 / 23</v>
      </c>
      <c r="Z711" s="176" t="str">
        <f aca="false">Z698</f>
        <v>8 / 23</v>
      </c>
      <c r="AA711" s="176" t="str">
        <f aca="false">AA698</f>
        <v>9 / 23</v>
      </c>
      <c r="AB711" s="176" t="str">
        <f aca="false">AB698</f>
        <v>10 / 23</v>
      </c>
      <c r="AC711" s="176" t="str">
        <f aca="false">AC698</f>
        <v>11 / 23</v>
      </c>
      <c r="AD711" s="176" t="str">
        <f aca="false">AD698</f>
        <v>12 / 23</v>
      </c>
      <c r="AE711" s="176" t="str">
        <f aca="false">AE698</f>
        <v>1 / 24</v>
      </c>
      <c r="AF711" s="176" t="str">
        <f aca="false">AF698</f>
        <v>2 / 24</v>
      </c>
      <c r="AG711" s="176" t="str">
        <f aca="false">AG698</f>
        <v>3 / 24</v>
      </c>
      <c r="AH711" s="176" t="str">
        <f aca="false">AH698</f>
        <v>4 / 24</v>
      </c>
      <c r="AI711" s="176" t="str">
        <f aca="false">AI698</f>
        <v>5 / 24</v>
      </c>
      <c r="AJ711" s="176" t="str">
        <f aca="false">AJ698</f>
        <v>6 / 24</v>
      </c>
      <c r="AK711" s="176" t="str">
        <f aca="false">AK698</f>
        <v>7 / 24</v>
      </c>
      <c r="AL711" s="176" t="str">
        <f aca="false">AL698</f>
        <v>8 / 24</v>
      </c>
      <c r="AM711" s="176" t="str">
        <f aca="false">AM698</f>
        <v>9 / 24</v>
      </c>
      <c r="AN711" s="176" t="str">
        <f aca="false">AN698</f>
        <v>10 / 24</v>
      </c>
      <c r="AO711" s="176" t="str">
        <f aca="false">AO698</f>
        <v>11 / 24</v>
      </c>
      <c r="AP711" s="176" t="str">
        <f aca="false">AP698</f>
        <v>12 / 24</v>
      </c>
      <c r="AQ711" s="176" t="str">
        <f aca="false">AQ698</f>
        <v>1 / 25</v>
      </c>
      <c r="AR711" s="176" t="str">
        <f aca="false">AR698</f>
        <v>2 / 25</v>
      </c>
      <c r="AS711" s="176" t="str">
        <f aca="false">AS698</f>
        <v>3 / 25</v>
      </c>
      <c r="AT711" s="176" t="str">
        <f aca="false">AT698</f>
        <v>4 / 25</v>
      </c>
      <c r="AU711" s="176" t="str">
        <f aca="false">AU698</f>
        <v>5 / 25</v>
      </c>
      <c r="AV711" s="176" t="str">
        <f aca="false">AV698</f>
        <v>6 / 25</v>
      </c>
      <c r="AW711" s="176" t="str">
        <f aca="false">AW698</f>
        <v>7 / 25</v>
      </c>
      <c r="AX711" s="176" t="str">
        <f aca="false">AX698</f>
        <v>8 / 25</v>
      </c>
      <c r="AY711" s="176" t="str">
        <f aca="false">AY698</f>
        <v>9 / 25</v>
      </c>
      <c r="AZ711" s="176" t="str">
        <f aca="false">AZ698</f>
        <v>10 / 25</v>
      </c>
      <c r="BA711" s="176" t="str">
        <f aca="false">BA698</f>
        <v>11 / 25</v>
      </c>
      <c r="BB711" s="176" t="str">
        <f aca="false">BB698</f>
        <v>12 / 25</v>
      </c>
    </row>
    <row r="712" customFormat="false" ht="15" hidden="false" customHeight="false" outlineLevel="0" collapsed="false">
      <c r="P712" s="190" t="str">
        <f aca="false">Site!C10</f>
        <v>Customer Project</v>
      </c>
      <c r="R712" s="191"/>
      <c r="S712" s="192" t="n">
        <f aca="false">SUMIF($D$49:$D$250,$P712,S$49:S$250)</f>
        <v>0</v>
      </c>
      <c r="T712" s="192" t="n">
        <f aca="false">SUMIF($D$49:$D$250,$P712,T$49:T$250)</f>
        <v>0</v>
      </c>
      <c r="U712" s="192" t="n">
        <f aca="false">SUMIF($D$49:$D$250,$P712,U$49:U$250)</f>
        <v>0</v>
      </c>
      <c r="V712" s="192" t="n">
        <f aca="false">SUMIF($D$49:$D$250,$P712,V$49:V$250)</f>
        <v>0</v>
      </c>
      <c r="W712" s="192" t="n">
        <f aca="false">SUMIF($D$49:$D$250,$P712,W$49:W$250)</f>
        <v>0</v>
      </c>
      <c r="X712" s="192" t="n">
        <f aca="false">SUMIF($D$49:$D$250,$P712,X$49:X$250)</f>
        <v>0</v>
      </c>
      <c r="Y712" s="192" t="n">
        <f aca="false">SUMIF($D$49:$D$250,$P712,Y$49:Y$250)</f>
        <v>0</v>
      </c>
      <c r="Z712" s="192" t="n">
        <f aca="false">SUMIF($D$49:$D$250,$P712,Z$49:Z$250)</f>
        <v>0</v>
      </c>
      <c r="AA712" s="192" t="n">
        <f aca="false">SUMIF($D$49:$D$250,$P712,AA$49:AA$250)</f>
        <v>0</v>
      </c>
      <c r="AB712" s="192" t="n">
        <f aca="false">SUMIF($D$49:$D$250,$P712,AB$49:AB$250)</f>
        <v>0</v>
      </c>
      <c r="AC712" s="192" t="n">
        <f aca="false">SUMIF($D$49:$D$250,$P712,AC$49:AC$250)</f>
        <v>0</v>
      </c>
      <c r="AD712" s="192" t="n">
        <f aca="false">SUMIF($D$49:$D$250,$P712,AD$49:AD$250)</f>
        <v>0</v>
      </c>
      <c r="AE712" s="192" t="n">
        <f aca="false">SUMIF($D$49:$D$250,$P712,AE$49:AE$250)</f>
        <v>0</v>
      </c>
      <c r="AF712" s="192" t="n">
        <f aca="false">SUMIF($D$49:$D$250,$P712,AF$49:AF$250)</f>
        <v>0</v>
      </c>
      <c r="AG712" s="192" t="n">
        <f aca="false">SUMIF($D$49:$D$250,$P712,AG$49:AG$250)</f>
        <v>0</v>
      </c>
      <c r="AH712" s="192" t="n">
        <f aca="false">SUMIF($D$49:$D$250,$P712,AH$49:AH$250)</f>
        <v>0</v>
      </c>
      <c r="AI712" s="192" t="n">
        <f aca="false">SUMIF($D$49:$D$250,$P712,AI$49:AI$250)</f>
        <v>0</v>
      </c>
      <c r="AJ712" s="192" t="n">
        <f aca="false">SUMIF($D$49:$D$250,$P712,AJ$49:AJ$250)</f>
        <v>0</v>
      </c>
      <c r="AK712" s="192" t="n">
        <f aca="false">SUMIF($D$49:$D$250,$P712,AK$49:AK$250)</f>
        <v>0</v>
      </c>
      <c r="AL712" s="192" t="n">
        <f aca="false">SUMIF($D$49:$D$250,$P712,AL$49:AL$250)</f>
        <v>0</v>
      </c>
      <c r="AM712" s="192" t="n">
        <f aca="false">SUMIF($D$49:$D$250,$P712,AM$49:AM$250)</f>
        <v>0</v>
      </c>
      <c r="AN712" s="192" t="n">
        <f aca="false">SUMIF($D$49:$D$250,$P712,AN$49:AN$250)</f>
        <v>0</v>
      </c>
      <c r="AO712" s="192" t="n">
        <f aca="false">SUMIF($D$49:$D$250,$P712,AO$49:AO$250)</f>
        <v>0</v>
      </c>
      <c r="AP712" s="192" t="n">
        <f aca="false">SUMIF($D$49:$D$250,$P712,AP$49:AP$250)</f>
        <v>0</v>
      </c>
      <c r="AQ712" s="192" t="n">
        <f aca="false">SUMIF($D$49:$D$250,$P712,AQ$49:AQ$250)</f>
        <v>0</v>
      </c>
      <c r="AR712" s="192" t="n">
        <f aca="false">SUMIF($D$49:$D$250,$P712,AR$49:AR$250)</f>
        <v>0</v>
      </c>
      <c r="AS712" s="192" t="n">
        <f aca="false">SUMIF($D$49:$D$250,$P712,AS$49:AS$250)</f>
        <v>0</v>
      </c>
      <c r="AT712" s="192" t="n">
        <f aca="false">SUMIF($D$49:$D$250,$P712,AT$49:AT$250)</f>
        <v>0</v>
      </c>
      <c r="AU712" s="192" t="n">
        <f aca="false">SUMIF($D$49:$D$250,$P712,AU$49:AU$250)</f>
        <v>0</v>
      </c>
      <c r="AV712" s="192" t="n">
        <f aca="false">SUMIF($D$49:$D$250,$P712,AV$49:AV$250)</f>
        <v>0</v>
      </c>
      <c r="AW712" s="192" t="n">
        <f aca="false">SUMIF($D$49:$D$250,$P712,AW$49:AW$250)</f>
        <v>0</v>
      </c>
      <c r="AX712" s="192" t="n">
        <f aca="false">SUMIF($D$49:$D$250,$P712,AX$49:AX$250)</f>
        <v>0</v>
      </c>
      <c r="AY712" s="192" t="n">
        <f aca="false">SUMIF($D$49:$D$250,$P712,AY$49:AY$250)</f>
        <v>0</v>
      </c>
      <c r="AZ712" s="192" t="n">
        <f aca="false">SUMIF($D$49:$D$250,$P712,AZ$49:AZ$250)</f>
        <v>0</v>
      </c>
      <c r="BA712" s="192" t="n">
        <f aca="false">SUMIF($D$49:$D$250,$P712,BA$49:BA$250)</f>
        <v>0</v>
      </c>
      <c r="BB712" s="192" t="n">
        <f aca="false">SUMIF($D$49:$D$250,$P712,BB$49:BB$250)</f>
        <v>0</v>
      </c>
    </row>
    <row r="713" customFormat="false" ht="15" hidden="false" customHeight="false" outlineLevel="0" collapsed="false">
      <c r="P713" s="190" t="str">
        <f aca="false">Site!C11</f>
        <v>Maintenance</v>
      </c>
      <c r="R713" s="191"/>
      <c r="S713" s="192" t="n">
        <f aca="false">SUMIF($D$49:$D$250,$P713,S$49:S$250)</f>
        <v>0</v>
      </c>
      <c r="T713" s="192" t="n">
        <f aca="false">SUMIF($D$49:$D$250,$P713,T$49:T$250)</f>
        <v>0</v>
      </c>
      <c r="U713" s="192" t="n">
        <f aca="false">SUMIF($D$49:$D$250,$P713,U$49:U$250)</f>
        <v>0</v>
      </c>
      <c r="V713" s="192" t="n">
        <f aca="false">SUMIF($D$49:$D$250,$P713,V$49:V$250)</f>
        <v>0</v>
      </c>
      <c r="W713" s="192" t="n">
        <f aca="false">SUMIF($D$49:$D$250,$P713,W$49:W$250)</f>
        <v>0</v>
      </c>
      <c r="X713" s="192" t="n">
        <f aca="false">SUMIF($D$49:$D$250,$P713,X$49:X$250)</f>
        <v>0</v>
      </c>
      <c r="Y713" s="192" t="n">
        <f aca="false">SUMIF($D$49:$D$250,$P713,Y$49:Y$250)</f>
        <v>0</v>
      </c>
      <c r="Z713" s="192" t="n">
        <f aca="false">SUMIF($D$49:$D$250,$P713,Z$49:Z$250)</f>
        <v>0</v>
      </c>
      <c r="AA713" s="192" t="n">
        <f aca="false">SUMIF($D$49:$D$250,$P713,AA$49:AA$250)</f>
        <v>0</v>
      </c>
      <c r="AB713" s="192" t="n">
        <f aca="false">SUMIF($D$49:$D$250,$P713,AB$49:AB$250)</f>
        <v>0</v>
      </c>
      <c r="AC713" s="192" t="n">
        <f aca="false">SUMIF($D$49:$D$250,$P713,AC$49:AC$250)</f>
        <v>0</v>
      </c>
      <c r="AD713" s="192" t="n">
        <f aca="false">SUMIF($D$49:$D$250,$P713,AD$49:AD$250)</f>
        <v>0</v>
      </c>
      <c r="AE713" s="192" t="n">
        <f aca="false">SUMIF($D$49:$D$250,$P713,AE$49:AE$250)</f>
        <v>0</v>
      </c>
      <c r="AF713" s="192" t="n">
        <f aca="false">SUMIF($D$49:$D$250,$P713,AF$49:AF$250)</f>
        <v>0</v>
      </c>
      <c r="AG713" s="192" t="n">
        <f aca="false">SUMIF($D$49:$D$250,$P713,AG$49:AG$250)</f>
        <v>0</v>
      </c>
      <c r="AH713" s="192" t="n">
        <f aca="false">SUMIF($D$49:$D$250,$P713,AH$49:AH$250)</f>
        <v>0</v>
      </c>
      <c r="AI713" s="192" t="n">
        <f aca="false">SUMIF($D$49:$D$250,$P713,AI$49:AI$250)</f>
        <v>0</v>
      </c>
      <c r="AJ713" s="192" t="n">
        <f aca="false">SUMIF($D$49:$D$250,$P713,AJ$49:AJ$250)</f>
        <v>0</v>
      </c>
      <c r="AK713" s="192" t="n">
        <f aca="false">SUMIF($D$49:$D$250,$P713,AK$49:AK$250)</f>
        <v>0</v>
      </c>
      <c r="AL713" s="192" t="n">
        <f aca="false">SUMIF($D$49:$D$250,$P713,AL$49:AL$250)</f>
        <v>0</v>
      </c>
      <c r="AM713" s="192" t="n">
        <f aca="false">SUMIF($D$49:$D$250,$P713,AM$49:AM$250)</f>
        <v>0</v>
      </c>
      <c r="AN713" s="192" t="n">
        <f aca="false">SUMIF($D$49:$D$250,$P713,AN$49:AN$250)</f>
        <v>0</v>
      </c>
      <c r="AO713" s="192" t="n">
        <f aca="false">SUMIF($D$49:$D$250,$P713,AO$49:AO$250)</f>
        <v>0</v>
      </c>
      <c r="AP713" s="192" t="n">
        <f aca="false">SUMIF($D$49:$D$250,$P713,AP$49:AP$250)</f>
        <v>0</v>
      </c>
      <c r="AQ713" s="192" t="n">
        <f aca="false">SUMIF($D$49:$D$250,$P713,AQ$49:AQ$250)</f>
        <v>0</v>
      </c>
      <c r="AR713" s="192" t="n">
        <f aca="false">SUMIF($D$49:$D$250,$P713,AR$49:AR$250)</f>
        <v>0</v>
      </c>
      <c r="AS713" s="192" t="n">
        <f aca="false">SUMIF($D$49:$D$250,$P713,AS$49:AS$250)</f>
        <v>0</v>
      </c>
      <c r="AT713" s="192" t="n">
        <f aca="false">SUMIF($D$49:$D$250,$P713,AT$49:AT$250)</f>
        <v>0</v>
      </c>
      <c r="AU713" s="192" t="n">
        <f aca="false">SUMIF($D$49:$D$250,$P713,AU$49:AU$250)</f>
        <v>0</v>
      </c>
      <c r="AV713" s="192" t="n">
        <f aca="false">SUMIF($D$49:$D$250,$P713,AV$49:AV$250)</f>
        <v>0</v>
      </c>
      <c r="AW713" s="192" t="n">
        <f aca="false">SUMIF($D$49:$D$250,$P713,AW$49:AW$250)</f>
        <v>0</v>
      </c>
      <c r="AX713" s="192" t="n">
        <f aca="false">SUMIF($D$49:$D$250,$P713,AX$49:AX$250)</f>
        <v>0</v>
      </c>
      <c r="AY713" s="192" t="n">
        <f aca="false">SUMIF($D$49:$D$250,$P713,AY$49:AY$250)</f>
        <v>0</v>
      </c>
      <c r="AZ713" s="192" t="n">
        <f aca="false">SUMIF($D$49:$D$250,$P713,AZ$49:AZ$250)</f>
        <v>0</v>
      </c>
      <c r="BA713" s="192" t="n">
        <f aca="false">SUMIF($D$49:$D$250,$P713,BA$49:BA$250)</f>
        <v>0</v>
      </c>
      <c r="BB713" s="192" t="n">
        <f aca="false">SUMIF($D$49:$D$250,$P713,BB$49:BB$250)</f>
        <v>0</v>
      </c>
    </row>
    <row r="714" customFormat="false" ht="15" hidden="false" customHeight="false" outlineLevel="0" collapsed="false">
      <c r="P714" s="190" t="str">
        <f aca="false">Site!C12</f>
        <v>Project</v>
      </c>
      <c r="R714" s="191"/>
      <c r="S714" s="192" t="n">
        <f aca="false">SUMIF($D$49:$D$250,$P714,S$49:S$250)</f>
        <v>0</v>
      </c>
      <c r="T714" s="192" t="n">
        <f aca="false">SUMIF($D$49:$D$250,$P714,T$49:T$250)</f>
        <v>0</v>
      </c>
      <c r="U714" s="192" t="n">
        <f aca="false">SUMIF($D$49:$D$250,$P714,U$49:U$250)</f>
        <v>0</v>
      </c>
      <c r="V714" s="192" t="n">
        <f aca="false">SUMIF($D$49:$D$250,$P714,V$49:V$250)</f>
        <v>0</v>
      </c>
      <c r="W714" s="192" t="n">
        <f aca="false">SUMIF($D$49:$D$250,$P714,W$49:W$250)</f>
        <v>0</v>
      </c>
      <c r="X714" s="192" t="n">
        <f aca="false">SUMIF($D$49:$D$250,$P714,X$49:X$250)</f>
        <v>0</v>
      </c>
      <c r="Y714" s="192" t="n">
        <f aca="false">SUMIF($D$49:$D$250,$P714,Y$49:Y$250)</f>
        <v>0</v>
      </c>
      <c r="Z714" s="192" t="n">
        <f aca="false">SUMIF($D$49:$D$250,$P714,Z$49:Z$250)</f>
        <v>0</v>
      </c>
      <c r="AA714" s="192" t="n">
        <f aca="false">SUMIF($D$49:$D$250,$P714,AA$49:AA$250)</f>
        <v>0</v>
      </c>
      <c r="AB714" s="192" t="n">
        <f aca="false">SUMIF($D$49:$D$250,$P714,AB$49:AB$250)</f>
        <v>0</v>
      </c>
      <c r="AC714" s="192" t="n">
        <f aca="false">SUMIF($D$49:$D$250,$P714,AC$49:AC$250)</f>
        <v>0</v>
      </c>
      <c r="AD714" s="192" t="n">
        <f aca="false">SUMIF($D$49:$D$250,$P714,AD$49:AD$250)</f>
        <v>0</v>
      </c>
      <c r="AE714" s="192" t="n">
        <f aca="false">SUMIF($D$49:$D$250,$P714,AE$49:AE$250)</f>
        <v>0</v>
      </c>
      <c r="AF714" s="192" t="n">
        <f aca="false">SUMIF($D$49:$D$250,$P714,AF$49:AF$250)</f>
        <v>0</v>
      </c>
      <c r="AG714" s="192" t="n">
        <f aca="false">SUMIF($D$49:$D$250,$P714,AG$49:AG$250)</f>
        <v>0</v>
      </c>
      <c r="AH714" s="192" t="n">
        <f aca="false">SUMIF($D$49:$D$250,$P714,AH$49:AH$250)</f>
        <v>0</v>
      </c>
      <c r="AI714" s="192" t="n">
        <f aca="false">SUMIF($D$49:$D$250,$P714,AI$49:AI$250)</f>
        <v>0</v>
      </c>
      <c r="AJ714" s="192" t="n">
        <f aca="false">SUMIF($D$49:$D$250,$P714,AJ$49:AJ$250)</f>
        <v>0</v>
      </c>
      <c r="AK714" s="192" t="n">
        <f aca="false">SUMIF($D$49:$D$250,$P714,AK$49:AK$250)</f>
        <v>0</v>
      </c>
      <c r="AL714" s="192" t="n">
        <f aca="false">SUMIF($D$49:$D$250,$P714,AL$49:AL$250)</f>
        <v>0</v>
      </c>
      <c r="AM714" s="192" t="n">
        <f aca="false">SUMIF($D$49:$D$250,$P714,AM$49:AM$250)</f>
        <v>0</v>
      </c>
      <c r="AN714" s="192" t="n">
        <f aca="false">SUMIF($D$49:$D$250,$P714,AN$49:AN$250)</f>
        <v>0</v>
      </c>
      <c r="AO714" s="192" t="n">
        <f aca="false">SUMIF($D$49:$D$250,$P714,AO$49:AO$250)</f>
        <v>0</v>
      </c>
      <c r="AP714" s="192" t="n">
        <f aca="false">SUMIF($D$49:$D$250,$P714,AP$49:AP$250)</f>
        <v>0</v>
      </c>
      <c r="AQ714" s="192" t="n">
        <f aca="false">SUMIF($D$49:$D$250,$P714,AQ$49:AQ$250)</f>
        <v>0</v>
      </c>
      <c r="AR714" s="192" t="n">
        <f aca="false">SUMIF($D$49:$D$250,$P714,AR$49:AR$250)</f>
        <v>0</v>
      </c>
      <c r="AS714" s="192" t="n">
        <f aca="false">SUMIF($D$49:$D$250,$P714,AS$49:AS$250)</f>
        <v>0</v>
      </c>
      <c r="AT714" s="192" t="n">
        <f aca="false">SUMIF($D$49:$D$250,$P714,AT$49:AT$250)</f>
        <v>0</v>
      </c>
      <c r="AU714" s="192" t="n">
        <f aca="false">SUMIF($D$49:$D$250,$P714,AU$49:AU$250)</f>
        <v>0</v>
      </c>
      <c r="AV714" s="192" t="n">
        <f aca="false">SUMIF($D$49:$D$250,$P714,AV$49:AV$250)</f>
        <v>0</v>
      </c>
      <c r="AW714" s="192" t="n">
        <f aca="false">SUMIF($D$49:$D$250,$P714,AW$49:AW$250)</f>
        <v>0</v>
      </c>
      <c r="AX714" s="192" t="n">
        <f aca="false">SUMIF($D$49:$D$250,$P714,AX$49:AX$250)</f>
        <v>0</v>
      </c>
      <c r="AY714" s="192" t="n">
        <f aca="false">SUMIF($D$49:$D$250,$P714,AY$49:AY$250)</f>
        <v>0</v>
      </c>
      <c r="AZ714" s="192" t="n">
        <f aca="false">SUMIF($D$49:$D$250,$P714,AZ$49:AZ$250)</f>
        <v>0</v>
      </c>
      <c r="BA714" s="192" t="n">
        <f aca="false">SUMIF($D$49:$D$250,$P714,BA$49:BA$250)</f>
        <v>0</v>
      </c>
      <c r="BB714" s="192" t="n">
        <f aca="false">SUMIF($D$49:$D$250,$P714,BB$49:BB$250)</f>
        <v>0</v>
      </c>
    </row>
    <row r="715" customFormat="false" ht="15" hidden="false" customHeight="false" outlineLevel="0" collapsed="false">
      <c r="P715" s="190" t="str">
        <f aca="false">Site!C13</f>
        <v>Project Type Order</v>
      </c>
      <c r="R715" s="191"/>
      <c r="S715" s="192" t="n">
        <f aca="false">SUMIF($D$49:$D$250,$P715,S$49:S$250)</f>
        <v>0</v>
      </c>
      <c r="T715" s="192" t="n">
        <f aca="false">SUMIF($D$49:$D$250,$P715,T$49:T$250)</f>
        <v>0</v>
      </c>
      <c r="U715" s="192" t="n">
        <f aca="false">SUMIF($D$49:$D$250,$P715,U$49:U$250)</f>
        <v>0</v>
      </c>
      <c r="V715" s="192" t="n">
        <f aca="false">SUMIF($D$49:$D$250,$P715,V$49:V$250)</f>
        <v>0</v>
      </c>
      <c r="W715" s="192" t="n">
        <f aca="false">SUMIF($D$49:$D$250,$P715,W$49:W$250)</f>
        <v>0</v>
      </c>
      <c r="X715" s="192" t="n">
        <f aca="false">SUMIF($D$49:$D$250,$P715,X$49:X$250)</f>
        <v>0</v>
      </c>
      <c r="Y715" s="192" t="n">
        <f aca="false">SUMIF($D$49:$D$250,$P715,Y$49:Y$250)</f>
        <v>0</v>
      </c>
      <c r="Z715" s="192" t="n">
        <f aca="false">SUMIF($D$49:$D$250,$P715,Z$49:Z$250)</f>
        <v>0</v>
      </c>
      <c r="AA715" s="192" t="n">
        <f aca="false">SUMIF($D$49:$D$250,$P715,AA$49:AA$250)</f>
        <v>0</v>
      </c>
      <c r="AB715" s="192" t="n">
        <f aca="false">SUMIF($D$49:$D$250,$P715,AB$49:AB$250)</f>
        <v>0</v>
      </c>
      <c r="AC715" s="192" t="n">
        <f aca="false">SUMIF($D$49:$D$250,$P715,AC$49:AC$250)</f>
        <v>0</v>
      </c>
      <c r="AD715" s="192" t="n">
        <f aca="false">SUMIF($D$49:$D$250,$P715,AD$49:AD$250)</f>
        <v>0</v>
      </c>
      <c r="AE715" s="192" t="n">
        <f aca="false">SUMIF($D$49:$D$250,$P715,AE$49:AE$250)</f>
        <v>0</v>
      </c>
      <c r="AF715" s="192" t="n">
        <f aca="false">SUMIF($D$49:$D$250,$P715,AF$49:AF$250)</f>
        <v>0</v>
      </c>
      <c r="AG715" s="192" t="n">
        <f aca="false">SUMIF($D$49:$D$250,$P715,AG$49:AG$250)</f>
        <v>0</v>
      </c>
      <c r="AH715" s="192" t="n">
        <f aca="false">SUMIF($D$49:$D$250,$P715,AH$49:AH$250)</f>
        <v>0</v>
      </c>
      <c r="AI715" s="192" t="n">
        <f aca="false">SUMIF($D$49:$D$250,$P715,AI$49:AI$250)</f>
        <v>0</v>
      </c>
      <c r="AJ715" s="192" t="n">
        <f aca="false">SUMIF($D$49:$D$250,$P715,AJ$49:AJ$250)</f>
        <v>0</v>
      </c>
      <c r="AK715" s="192" t="n">
        <f aca="false">SUMIF($D$49:$D$250,$P715,AK$49:AK$250)</f>
        <v>0</v>
      </c>
      <c r="AL715" s="192" t="n">
        <f aca="false">SUMIF($D$49:$D$250,$P715,AL$49:AL$250)</f>
        <v>0</v>
      </c>
      <c r="AM715" s="192" t="n">
        <f aca="false">SUMIF($D$49:$D$250,$P715,AM$49:AM$250)</f>
        <v>0</v>
      </c>
      <c r="AN715" s="192" t="n">
        <f aca="false">SUMIF($D$49:$D$250,$P715,AN$49:AN$250)</f>
        <v>0</v>
      </c>
      <c r="AO715" s="192" t="n">
        <f aca="false">SUMIF($D$49:$D$250,$P715,AO$49:AO$250)</f>
        <v>0</v>
      </c>
      <c r="AP715" s="192" t="n">
        <f aca="false">SUMIF($D$49:$D$250,$P715,AP$49:AP$250)</f>
        <v>0</v>
      </c>
      <c r="AQ715" s="192" t="n">
        <f aca="false">SUMIF($D$49:$D$250,$P715,AQ$49:AQ$250)</f>
        <v>0</v>
      </c>
      <c r="AR715" s="192" t="n">
        <f aca="false">SUMIF($D$49:$D$250,$P715,AR$49:AR$250)</f>
        <v>0</v>
      </c>
      <c r="AS715" s="192" t="n">
        <f aca="false">SUMIF($D$49:$D$250,$P715,AS$49:AS$250)</f>
        <v>0</v>
      </c>
      <c r="AT715" s="192" t="n">
        <f aca="false">SUMIF($D$49:$D$250,$P715,AT$49:AT$250)</f>
        <v>0</v>
      </c>
      <c r="AU715" s="192" t="n">
        <f aca="false">SUMIF($D$49:$D$250,$P715,AU$49:AU$250)</f>
        <v>0</v>
      </c>
      <c r="AV715" s="192" t="n">
        <f aca="false">SUMIF($D$49:$D$250,$P715,AV$49:AV$250)</f>
        <v>0</v>
      </c>
      <c r="AW715" s="192" t="n">
        <f aca="false">SUMIF($D$49:$D$250,$P715,AW$49:AW$250)</f>
        <v>0</v>
      </c>
      <c r="AX715" s="192" t="n">
        <f aca="false">SUMIF($D$49:$D$250,$P715,AX$49:AX$250)</f>
        <v>0</v>
      </c>
      <c r="AY715" s="192" t="n">
        <f aca="false">SUMIF($D$49:$D$250,$P715,AY$49:AY$250)</f>
        <v>0</v>
      </c>
      <c r="AZ715" s="192" t="n">
        <f aca="false">SUMIF($D$49:$D$250,$P715,AZ$49:AZ$250)</f>
        <v>0</v>
      </c>
      <c r="BA715" s="192" t="n">
        <f aca="false">SUMIF($D$49:$D$250,$P715,BA$49:BA$250)</f>
        <v>0</v>
      </c>
      <c r="BB715" s="192" t="n">
        <f aca="false">SUMIF($D$49:$D$250,$P715,BB$49:BB$250)</f>
        <v>0</v>
      </c>
    </row>
    <row r="716" customFormat="false" ht="15" hidden="false" customHeight="false" outlineLevel="0" collapsed="false">
      <c r="P716" s="190" t="str">
        <f aca="false">Site!C14</f>
        <v>Recurrent Project</v>
      </c>
      <c r="R716" s="191"/>
      <c r="S716" s="192" t="n">
        <f aca="false">SUMIF($D$49:$D$250,$P716,S$49:S$250)</f>
        <v>0</v>
      </c>
      <c r="T716" s="192" t="n">
        <f aca="false">SUMIF($D$49:$D$250,$P716,T$49:T$250)</f>
        <v>0</v>
      </c>
      <c r="U716" s="192" t="n">
        <f aca="false">SUMIF($D$49:$D$250,$P716,U$49:U$250)</f>
        <v>0</v>
      </c>
      <c r="V716" s="192" t="n">
        <f aca="false">SUMIF($D$49:$D$250,$P716,V$49:V$250)</f>
        <v>0</v>
      </c>
      <c r="W716" s="192" t="n">
        <f aca="false">SUMIF($D$49:$D$250,$P716,W$49:W$250)</f>
        <v>0</v>
      </c>
      <c r="X716" s="192" t="n">
        <f aca="false">SUMIF($D$49:$D$250,$P716,X$49:X$250)</f>
        <v>0</v>
      </c>
      <c r="Y716" s="192" t="n">
        <f aca="false">SUMIF($D$49:$D$250,$P716,Y$49:Y$250)</f>
        <v>0</v>
      </c>
      <c r="Z716" s="192" t="n">
        <f aca="false">SUMIF($D$49:$D$250,$P716,Z$49:Z$250)</f>
        <v>0</v>
      </c>
      <c r="AA716" s="192" t="n">
        <f aca="false">SUMIF($D$49:$D$250,$P716,AA$49:AA$250)</f>
        <v>0</v>
      </c>
      <c r="AB716" s="192" t="n">
        <f aca="false">SUMIF($D$49:$D$250,$P716,AB$49:AB$250)</f>
        <v>0</v>
      </c>
      <c r="AC716" s="192" t="n">
        <f aca="false">SUMIF($D$49:$D$250,$P716,AC$49:AC$250)</f>
        <v>0</v>
      </c>
      <c r="AD716" s="192" t="n">
        <f aca="false">SUMIF($D$49:$D$250,$P716,AD$49:AD$250)</f>
        <v>0</v>
      </c>
      <c r="AE716" s="192" t="n">
        <f aca="false">SUMIF($D$49:$D$250,$P716,AE$49:AE$250)</f>
        <v>0</v>
      </c>
      <c r="AF716" s="192" t="n">
        <f aca="false">SUMIF($D$49:$D$250,$P716,AF$49:AF$250)</f>
        <v>0</v>
      </c>
      <c r="AG716" s="192" t="n">
        <f aca="false">SUMIF($D$49:$D$250,$P716,AG$49:AG$250)</f>
        <v>0</v>
      </c>
      <c r="AH716" s="192" t="n">
        <f aca="false">SUMIF($D$49:$D$250,$P716,AH$49:AH$250)</f>
        <v>0</v>
      </c>
      <c r="AI716" s="192" t="n">
        <f aca="false">SUMIF($D$49:$D$250,$P716,AI$49:AI$250)</f>
        <v>0</v>
      </c>
      <c r="AJ716" s="192" t="n">
        <f aca="false">SUMIF($D$49:$D$250,$P716,AJ$49:AJ$250)</f>
        <v>0</v>
      </c>
      <c r="AK716" s="192" t="n">
        <f aca="false">SUMIF($D$49:$D$250,$P716,AK$49:AK$250)</f>
        <v>0</v>
      </c>
      <c r="AL716" s="192" t="n">
        <f aca="false">SUMIF($D$49:$D$250,$P716,AL$49:AL$250)</f>
        <v>0</v>
      </c>
      <c r="AM716" s="192" t="n">
        <f aca="false">SUMIF($D$49:$D$250,$P716,AM$49:AM$250)</f>
        <v>0</v>
      </c>
      <c r="AN716" s="192" t="n">
        <f aca="false">SUMIF($D$49:$D$250,$P716,AN$49:AN$250)</f>
        <v>0</v>
      </c>
      <c r="AO716" s="192" t="n">
        <f aca="false">SUMIF($D$49:$D$250,$P716,AO$49:AO$250)</f>
        <v>0</v>
      </c>
      <c r="AP716" s="192" t="n">
        <f aca="false">SUMIF($D$49:$D$250,$P716,AP$49:AP$250)</f>
        <v>0</v>
      </c>
      <c r="AQ716" s="192" t="n">
        <f aca="false">SUMIF($D$49:$D$250,$P716,AQ$49:AQ$250)</f>
        <v>0</v>
      </c>
      <c r="AR716" s="192" t="n">
        <f aca="false">SUMIF($D$49:$D$250,$P716,AR$49:AR$250)</f>
        <v>0</v>
      </c>
      <c r="AS716" s="192" t="n">
        <f aca="false">SUMIF($D$49:$D$250,$P716,AS$49:AS$250)</f>
        <v>0</v>
      </c>
      <c r="AT716" s="192" t="n">
        <f aca="false">SUMIF($D$49:$D$250,$P716,AT$49:AT$250)</f>
        <v>0</v>
      </c>
      <c r="AU716" s="192" t="n">
        <f aca="false">SUMIF($D$49:$D$250,$P716,AU$49:AU$250)</f>
        <v>0</v>
      </c>
      <c r="AV716" s="192" t="n">
        <f aca="false">SUMIF($D$49:$D$250,$P716,AV$49:AV$250)</f>
        <v>0</v>
      </c>
      <c r="AW716" s="192" t="n">
        <f aca="false">SUMIF($D$49:$D$250,$P716,AW$49:AW$250)</f>
        <v>0</v>
      </c>
      <c r="AX716" s="192" t="n">
        <f aca="false">SUMIF($D$49:$D$250,$P716,AX$49:AX$250)</f>
        <v>0</v>
      </c>
      <c r="AY716" s="192" t="n">
        <f aca="false">SUMIF($D$49:$D$250,$P716,AY$49:AY$250)</f>
        <v>0</v>
      </c>
      <c r="AZ716" s="192" t="n">
        <f aca="false">SUMIF($D$49:$D$250,$P716,AZ$49:AZ$250)</f>
        <v>0</v>
      </c>
      <c r="BA716" s="192" t="n">
        <f aca="false">SUMIF($D$49:$D$250,$P716,BA$49:BA$250)</f>
        <v>0</v>
      </c>
      <c r="BB716" s="192" t="n">
        <f aca="false">SUMIF($D$49:$D$250,$P716,BB$49:BB$250)</f>
        <v>0</v>
      </c>
    </row>
    <row r="717" customFormat="false" ht="15" hidden="false" customHeight="false" outlineLevel="0" collapsed="false">
      <c r="P717" s="190" t="str">
        <f aca="false">Site!C15</f>
        <v>Sales Support</v>
      </c>
      <c r="R717" s="191"/>
      <c r="S717" s="192" t="n">
        <f aca="false">SUMIF($D$49:$D$250,$P717,S$49:S$250)</f>
        <v>0</v>
      </c>
      <c r="T717" s="192" t="n">
        <f aca="false">SUMIF($D$49:$D$250,$P717,T$49:T$250)</f>
        <v>0</v>
      </c>
      <c r="U717" s="192" t="n">
        <f aca="false">SUMIF($D$49:$D$250,$P717,U$49:U$250)</f>
        <v>0</v>
      </c>
      <c r="V717" s="192" t="n">
        <f aca="false">SUMIF($D$49:$D$250,$P717,V$49:V$250)</f>
        <v>0</v>
      </c>
      <c r="W717" s="192" t="n">
        <f aca="false">SUMIF($D$49:$D$250,$P717,W$49:W$250)</f>
        <v>0</v>
      </c>
      <c r="X717" s="192" t="n">
        <f aca="false">SUMIF($D$49:$D$250,$P717,X$49:X$250)</f>
        <v>0</v>
      </c>
      <c r="Y717" s="192" t="n">
        <f aca="false">SUMIF($D$49:$D$250,$P717,Y$49:Y$250)</f>
        <v>0</v>
      </c>
      <c r="Z717" s="192" t="n">
        <f aca="false">SUMIF($D$49:$D$250,$P717,Z$49:Z$250)</f>
        <v>0</v>
      </c>
      <c r="AA717" s="192" t="n">
        <f aca="false">SUMIF($D$49:$D$250,$P717,AA$49:AA$250)</f>
        <v>0</v>
      </c>
      <c r="AB717" s="192" t="n">
        <f aca="false">SUMIF($D$49:$D$250,$P717,AB$49:AB$250)</f>
        <v>0</v>
      </c>
      <c r="AC717" s="192" t="n">
        <f aca="false">SUMIF($D$49:$D$250,$P717,AC$49:AC$250)</f>
        <v>0</v>
      </c>
      <c r="AD717" s="192" t="n">
        <f aca="false">SUMIF($D$49:$D$250,$P717,AD$49:AD$250)</f>
        <v>0</v>
      </c>
      <c r="AE717" s="192" t="n">
        <f aca="false">SUMIF($D$49:$D$250,$P717,AE$49:AE$250)</f>
        <v>0</v>
      </c>
      <c r="AF717" s="192" t="n">
        <f aca="false">SUMIF($D$49:$D$250,$P717,AF$49:AF$250)</f>
        <v>0</v>
      </c>
      <c r="AG717" s="192" t="n">
        <f aca="false">SUMIF($D$49:$D$250,$P717,AG$49:AG$250)</f>
        <v>0</v>
      </c>
      <c r="AH717" s="192" t="n">
        <f aca="false">SUMIF($D$49:$D$250,$P717,AH$49:AH$250)</f>
        <v>0</v>
      </c>
      <c r="AI717" s="192" t="n">
        <f aca="false">SUMIF($D$49:$D$250,$P717,AI$49:AI$250)</f>
        <v>0</v>
      </c>
      <c r="AJ717" s="192" t="n">
        <f aca="false">SUMIF($D$49:$D$250,$P717,AJ$49:AJ$250)</f>
        <v>0</v>
      </c>
      <c r="AK717" s="192" t="n">
        <f aca="false">SUMIF($D$49:$D$250,$P717,AK$49:AK$250)</f>
        <v>0</v>
      </c>
      <c r="AL717" s="192" t="n">
        <f aca="false">SUMIF($D$49:$D$250,$P717,AL$49:AL$250)</f>
        <v>0</v>
      </c>
      <c r="AM717" s="192" t="n">
        <f aca="false">SUMIF($D$49:$D$250,$P717,AM$49:AM$250)</f>
        <v>0</v>
      </c>
      <c r="AN717" s="192" t="n">
        <f aca="false">SUMIF($D$49:$D$250,$P717,AN$49:AN$250)</f>
        <v>0</v>
      </c>
      <c r="AO717" s="192" t="n">
        <f aca="false">SUMIF($D$49:$D$250,$P717,AO$49:AO$250)</f>
        <v>0</v>
      </c>
      <c r="AP717" s="192" t="n">
        <f aca="false">SUMIF($D$49:$D$250,$P717,AP$49:AP$250)</f>
        <v>0</v>
      </c>
      <c r="AQ717" s="192" t="n">
        <f aca="false">SUMIF($D$49:$D$250,$P717,AQ$49:AQ$250)</f>
        <v>0</v>
      </c>
      <c r="AR717" s="192" t="n">
        <f aca="false">SUMIF($D$49:$D$250,$P717,AR$49:AR$250)</f>
        <v>0</v>
      </c>
      <c r="AS717" s="192" t="n">
        <f aca="false">SUMIF($D$49:$D$250,$P717,AS$49:AS$250)</f>
        <v>0</v>
      </c>
      <c r="AT717" s="192" t="n">
        <f aca="false">SUMIF($D$49:$D$250,$P717,AT$49:AT$250)</f>
        <v>0</v>
      </c>
      <c r="AU717" s="192" t="n">
        <f aca="false">SUMIF($D$49:$D$250,$P717,AU$49:AU$250)</f>
        <v>0</v>
      </c>
      <c r="AV717" s="192" t="n">
        <f aca="false">SUMIF($D$49:$D$250,$P717,AV$49:AV$250)</f>
        <v>0</v>
      </c>
      <c r="AW717" s="192" t="n">
        <f aca="false">SUMIF($D$49:$D$250,$P717,AW$49:AW$250)</f>
        <v>0</v>
      </c>
      <c r="AX717" s="192" t="n">
        <f aca="false">SUMIF($D$49:$D$250,$P717,AX$49:AX$250)</f>
        <v>0</v>
      </c>
      <c r="AY717" s="192" t="n">
        <f aca="false">SUMIF($D$49:$D$250,$P717,AY$49:AY$250)</f>
        <v>0</v>
      </c>
      <c r="AZ717" s="192" t="n">
        <f aca="false">SUMIF($D$49:$D$250,$P717,AZ$49:AZ$250)</f>
        <v>0</v>
      </c>
      <c r="BA717" s="192" t="n">
        <f aca="false">SUMIF($D$49:$D$250,$P717,BA$49:BA$250)</f>
        <v>0</v>
      </c>
      <c r="BB717" s="192" t="n">
        <f aca="false">SUMIF($D$49:$D$250,$P717,BB$49:BB$250)</f>
        <v>0</v>
      </c>
    </row>
    <row r="718" customFormat="false" ht="15" hidden="false" customHeight="false" outlineLevel="0" collapsed="false">
      <c r="P718" s="190" t="n">
        <f aca="false">Site!C16</f>
        <v>0</v>
      </c>
      <c r="R718" s="191"/>
      <c r="S718" s="192" t="n">
        <f aca="false">SUMIF($D$49:$D$250,$P718,S$49:S$250)</f>
        <v>0</v>
      </c>
      <c r="T718" s="192" t="n">
        <f aca="false">SUMIF($D$49:$D$250,$P718,T$49:T$250)</f>
        <v>0</v>
      </c>
      <c r="U718" s="192" t="n">
        <f aca="false">SUMIF($D$49:$D$250,$P718,U$49:U$250)</f>
        <v>0</v>
      </c>
      <c r="V718" s="192" t="n">
        <f aca="false">SUMIF($D$49:$D$250,$P718,V$49:V$250)</f>
        <v>0</v>
      </c>
      <c r="W718" s="192" t="n">
        <f aca="false">SUMIF($D$49:$D$250,$P718,W$49:W$250)</f>
        <v>0</v>
      </c>
      <c r="X718" s="192" t="n">
        <f aca="false">SUMIF($D$49:$D$250,$P718,X$49:X$250)</f>
        <v>0</v>
      </c>
      <c r="Y718" s="192" t="n">
        <f aca="false">SUMIF($D$49:$D$250,$P718,Y$49:Y$250)</f>
        <v>0</v>
      </c>
      <c r="Z718" s="192" t="n">
        <f aca="false">SUMIF($D$49:$D$250,$P718,Z$49:Z$250)</f>
        <v>0</v>
      </c>
      <c r="AA718" s="192" t="n">
        <f aca="false">SUMIF($D$49:$D$250,$P718,AA$49:AA$250)</f>
        <v>0</v>
      </c>
      <c r="AB718" s="192" t="n">
        <f aca="false">SUMIF($D$49:$D$250,$P718,AB$49:AB$250)</f>
        <v>0</v>
      </c>
      <c r="AC718" s="192" t="n">
        <f aca="false">SUMIF($D$49:$D$250,$P718,AC$49:AC$250)</f>
        <v>0</v>
      </c>
      <c r="AD718" s="192" t="n">
        <f aca="false">SUMIF($D$49:$D$250,$P718,AD$49:AD$250)</f>
        <v>0</v>
      </c>
      <c r="AE718" s="192" t="n">
        <f aca="false">SUMIF($D$49:$D$250,$P718,AE$49:AE$250)</f>
        <v>0</v>
      </c>
      <c r="AF718" s="192" t="n">
        <f aca="false">SUMIF($D$49:$D$250,$P718,AF$49:AF$250)</f>
        <v>0</v>
      </c>
      <c r="AG718" s="192" t="n">
        <f aca="false">SUMIF($D$49:$D$250,$P718,AG$49:AG$250)</f>
        <v>0</v>
      </c>
      <c r="AH718" s="192" t="n">
        <f aca="false">SUMIF($D$49:$D$250,$P718,AH$49:AH$250)</f>
        <v>0</v>
      </c>
      <c r="AI718" s="192" t="n">
        <f aca="false">SUMIF($D$49:$D$250,$P718,AI$49:AI$250)</f>
        <v>0</v>
      </c>
      <c r="AJ718" s="192" t="n">
        <f aca="false">SUMIF($D$49:$D$250,$P718,AJ$49:AJ$250)</f>
        <v>0</v>
      </c>
      <c r="AK718" s="192" t="n">
        <f aca="false">SUMIF($D$49:$D$250,$P718,AK$49:AK$250)</f>
        <v>0</v>
      </c>
      <c r="AL718" s="192" t="n">
        <f aca="false">SUMIF($D$49:$D$250,$P718,AL$49:AL$250)</f>
        <v>0</v>
      </c>
      <c r="AM718" s="192" t="n">
        <f aca="false">SUMIF($D$49:$D$250,$P718,AM$49:AM$250)</f>
        <v>0</v>
      </c>
      <c r="AN718" s="192" t="n">
        <f aca="false">SUMIF($D$49:$D$250,$P718,AN$49:AN$250)</f>
        <v>0</v>
      </c>
      <c r="AO718" s="192" t="n">
        <f aca="false">SUMIF($D$49:$D$250,$P718,AO$49:AO$250)</f>
        <v>0</v>
      </c>
      <c r="AP718" s="192" t="n">
        <f aca="false">SUMIF($D$49:$D$250,$P718,AP$49:AP$250)</f>
        <v>0</v>
      </c>
      <c r="AQ718" s="192" t="n">
        <f aca="false">SUMIF($D$49:$D$250,$P718,AQ$49:AQ$250)</f>
        <v>0</v>
      </c>
      <c r="AR718" s="192" t="n">
        <f aca="false">SUMIF($D$49:$D$250,$P718,AR$49:AR$250)</f>
        <v>0</v>
      </c>
      <c r="AS718" s="192" t="n">
        <f aca="false">SUMIF($D$49:$D$250,$P718,AS$49:AS$250)</f>
        <v>0</v>
      </c>
      <c r="AT718" s="192" t="n">
        <f aca="false">SUMIF($D$49:$D$250,$P718,AT$49:AT$250)</f>
        <v>0</v>
      </c>
      <c r="AU718" s="192" t="n">
        <f aca="false">SUMIF($D$49:$D$250,$P718,AU$49:AU$250)</f>
        <v>0</v>
      </c>
      <c r="AV718" s="192" t="n">
        <f aca="false">SUMIF($D$49:$D$250,$P718,AV$49:AV$250)</f>
        <v>0</v>
      </c>
      <c r="AW718" s="192" t="n">
        <f aca="false">SUMIF($D$49:$D$250,$P718,AW$49:AW$250)</f>
        <v>0</v>
      </c>
      <c r="AX718" s="192" t="n">
        <f aca="false">SUMIF($D$49:$D$250,$P718,AX$49:AX$250)</f>
        <v>0</v>
      </c>
      <c r="AY718" s="192" t="n">
        <f aca="false">SUMIF($D$49:$D$250,$P718,AY$49:AY$250)</f>
        <v>0</v>
      </c>
      <c r="AZ718" s="192" t="n">
        <f aca="false">SUMIF($D$49:$D$250,$P718,AZ$49:AZ$250)</f>
        <v>0</v>
      </c>
      <c r="BA718" s="192" t="n">
        <f aca="false">SUMIF($D$49:$D$250,$P718,BA$49:BA$250)</f>
        <v>0</v>
      </c>
      <c r="BB718" s="192" t="n">
        <f aca="false">SUMIF($D$49:$D$250,$P718,BB$49:BB$250)</f>
        <v>0</v>
      </c>
    </row>
    <row r="719" customFormat="false" ht="15" hidden="false" customHeight="false" outlineLevel="0" collapsed="false">
      <c r="P719" s="190" t="str">
        <f aca="false">Site!C17</f>
        <v>Department</v>
      </c>
      <c r="R719" s="191"/>
      <c r="S719" s="192" t="n">
        <f aca="false">SUMIF($D$49:$D$250,$P719,S$49:S$250)</f>
        <v>0</v>
      </c>
      <c r="T719" s="192" t="n">
        <f aca="false">SUMIF($D$49:$D$250,$P719,T$49:T$250)</f>
        <v>0</v>
      </c>
      <c r="U719" s="192" t="n">
        <f aca="false">SUMIF($D$49:$D$250,$P719,U$49:U$250)</f>
        <v>0</v>
      </c>
      <c r="V719" s="192" t="n">
        <f aca="false">SUMIF($D$49:$D$250,$P719,V$49:V$250)</f>
        <v>0</v>
      </c>
      <c r="W719" s="192" t="n">
        <f aca="false">SUMIF($D$49:$D$250,$P719,W$49:W$250)</f>
        <v>0</v>
      </c>
      <c r="X719" s="192" t="n">
        <f aca="false">SUMIF($D$49:$D$250,$P719,X$49:X$250)</f>
        <v>0</v>
      </c>
      <c r="Y719" s="192" t="n">
        <f aca="false">SUMIF($D$49:$D$250,$P719,Y$49:Y$250)</f>
        <v>0</v>
      </c>
      <c r="Z719" s="192" t="n">
        <f aca="false">SUMIF($D$49:$D$250,$P719,Z$49:Z$250)</f>
        <v>0</v>
      </c>
      <c r="AA719" s="192" t="n">
        <f aca="false">SUMIF($D$49:$D$250,$P719,AA$49:AA$250)</f>
        <v>0</v>
      </c>
      <c r="AB719" s="192" t="n">
        <f aca="false">SUMIF($D$49:$D$250,$P719,AB$49:AB$250)</f>
        <v>0</v>
      </c>
      <c r="AC719" s="192" t="n">
        <f aca="false">SUMIF($D$49:$D$250,$P719,AC$49:AC$250)</f>
        <v>0</v>
      </c>
      <c r="AD719" s="192" t="n">
        <f aca="false">SUMIF($D$49:$D$250,$P719,AD$49:AD$250)</f>
        <v>0</v>
      </c>
      <c r="AE719" s="192" t="n">
        <f aca="false">SUMIF($D$49:$D$250,$P719,AE$49:AE$250)</f>
        <v>0</v>
      </c>
      <c r="AF719" s="192" t="n">
        <f aca="false">SUMIF($D$49:$D$250,$P719,AF$49:AF$250)</f>
        <v>0</v>
      </c>
      <c r="AG719" s="192" t="n">
        <f aca="false">SUMIF($D$49:$D$250,$P719,AG$49:AG$250)</f>
        <v>0</v>
      </c>
      <c r="AH719" s="192" t="n">
        <f aca="false">SUMIF($D$49:$D$250,$P719,AH$49:AH$250)</f>
        <v>0</v>
      </c>
      <c r="AI719" s="192" t="n">
        <f aca="false">SUMIF($D$49:$D$250,$P719,AI$49:AI$250)</f>
        <v>0</v>
      </c>
      <c r="AJ719" s="192" t="n">
        <f aca="false">SUMIF($D$49:$D$250,$P719,AJ$49:AJ$250)</f>
        <v>0</v>
      </c>
      <c r="AK719" s="192" t="n">
        <f aca="false">SUMIF($D$49:$D$250,$P719,AK$49:AK$250)</f>
        <v>0</v>
      </c>
      <c r="AL719" s="192" t="n">
        <f aca="false">SUMIF($D$49:$D$250,$P719,AL$49:AL$250)</f>
        <v>0</v>
      </c>
      <c r="AM719" s="192" t="n">
        <f aca="false">SUMIF($D$49:$D$250,$P719,AM$49:AM$250)</f>
        <v>0</v>
      </c>
      <c r="AN719" s="192" t="n">
        <f aca="false">SUMIF($D$49:$D$250,$P719,AN$49:AN$250)</f>
        <v>0</v>
      </c>
      <c r="AO719" s="192" t="n">
        <f aca="false">SUMIF($D$49:$D$250,$P719,AO$49:AO$250)</f>
        <v>0</v>
      </c>
      <c r="AP719" s="192" t="n">
        <f aca="false">SUMIF($D$49:$D$250,$P719,AP$49:AP$250)</f>
        <v>0</v>
      </c>
      <c r="AQ719" s="192" t="n">
        <f aca="false">SUMIF($D$49:$D$250,$P719,AQ$49:AQ$250)</f>
        <v>0</v>
      </c>
      <c r="AR719" s="192" t="n">
        <f aca="false">SUMIF($D$49:$D$250,$P719,AR$49:AR$250)</f>
        <v>0</v>
      </c>
      <c r="AS719" s="192" t="n">
        <f aca="false">SUMIF($D$49:$D$250,$P719,AS$49:AS$250)</f>
        <v>0</v>
      </c>
      <c r="AT719" s="192" t="n">
        <f aca="false">SUMIF($D$49:$D$250,$P719,AT$49:AT$250)</f>
        <v>0</v>
      </c>
      <c r="AU719" s="192" t="n">
        <f aca="false">SUMIF($D$49:$D$250,$P719,AU$49:AU$250)</f>
        <v>0</v>
      </c>
      <c r="AV719" s="192" t="n">
        <f aca="false">SUMIF($D$49:$D$250,$P719,AV$49:AV$250)</f>
        <v>0</v>
      </c>
      <c r="AW719" s="192" t="n">
        <f aca="false">SUMIF($D$49:$D$250,$P719,AW$49:AW$250)</f>
        <v>0</v>
      </c>
      <c r="AX719" s="192" t="n">
        <f aca="false">SUMIF($D$49:$D$250,$P719,AX$49:AX$250)</f>
        <v>0</v>
      </c>
      <c r="AY719" s="192" t="n">
        <f aca="false">SUMIF($D$49:$D$250,$P719,AY$49:AY$250)</f>
        <v>0</v>
      </c>
      <c r="AZ719" s="192" t="n">
        <f aca="false">SUMIF($D$49:$D$250,$P719,AZ$49:AZ$250)</f>
        <v>0</v>
      </c>
      <c r="BA719" s="192" t="n">
        <f aca="false">SUMIF($D$49:$D$250,$P719,BA$49:BA$250)</f>
        <v>0</v>
      </c>
      <c r="BB719" s="192" t="n">
        <f aca="false">SUMIF($D$49:$D$250,$P719,BB$49:BB$250)</f>
        <v>0</v>
      </c>
    </row>
    <row r="720" customFormat="false" ht="15" hidden="false" customHeight="false" outlineLevel="0" collapsed="false">
      <c r="P720" s="190" t="str">
        <f aca="false">Site!C18</f>
        <v>Others</v>
      </c>
      <c r="R720" s="191"/>
      <c r="S720" s="192" t="n">
        <f aca="false">SUMIF($D$49:$D$250,$P720,S$49:S$250)</f>
        <v>0</v>
      </c>
      <c r="T720" s="192" t="n">
        <f aca="false">SUMIF($D$49:$D$250,$P720,T$49:T$250)</f>
        <v>0</v>
      </c>
      <c r="U720" s="192" t="n">
        <f aca="false">SUMIF($D$49:$D$250,$P720,U$49:U$250)</f>
        <v>0</v>
      </c>
      <c r="V720" s="192" t="n">
        <f aca="false">SUMIF($D$49:$D$250,$P720,V$49:V$250)</f>
        <v>0</v>
      </c>
      <c r="W720" s="192" t="n">
        <f aca="false">SUMIF($D$49:$D$250,$P720,W$49:W$250)</f>
        <v>0</v>
      </c>
      <c r="X720" s="192" t="n">
        <f aca="false">SUMIF($D$49:$D$250,$P720,X$49:X$250)</f>
        <v>0</v>
      </c>
      <c r="Y720" s="192" t="n">
        <f aca="false">SUMIF($D$49:$D$250,$P720,Y$49:Y$250)</f>
        <v>0</v>
      </c>
      <c r="Z720" s="192" t="n">
        <f aca="false">SUMIF($D$49:$D$250,$P720,Z$49:Z$250)</f>
        <v>0</v>
      </c>
      <c r="AA720" s="192" t="n">
        <f aca="false">SUMIF($D$49:$D$250,$P720,AA$49:AA$250)</f>
        <v>0</v>
      </c>
      <c r="AB720" s="192" t="n">
        <f aca="false">SUMIF($D$49:$D$250,$P720,AB$49:AB$250)</f>
        <v>0</v>
      </c>
      <c r="AC720" s="192" t="n">
        <f aca="false">SUMIF($D$49:$D$250,$P720,AC$49:AC$250)</f>
        <v>0</v>
      </c>
      <c r="AD720" s="192" t="n">
        <f aca="false">SUMIF($D$49:$D$250,$P720,AD$49:AD$250)</f>
        <v>0</v>
      </c>
      <c r="AE720" s="192" t="n">
        <f aca="false">SUMIF($D$49:$D$250,$P720,AE$49:AE$250)</f>
        <v>0</v>
      </c>
      <c r="AF720" s="192" t="n">
        <f aca="false">SUMIF($D$49:$D$250,$P720,AF$49:AF$250)</f>
        <v>0</v>
      </c>
      <c r="AG720" s="192" t="n">
        <f aca="false">SUMIF($D$49:$D$250,$P720,AG$49:AG$250)</f>
        <v>0</v>
      </c>
      <c r="AH720" s="192" t="n">
        <f aca="false">SUMIF($D$49:$D$250,$P720,AH$49:AH$250)</f>
        <v>0</v>
      </c>
      <c r="AI720" s="192" t="n">
        <f aca="false">SUMIF($D$49:$D$250,$P720,AI$49:AI$250)</f>
        <v>0</v>
      </c>
      <c r="AJ720" s="192" t="n">
        <f aca="false">SUMIF($D$49:$D$250,$P720,AJ$49:AJ$250)</f>
        <v>0</v>
      </c>
      <c r="AK720" s="192" t="n">
        <f aca="false">SUMIF($D$49:$D$250,$P720,AK$49:AK$250)</f>
        <v>0</v>
      </c>
      <c r="AL720" s="192" t="n">
        <f aca="false">SUMIF($D$49:$D$250,$P720,AL$49:AL$250)</f>
        <v>0</v>
      </c>
      <c r="AM720" s="192" t="n">
        <f aca="false">SUMIF($D$49:$D$250,$P720,AM$49:AM$250)</f>
        <v>0</v>
      </c>
      <c r="AN720" s="192" t="n">
        <f aca="false">SUMIF($D$49:$D$250,$P720,AN$49:AN$250)</f>
        <v>0</v>
      </c>
      <c r="AO720" s="192" t="n">
        <f aca="false">SUMIF($D$49:$D$250,$P720,AO$49:AO$250)</f>
        <v>0</v>
      </c>
      <c r="AP720" s="192" t="n">
        <f aca="false">SUMIF($D$49:$D$250,$P720,AP$49:AP$250)</f>
        <v>0</v>
      </c>
      <c r="AQ720" s="192" t="n">
        <f aca="false">SUMIF($D$49:$D$250,$P720,AQ$49:AQ$250)</f>
        <v>0</v>
      </c>
      <c r="AR720" s="192" t="n">
        <f aca="false">SUMIF($D$49:$D$250,$P720,AR$49:AR$250)</f>
        <v>0</v>
      </c>
      <c r="AS720" s="192" t="n">
        <f aca="false">SUMIF($D$49:$D$250,$P720,AS$49:AS$250)</f>
        <v>0</v>
      </c>
      <c r="AT720" s="192" t="n">
        <f aca="false">SUMIF($D$49:$D$250,$P720,AT$49:AT$250)</f>
        <v>0</v>
      </c>
      <c r="AU720" s="192" t="n">
        <f aca="false">SUMIF($D$49:$D$250,$P720,AU$49:AU$250)</f>
        <v>0</v>
      </c>
      <c r="AV720" s="192" t="n">
        <f aca="false">SUMIF($D$49:$D$250,$P720,AV$49:AV$250)</f>
        <v>0</v>
      </c>
      <c r="AW720" s="192" t="n">
        <f aca="false">SUMIF($D$49:$D$250,$P720,AW$49:AW$250)</f>
        <v>0</v>
      </c>
      <c r="AX720" s="192" t="n">
        <f aca="false">SUMIF($D$49:$D$250,$P720,AX$49:AX$250)</f>
        <v>0</v>
      </c>
      <c r="AY720" s="192" t="n">
        <f aca="false">SUMIF($D$49:$D$250,$P720,AY$49:AY$250)</f>
        <v>0</v>
      </c>
      <c r="AZ720" s="192" t="n">
        <f aca="false">SUMIF($D$49:$D$250,$P720,AZ$49:AZ$250)</f>
        <v>0</v>
      </c>
      <c r="BA720" s="192" t="n">
        <f aca="false">SUMIF($D$49:$D$250,$P720,BA$49:BA$250)</f>
        <v>0</v>
      </c>
      <c r="BB720" s="192" t="n">
        <f aca="false">SUMIF($D$49:$D$250,$P720,BB$49:BB$250)</f>
        <v>0</v>
      </c>
    </row>
    <row r="721" customFormat="false" ht="15.75" hidden="false" customHeight="false" outlineLevel="0" collapsed="false">
      <c r="P721" s="193" t="s">
        <v>236</v>
      </c>
      <c r="R721" s="180"/>
      <c r="S721" s="194" t="n">
        <f aca="false">SUM(S712:S720)</f>
        <v>0</v>
      </c>
      <c r="T721" s="194" t="n">
        <f aca="false">SUM(T712:T720)</f>
        <v>0</v>
      </c>
      <c r="U721" s="194" t="n">
        <f aca="false">SUM(U712:U720)</f>
        <v>0</v>
      </c>
      <c r="V721" s="194" t="n">
        <f aca="false">SUM(V712:V720)</f>
        <v>0</v>
      </c>
      <c r="W721" s="194" t="n">
        <f aca="false">SUM(W712:W720)</f>
        <v>0</v>
      </c>
      <c r="X721" s="194" t="n">
        <f aca="false">SUM(X712:X720)</f>
        <v>0</v>
      </c>
      <c r="Y721" s="194" t="n">
        <f aca="false">SUM(Y712:Y720)</f>
        <v>0</v>
      </c>
      <c r="Z721" s="194" t="n">
        <f aca="false">SUM(Z712:Z720)</f>
        <v>0</v>
      </c>
      <c r="AA721" s="194" t="n">
        <f aca="false">SUM(AA712:AA720)</f>
        <v>0</v>
      </c>
      <c r="AB721" s="194" t="n">
        <f aca="false">SUM(AB712:AB720)</f>
        <v>0</v>
      </c>
      <c r="AC721" s="194" t="n">
        <f aca="false">SUM(AC712:AC720)</f>
        <v>0</v>
      </c>
      <c r="AD721" s="194" t="n">
        <f aca="false">SUM(AD712:AD720)</f>
        <v>0</v>
      </c>
      <c r="AE721" s="194" t="n">
        <f aca="false">SUM(AE712:AE720)</f>
        <v>0</v>
      </c>
      <c r="AF721" s="194" t="n">
        <f aca="false">SUM(AF712:AF720)</f>
        <v>0</v>
      </c>
      <c r="AG721" s="194" t="n">
        <f aca="false">SUM(AG712:AG720)</f>
        <v>0</v>
      </c>
      <c r="AH721" s="194" t="n">
        <f aca="false">SUM(AH712:AH720)</f>
        <v>0</v>
      </c>
      <c r="AI721" s="194" t="n">
        <f aca="false">SUM(AI712:AI720)</f>
        <v>0</v>
      </c>
      <c r="AJ721" s="194" t="n">
        <f aca="false">SUM(AJ712:AJ720)</f>
        <v>0</v>
      </c>
      <c r="AK721" s="194" t="n">
        <f aca="false">SUM(AK712:AK720)</f>
        <v>0</v>
      </c>
      <c r="AL721" s="194" t="n">
        <f aca="false">SUM(AL712:AL720)</f>
        <v>0</v>
      </c>
      <c r="AM721" s="194" t="n">
        <f aca="false">SUM(AM712:AM720)</f>
        <v>0</v>
      </c>
      <c r="AN721" s="194" t="n">
        <f aca="false">SUM(AN712:AN720)</f>
        <v>0</v>
      </c>
      <c r="AO721" s="194" t="n">
        <f aca="false">SUM(AO712:AO720)</f>
        <v>0</v>
      </c>
      <c r="AP721" s="194" t="n">
        <f aca="false">SUM(AP712:AP720)</f>
        <v>0</v>
      </c>
      <c r="AQ721" s="194" t="n">
        <f aca="false">SUM(AQ712:AQ720)</f>
        <v>0</v>
      </c>
      <c r="AR721" s="194" t="n">
        <f aca="false">SUM(AR712:AR720)</f>
        <v>0</v>
      </c>
      <c r="AS721" s="194" t="n">
        <f aca="false">SUM(AS712:AS720)</f>
        <v>0</v>
      </c>
      <c r="AT721" s="194" t="n">
        <f aca="false">SUM(AT712:AT720)</f>
        <v>0</v>
      </c>
      <c r="AU721" s="194" t="n">
        <f aca="false">SUM(AU712:AU720)</f>
        <v>0</v>
      </c>
      <c r="AV721" s="194" t="n">
        <f aca="false">SUM(AV712:AV720)</f>
        <v>0</v>
      </c>
      <c r="AW721" s="194" t="n">
        <f aca="false">SUM(AW712:AW720)</f>
        <v>0</v>
      </c>
      <c r="AX721" s="194" t="n">
        <f aca="false">SUM(AX712:AX720)</f>
        <v>0</v>
      </c>
      <c r="AY721" s="194" t="n">
        <f aca="false">SUM(AY712:AY720)</f>
        <v>0</v>
      </c>
      <c r="AZ721" s="194" t="n">
        <f aca="false">SUM(AZ712:AZ720)</f>
        <v>0</v>
      </c>
      <c r="BA721" s="194" t="n">
        <f aca="false">SUM(BA712:BA720)</f>
        <v>0</v>
      </c>
      <c r="BB721" s="194" t="n">
        <f aca="false">SUM(BB712:BB720)</f>
        <v>0</v>
      </c>
    </row>
    <row r="727" customFormat="false" ht="15" hidden="false" customHeight="false" outlineLevel="0" collapsed="false">
      <c r="B727" s="195" t="s">
        <v>238</v>
      </c>
      <c r="C727" s="136"/>
      <c r="D727" s="136"/>
      <c r="E727" s="137"/>
      <c r="F727" s="136"/>
      <c r="G727" s="136"/>
      <c r="H727" s="136"/>
      <c r="I727" s="136"/>
      <c r="J727" s="136"/>
      <c r="K727" s="137"/>
      <c r="L727" s="138"/>
      <c r="M727" s="138"/>
      <c r="N727" s="136"/>
      <c r="O727" s="136"/>
      <c r="P727" s="137"/>
      <c r="Q727" s="139"/>
      <c r="R727" s="140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  <c r="AH727" s="141"/>
      <c r="AI727" s="141"/>
      <c r="AJ727" s="141"/>
      <c r="AK727" s="141"/>
      <c r="AL727" s="141"/>
      <c r="AM727" s="141"/>
      <c r="AN727" s="141"/>
      <c r="AO727" s="141"/>
      <c r="AP727" s="141"/>
      <c r="AQ727" s="141"/>
      <c r="AR727" s="141"/>
      <c r="AS727" s="141"/>
      <c r="AT727" s="141"/>
      <c r="AU727" s="141"/>
      <c r="AV727" s="141"/>
      <c r="AW727" s="141"/>
      <c r="AX727" s="141"/>
      <c r="AY727" s="141"/>
      <c r="AZ727" s="141"/>
      <c r="BA727" s="141"/>
      <c r="BB727" s="141"/>
    </row>
  </sheetData>
  <autoFilter ref="B49:BB356"/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conditionalFormatting sqref="AQ46:BB46">
    <cfRule type="cellIs" priority="2" operator="between" aboveAverage="0" equalAverage="0" bottom="0" percent="0" rank="0" text="" dxfId="10">
      <formula>-40</formula>
      <formula>16</formula>
    </cfRule>
    <cfRule type="cellIs" priority="3" operator="between" aboveAverage="0" equalAverage="0" bottom="0" percent="0" rank="0" text="" dxfId="11">
      <formula>-80</formula>
      <formula>32</formula>
    </cfRule>
    <cfRule type="cellIs" priority="4" operator="between" aboveAverage="0" equalAverage="0" bottom="0" percent="0" rank="0" text="" dxfId="12">
      <formula>-1000</formula>
      <formula>1000</formula>
    </cfRule>
  </conditionalFormatting>
  <conditionalFormatting sqref="Q41 AQ41:BB41">
    <cfRule type="cellIs" priority="5" operator="between" aboveAverage="0" equalAverage="0" bottom="0" percent="0" rank="0" text="" dxfId="13">
      <formula>-10%</formula>
      <formula>10%</formula>
    </cfRule>
    <cfRule type="cellIs" priority="6" operator="between" aboveAverage="0" equalAverage="0" bottom="0" percent="0" rank="0" text="" dxfId="14">
      <formula>-20%</formula>
      <formula>20%</formula>
    </cfRule>
    <cfRule type="cellIs" priority="7" operator="between" aboveAverage="0" equalAverage="0" bottom="0" percent="0" rank="0" text="" dxfId="15">
      <formula>-1000%</formula>
      <formula>1000%</formula>
    </cfRule>
  </conditionalFormatting>
  <conditionalFormatting sqref="AQ253:BB355">
    <cfRule type="cellIs" priority="8" operator="greaterThan" aboveAverage="0" equalAverage="0" bottom="0" percent="0" rank="0" text="" dxfId="16">
      <formula>0</formula>
    </cfRule>
  </conditionalFormatting>
  <conditionalFormatting sqref="AQ54:BB57 AQ50:BB51 AQ62:BB62 AE70:BB70 AE78:BB78 AQ64:BB64 S80:BB250">
    <cfRule type="cellIs" priority="9" operator="greaterThan" aboveAverage="0" equalAverage="0" bottom="0" percent="0" rank="0" text="" dxfId="17">
      <formula>0</formula>
    </cfRule>
  </conditionalFormatting>
  <conditionalFormatting sqref="AQ596:BB695">
    <cfRule type="cellIs" priority="10" operator="between" aboveAverage="0" equalAverage="0" bottom="0" percent="0" rank="0" text="" dxfId="18">
      <formula>-0.2</formula>
      <formula>0.1</formula>
    </cfRule>
    <cfRule type="cellIs" priority="11" operator="between" aboveAverage="0" equalAverage="0" bottom="0" percent="0" rank="0" text="" dxfId="19">
      <formula>-0.35</formula>
      <formula>0.15</formula>
    </cfRule>
    <cfRule type="cellIs" priority="12" operator="between" aboveAverage="0" equalAverage="0" bottom="0" percent="0" rank="0" text="" dxfId="20">
      <formula>-1</formula>
      <formula>10</formula>
    </cfRule>
  </conditionalFormatting>
  <conditionalFormatting sqref="AQ251:BB251">
    <cfRule type="cellIs" priority="13" operator="greaterThan" aboveAverage="0" equalAverage="0" bottom="0" percent="0" rank="0" text="" dxfId="21">
      <formula>0</formula>
    </cfRule>
  </conditionalFormatting>
  <conditionalFormatting sqref="AQ727:BB727">
    <cfRule type="cellIs" priority="14" operator="greaterThan" aboveAverage="0" equalAverage="0" bottom="0" percent="0" rank="0" text="" dxfId="22">
      <formula>0</formula>
    </cfRule>
  </conditionalFormatting>
  <conditionalFormatting sqref="AQ61:BB61">
    <cfRule type="cellIs" priority="15" operator="greaterThan" aboveAverage="0" equalAverage="0" bottom="0" percent="0" rank="0" text="" dxfId="23">
      <formula>0</formula>
    </cfRule>
  </conditionalFormatting>
  <conditionalFormatting sqref="AQ382:BB383">
    <cfRule type="expression" priority="16" aboveAverage="0" equalAverage="0" bottom="0" percent="0" rank="0" text="" dxfId="24">
      <formula>AND(AQ382&gt;=(ProdFac -0.15),AQ382&lt;=(ProdFac+0.15))</formula>
    </cfRule>
    <cfRule type="expression" priority="17" aboveAverage="0" equalAverage="0" bottom="0" percent="0" rank="0" text="" dxfId="25">
      <formula>AND(AQ382&gt;=(ProdFac -0.25),AQ382&lt;=(ProdFac+0.25))</formula>
    </cfRule>
    <cfRule type="cellIs" priority="18" operator="between" aboveAverage="0" equalAverage="0" bottom="0" percent="0" rank="0" text="" dxfId="26">
      <formula>-1</formula>
      <formula>10</formula>
    </cfRule>
  </conditionalFormatting>
  <conditionalFormatting sqref="AQ52:BB52">
    <cfRule type="cellIs" priority="19" operator="greaterThan" aboveAverage="0" equalAverage="0" bottom="0" percent="0" rank="0" text="" dxfId="27">
      <formula>0</formula>
    </cfRule>
  </conditionalFormatting>
  <conditionalFormatting sqref="AQ55:BB56">
    <cfRule type="cellIs" priority="20" operator="greaterThan" aboveAverage="0" equalAverage="0" bottom="0" percent="0" rank="0" text="" dxfId="28">
      <formula>0</formula>
    </cfRule>
  </conditionalFormatting>
  <conditionalFormatting sqref="AQ55:BB55">
    <cfRule type="cellIs" priority="21" operator="greaterThan" aboveAverage="0" equalAverage="0" bottom="0" percent="0" rank="0" text="" dxfId="29">
      <formula>0</formula>
    </cfRule>
  </conditionalFormatting>
  <conditionalFormatting sqref="AQ58:BB58">
    <cfRule type="cellIs" priority="22" operator="greaterThan" aboveAverage="0" equalAverage="0" bottom="0" percent="0" rank="0" text="" dxfId="30">
      <formula>0</formula>
    </cfRule>
  </conditionalFormatting>
  <conditionalFormatting sqref="AQ65:BB65">
    <cfRule type="cellIs" priority="23" operator="greaterThan" aboveAverage="0" equalAverage="0" bottom="0" percent="0" rank="0" text="" dxfId="31">
      <formula>0</formula>
    </cfRule>
  </conditionalFormatting>
  <conditionalFormatting sqref="AQ65:BB65">
    <cfRule type="cellIs" priority="24" operator="greaterThan" aboveAverage="0" equalAverage="0" bottom="0" percent="0" rank="0" text="" dxfId="32">
      <formula>0</formula>
    </cfRule>
  </conditionalFormatting>
  <conditionalFormatting sqref="AQ68:BB69">
    <cfRule type="cellIs" priority="25" operator="greaterThan" aboveAverage="0" equalAverage="0" bottom="0" percent="0" rank="0" text="" dxfId="33">
      <formula>0</formula>
    </cfRule>
  </conditionalFormatting>
  <conditionalFormatting sqref="AQ72:BB72">
    <cfRule type="cellIs" priority="26" operator="greaterThan" aboveAverage="0" equalAverage="0" bottom="0" percent="0" rank="0" text="" dxfId="34">
      <formula>0</formula>
    </cfRule>
  </conditionalFormatting>
  <conditionalFormatting sqref="AQ74:BB74 AQ76:BB76">
    <cfRule type="cellIs" priority="27" operator="greaterThan" aboveAverage="0" equalAverage="0" bottom="0" percent="0" rank="0" text="" dxfId="35">
      <formula>0</formula>
    </cfRule>
  </conditionalFormatting>
  <conditionalFormatting sqref="AQ77:BB77">
    <cfRule type="cellIs" priority="28" operator="greaterThan" aboveAverage="0" equalAverage="0" bottom="0" percent="0" rank="0" text="" dxfId="36">
      <formula>0</formula>
    </cfRule>
  </conditionalFormatting>
  <conditionalFormatting sqref="S50:AD51">
    <cfRule type="cellIs" priority="29" operator="greaterThan" aboveAverage="0" equalAverage="0" bottom="0" percent="0" rank="0" text="" dxfId="37">
      <formula>0</formula>
    </cfRule>
  </conditionalFormatting>
  <conditionalFormatting sqref="S52:AD52">
    <cfRule type="cellIs" priority="30" operator="greaterThan" aboveAverage="0" equalAverage="0" bottom="0" percent="0" rank="0" text="" dxfId="38">
      <formula>0</formula>
    </cfRule>
  </conditionalFormatting>
  <conditionalFormatting sqref="S57:AD57">
    <cfRule type="cellIs" priority="31" operator="greaterThan" aboveAverage="0" equalAverage="0" bottom="0" percent="0" rank="0" text="" dxfId="39">
      <formula>0</formula>
    </cfRule>
  </conditionalFormatting>
  <conditionalFormatting sqref="S251:AD251">
    <cfRule type="cellIs" priority="32" operator="greaterThan" aboveAverage="0" equalAverage="0" bottom="0" percent="0" rank="0" text="" dxfId="40">
      <formula>0</formula>
    </cfRule>
  </conditionalFormatting>
  <conditionalFormatting sqref="S61:AD61">
    <cfRule type="cellIs" priority="33" operator="greaterThan" aboveAverage="0" equalAverage="0" bottom="0" percent="0" rank="0" text="" dxfId="41">
      <formula>0</formula>
    </cfRule>
  </conditionalFormatting>
  <conditionalFormatting sqref="S62:AD62 S54:AD56">
    <cfRule type="cellIs" priority="34" operator="greaterThan" aboveAverage="0" equalAverage="0" bottom="0" percent="0" rank="0" text="" dxfId="42">
      <formula>0</formula>
    </cfRule>
  </conditionalFormatting>
  <conditionalFormatting sqref="S51:AD51">
    <cfRule type="cellIs" priority="35" operator="greaterThan" aboveAverage="0" equalAverage="0" bottom="0" percent="0" rank="0" text="" dxfId="43">
      <formula>0</formula>
    </cfRule>
  </conditionalFormatting>
  <conditionalFormatting sqref="S52:AD52">
    <cfRule type="cellIs" priority="36" operator="greaterThan" aboveAverage="0" equalAverage="0" bottom="0" percent="0" rank="0" text="" dxfId="44">
      <formula>0</formula>
    </cfRule>
  </conditionalFormatting>
  <conditionalFormatting sqref="S46:AD46">
    <cfRule type="cellIs" priority="37" operator="between" aboveAverage="0" equalAverage="0" bottom="0" percent="0" rank="0" text="" dxfId="45">
      <formula>-40</formula>
      <formula>16</formula>
    </cfRule>
    <cfRule type="cellIs" priority="38" operator="between" aboveAverage="0" equalAverage="0" bottom="0" percent="0" rank="0" text="" dxfId="46">
      <formula>-80</formula>
      <formula>32</formula>
    </cfRule>
    <cfRule type="cellIs" priority="39" operator="between" aboveAverage="0" equalAverage="0" bottom="0" percent="0" rank="0" text="" dxfId="47">
      <formula>-1000</formula>
      <formula>1000</formula>
    </cfRule>
  </conditionalFormatting>
  <conditionalFormatting sqref="S41:AD41">
    <cfRule type="cellIs" priority="40" operator="between" aboveAverage="0" equalAverage="0" bottom="0" percent="0" rank="0" text="" dxfId="48">
      <formula>-10%</formula>
      <formula>10%</formula>
    </cfRule>
    <cfRule type="cellIs" priority="41" operator="between" aboveAverage="0" equalAverage="0" bottom="0" percent="0" rank="0" text="" dxfId="49">
      <formula>-20%</formula>
      <formula>20%</formula>
    </cfRule>
    <cfRule type="cellIs" priority="42" operator="between" aboveAverage="0" equalAverage="0" bottom="0" percent="0" rank="0" text="" dxfId="50">
      <formula>-1000%</formula>
      <formula>1000%</formula>
    </cfRule>
  </conditionalFormatting>
  <conditionalFormatting sqref="S253:AD355">
    <cfRule type="cellIs" priority="43" operator="greaterThan" aboveAverage="0" equalAverage="0" bottom="0" percent="0" rank="0" text="" dxfId="51">
      <formula>0</formula>
    </cfRule>
  </conditionalFormatting>
  <conditionalFormatting sqref="S596:AD695">
    <cfRule type="cellIs" priority="44" operator="between" aboveAverage="0" equalAverage="0" bottom="0" percent="0" rank="0" text="" dxfId="52">
      <formula>-0.2</formula>
      <formula>0.1</formula>
    </cfRule>
    <cfRule type="cellIs" priority="45" operator="between" aboveAverage="0" equalAverage="0" bottom="0" percent="0" rank="0" text="" dxfId="53">
      <formula>-0.35</formula>
      <formula>0.15</formula>
    </cfRule>
    <cfRule type="cellIs" priority="46" operator="between" aboveAverage="0" equalAverage="0" bottom="0" percent="0" rank="0" text="" dxfId="54">
      <formula>-1</formula>
      <formula>10</formula>
    </cfRule>
  </conditionalFormatting>
  <conditionalFormatting sqref="S727:AD727">
    <cfRule type="cellIs" priority="47" operator="greaterThan" aboveAverage="0" equalAverage="0" bottom="0" percent="0" rank="0" text="" dxfId="55">
      <formula>0</formula>
    </cfRule>
  </conditionalFormatting>
  <conditionalFormatting sqref="S382:AD383">
    <cfRule type="expression" priority="48" aboveAverage="0" equalAverage="0" bottom="0" percent="0" rank="0" text="" dxfId="56">
      <formula>AND(S382&gt;=(ProdFac -0.15),S382&lt;=(ProdFac+0.15))</formula>
    </cfRule>
    <cfRule type="expression" priority="49" aboveAverage="0" equalAverage="0" bottom="0" percent="0" rank="0" text="" dxfId="57">
      <formula>AND(S382&gt;=(ProdFac -0.25),S382&lt;=(ProdFac+0.25))</formula>
    </cfRule>
    <cfRule type="cellIs" priority="50" operator="between" aboveAverage="0" equalAverage="0" bottom="0" percent="0" rank="0" text="" dxfId="58">
      <formula>-1</formula>
      <formula>10</formula>
    </cfRule>
  </conditionalFormatting>
  <conditionalFormatting sqref="S55:AD56">
    <cfRule type="cellIs" priority="51" operator="greaterThan" aboveAverage="0" equalAverage="0" bottom="0" percent="0" rank="0" text="" dxfId="59">
      <formula>0</formula>
    </cfRule>
  </conditionalFormatting>
  <conditionalFormatting sqref="S55:AD55">
    <cfRule type="cellIs" priority="52" operator="greaterThan" aboveAverage="0" equalAverage="0" bottom="0" percent="0" rank="0" text="" dxfId="60">
      <formula>0</formula>
    </cfRule>
  </conditionalFormatting>
  <conditionalFormatting sqref="S55:AD55">
    <cfRule type="cellIs" priority="53" operator="greaterThan" aboveAverage="0" equalAverage="0" bottom="0" percent="0" rank="0" text="" dxfId="61">
      <formula>0</formula>
    </cfRule>
  </conditionalFormatting>
  <conditionalFormatting sqref="S55:AD55">
    <cfRule type="cellIs" priority="54" operator="greaterThan" aboveAverage="0" equalAverage="0" bottom="0" percent="0" rank="0" text="" dxfId="62">
      <formula>0</formula>
    </cfRule>
  </conditionalFormatting>
  <conditionalFormatting sqref="S55:AD55">
    <cfRule type="cellIs" priority="55" operator="greaterThan" aboveAverage="0" equalAverage="0" bottom="0" percent="0" rank="0" text="" dxfId="63">
      <formula>0</formula>
    </cfRule>
  </conditionalFormatting>
  <conditionalFormatting sqref="S58:AD58">
    <cfRule type="cellIs" priority="56" operator="greaterThan" aboveAverage="0" equalAverage="0" bottom="0" percent="0" rank="0" text="" dxfId="64">
      <formula>0</formula>
    </cfRule>
  </conditionalFormatting>
  <conditionalFormatting sqref="S58:AD58">
    <cfRule type="cellIs" priority="57" operator="greaterThan" aboveAverage="0" equalAverage="0" bottom="0" percent="0" rank="0" text="" dxfId="65">
      <formula>0</formula>
    </cfRule>
  </conditionalFormatting>
  <conditionalFormatting sqref="S64:AD64">
    <cfRule type="cellIs" priority="58" operator="greaterThan" aboveAverage="0" equalAverage="0" bottom="0" percent="0" rank="0" text="" dxfId="66">
      <formula>0</formula>
    </cfRule>
  </conditionalFormatting>
  <conditionalFormatting sqref="S65:AD65">
    <cfRule type="cellIs" priority="59" operator="greaterThan" aboveAverage="0" equalAverage="0" bottom="0" percent="0" rank="0" text="" dxfId="67">
      <formula>0</formula>
    </cfRule>
  </conditionalFormatting>
  <conditionalFormatting sqref="S65:AD65">
    <cfRule type="cellIs" priority="60" operator="greaterThan" aboveAverage="0" equalAverage="0" bottom="0" percent="0" rank="0" text="" dxfId="68">
      <formula>0</formula>
    </cfRule>
  </conditionalFormatting>
  <conditionalFormatting sqref="S65:AD65">
    <cfRule type="cellIs" priority="61" operator="greaterThan" aboveAverage="0" equalAverage="0" bottom="0" percent="0" rank="0" text="" dxfId="69">
      <formula>0</formula>
    </cfRule>
  </conditionalFormatting>
  <conditionalFormatting sqref="S65:AD65">
    <cfRule type="cellIs" priority="62" operator="greaterThan" aboveAverage="0" equalAverage="0" bottom="0" percent="0" rank="0" text="" dxfId="70">
      <formula>0</formula>
    </cfRule>
  </conditionalFormatting>
  <conditionalFormatting sqref="S65:AD65">
    <cfRule type="cellIs" priority="63" operator="greaterThan" aboveAverage="0" equalAverage="0" bottom="0" percent="0" rank="0" text="" dxfId="71">
      <formula>0</formula>
    </cfRule>
  </conditionalFormatting>
  <conditionalFormatting sqref="S65:AD65">
    <cfRule type="cellIs" priority="64" operator="greaterThan" aboveAverage="0" equalAverage="0" bottom="0" percent="0" rank="0" text="" dxfId="72">
      <formula>0</formula>
    </cfRule>
  </conditionalFormatting>
  <conditionalFormatting sqref="S68:AD68">
    <cfRule type="cellIs" priority="65" operator="greaterThan" aboveAverage="0" equalAverage="0" bottom="0" percent="0" rank="0" text="" dxfId="73">
      <formula>0</formula>
    </cfRule>
  </conditionalFormatting>
  <conditionalFormatting sqref="S69:AD69">
    <cfRule type="cellIs" priority="66" operator="greaterThan" aboveAverage="0" equalAverage="0" bottom="0" percent="0" rank="0" text="" dxfId="74">
      <formula>0</formula>
    </cfRule>
  </conditionalFormatting>
  <conditionalFormatting sqref="S70:AD70">
    <cfRule type="cellIs" priority="67" operator="greaterThan" aboveAverage="0" equalAverage="0" bottom="0" percent="0" rank="0" text="" dxfId="75">
      <formula>0</formula>
    </cfRule>
  </conditionalFormatting>
  <conditionalFormatting sqref="S72:AD72">
    <cfRule type="cellIs" priority="68" operator="greaterThan" aboveAverage="0" equalAverage="0" bottom="0" percent="0" rank="0" text="" dxfId="76">
      <formula>0</formula>
    </cfRule>
  </conditionalFormatting>
  <conditionalFormatting sqref="S74:AD74">
    <cfRule type="cellIs" priority="69" operator="greaterThan" aboveAverage="0" equalAverage="0" bottom="0" percent="0" rank="0" text="" dxfId="77">
      <formula>0</formula>
    </cfRule>
  </conditionalFormatting>
  <conditionalFormatting sqref="S76:AD76">
    <cfRule type="cellIs" priority="70" operator="greaterThan" aboveAverage="0" equalAverage="0" bottom="0" percent="0" rank="0" text="" dxfId="78">
      <formula>0</formula>
    </cfRule>
  </conditionalFormatting>
  <conditionalFormatting sqref="S77:AD77">
    <cfRule type="cellIs" priority="71" operator="greaterThan" aboveAverage="0" equalAverage="0" bottom="0" percent="0" rank="0" text="" dxfId="79">
      <formula>0</formula>
    </cfRule>
  </conditionalFormatting>
  <conditionalFormatting sqref="S77:AD77">
    <cfRule type="cellIs" priority="72" operator="greaterThan" aboveAverage="0" equalAverage="0" bottom="0" percent="0" rank="0" text="" dxfId="80">
      <formula>0</formula>
    </cfRule>
  </conditionalFormatting>
  <conditionalFormatting sqref="S78:AD78">
    <cfRule type="cellIs" priority="73" operator="greaterThan" aboveAverage="0" equalAverage="0" bottom="0" percent="0" rank="0" text="" dxfId="81">
      <formula>0</formula>
    </cfRule>
  </conditionalFormatting>
  <conditionalFormatting sqref="AE46:AP46">
    <cfRule type="cellIs" priority="74" operator="between" aboveAverage="0" equalAverage="0" bottom="0" percent="0" rank="0" text="" dxfId="82">
      <formula>-40</formula>
      <formula>16</formula>
    </cfRule>
    <cfRule type="cellIs" priority="75" operator="between" aboveAverage="0" equalAverage="0" bottom="0" percent="0" rank="0" text="" dxfId="83">
      <formula>-80</formula>
      <formula>32</formula>
    </cfRule>
    <cfRule type="cellIs" priority="76" operator="between" aboveAverage="0" equalAverage="0" bottom="0" percent="0" rank="0" text="" dxfId="84">
      <formula>-1000</formula>
      <formula>1000</formula>
    </cfRule>
  </conditionalFormatting>
  <conditionalFormatting sqref="AE41:AP41">
    <cfRule type="cellIs" priority="77" operator="between" aboveAverage="0" equalAverage="0" bottom="0" percent="0" rank="0" text="" dxfId="85">
      <formula>-10%</formula>
      <formula>10%</formula>
    </cfRule>
    <cfRule type="cellIs" priority="78" operator="between" aboveAverage="0" equalAverage="0" bottom="0" percent="0" rank="0" text="" dxfId="86">
      <formula>-20%</formula>
      <formula>20%</formula>
    </cfRule>
    <cfRule type="cellIs" priority="79" operator="between" aboveAverage="0" equalAverage="0" bottom="0" percent="0" rank="0" text="" dxfId="87">
      <formula>-1000%</formula>
      <formula>1000%</formula>
    </cfRule>
  </conditionalFormatting>
  <conditionalFormatting sqref="AE253:AP355">
    <cfRule type="cellIs" priority="80" operator="greaterThan" aboveAverage="0" equalAverage="0" bottom="0" percent="0" rank="0" text="" dxfId="88">
      <formula>0</formula>
    </cfRule>
  </conditionalFormatting>
  <conditionalFormatting sqref="AE54:AP57 AE50:AP51 AE62:AP62 AE64:AP64">
    <cfRule type="cellIs" priority="81" operator="greaterThan" aboveAverage="0" equalAverage="0" bottom="0" percent="0" rank="0" text="" dxfId="89">
      <formula>0</formula>
    </cfRule>
  </conditionalFormatting>
  <conditionalFormatting sqref="AE596:AP695">
    <cfRule type="cellIs" priority="82" operator="between" aboveAverage="0" equalAverage="0" bottom="0" percent="0" rank="0" text="" dxfId="90">
      <formula>-0.2</formula>
      <formula>0.1</formula>
    </cfRule>
    <cfRule type="cellIs" priority="83" operator="between" aboveAverage="0" equalAverage="0" bottom="0" percent="0" rank="0" text="" dxfId="91">
      <formula>-0.35</formula>
      <formula>0.15</formula>
    </cfRule>
    <cfRule type="cellIs" priority="84" operator="between" aboveAverage="0" equalAverage="0" bottom="0" percent="0" rank="0" text="" dxfId="92">
      <formula>-1</formula>
      <formula>10</formula>
    </cfRule>
  </conditionalFormatting>
  <conditionalFormatting sqref="AE251:AP251">
    <cfRule type="cellIs" priority="85" operator="greaterThan" aboveAverage="0" equalAverage="0" bottom="0" percent="0" rank="0" text="" dxfId="93">
      <formula>0</formula>
    </cfRule>
  </conditionalFormatting>
  <conditionalFormatting sqref="AE727:AP727">
    <cfRule type="cellIs" priority="86" operator="greaterThan" aboveAverage="0" equalAverage="0" bottom="0" percent="0" rank="0" text="" dxfId="94">
      <formula>0</formula>
    </cfRule>
  </conditionalFormatting>
  <conditionalFormatting sqref="AE61:AP61">
    <cfRule type="cellIs" priority="87" operator="greaterThan" aboveAverage="0" equalAverage="0" bottom="0" percent="0" rank="0" text="" dxfId="95">
      <formula>0</formula>
    </cfRule>
  </conditionalFormatting>
  <conditionalFormatting sqref="AE382:AP383">
    <cfRule type="expression" priority="88" aboveAverage="0" equalAverage="0" bottom="0" percent="0" rank="0" text="" dxfId="96">
      <formula>AND(AE382&gt;=(ProdFac -0.15),AE382&lt;=(ProdFac+0.15))</formula>
    </cfRule>
    <cfRule type="expression" priority="89" aboveAverage="0" equalAverage="0" bottom="0" percent="0" rank="0" text="" dxfId="97">
      <formula>AND(AE382&gt;=(ProdFac -0.25),AE382&lt;=(ProdFac+0.25))</formula>
    </cfRule>
    <cfRule type="cellIs" priority="90" operator="between" aboveAverage="0" equalAverage="0" bottom="0" percent="0" rank="0" text="" dxfId="98">
      <formula>-1</formula>
      <formula>10</formula>
    </cfRule>
  </conditionalFormatting>
  <conditionalFormatting sqref="AE52:AP52">
    <cfRule type="cellIs" priority="91" operator="greaterThan" aboveAverage="0" equalAverage="0" bottom="0" percent="0" rank="0" text="" dxfId="99">
      <formula>0</formula>
    </cfRule>
  </conditionalFormatting>
  <conditionalFormatting sqref="AE55:AP56">
    <cfRule type="cellIs" priority="92" operator="greaterThan" aboveAverage="0" equalAverage="0" bottom="0" percent="0" rank="0" text="" dxfId="100">
      <formula>0</formula>
    </cfRule>
  </conditionalFormatting>
  <conditionalFormatting sqref="AE55:AP55">
    <cfRule type="cellIs" priority="93" operator="greaterThan" aboveAverage="0" equalAverage="0" bottom="0" percent="0" rank="0" text="" dxfId="101">
      <formula>0</formula>
    </cfRule>
  </conditionalFormatting>
  <conditionalFormatting sqref="AE58:AP58">
    <cfRule type="cellIs" priority="94" operator="greaterThan" aboveAverage="0" equalAverage="0" bottom="0" percent="0" rank="0" text="" dxfId="102">
      <formula>0</formula>
    </cfRule>
  </conditionalFormatting>
  <conditionalFormatting sqref="AE65:AP65">
    <cfRule type="cellIs" priority="95" operator="greaterThan" aboveAverage="0" equalAverage="0" bottom="0" percent="0" rank="0" text="" dxfId="103">
      <formula>0</formula>
    </cfRule>
  </conditionalFormatting>
  <conditionalFormatting sqref="AE65:AP65">
    <cfRule type="cellIs" priority="96" operator="greaterThan" aboveAverage="0" equalAverage="0" bottom="0" percent="0" rank="0" text="" dxfId="104">
      <formula>0</formula>
    </cfRule>
  </conditionalFormatting>
  <conditionalFormatting sqref="AE68:AP69">
    <cfRule type="cellIs" priority="97" operator="greaterThan" aboveAverage="0" equalAverage="0" bottom="0" percent="0" rank="0" text="" dxfId="105">
      <formula>0</formula>
    </cfRule>
  </conditionalFormatting>
  <conditionalFormatting sqref="AE72:AP72">
    <cfRule type="cellIs" priority="98" operator="greaterThan" aboveAverage="0" equalAverage="0" bottom="0" percent="0" rank="0" text="" dxfId="106">
      <formula>0</formula>
    </cfRule>
  </conditionalFormatting>
  <conditionalFormatting sqref="AE74:AP74 AE76:AP76">
    <cfRule type="cellIs" priority="99" operator="greaterThan" aboveAverage="0" equalAverage="0" bottom="0" percent="0" rank="0" text="" dxfId="107">
      <formula>0</formula>
    </cfRule>
  </conditionalFormatting>
  <conditionalFormatting sqref="AE77:AP77">
    <cfRule type="cellIs" priority="100" operator="greaterThan" aboveAverage="0" equalAverage="0" bottom="0" percent="0" rank="0" text="" dxfId="108">
      <formula>0</formula>
    </cfRule>
  </conditionalFormatting>
  <conditionalFormatting sqref="AQ53:BB53">
    <cfRule type="cellIs" priority="101" operator="greaterThan" aboveAverage="0" equalAverage="0" bottom="0" percent="0" rank="0" text="" dxfId="109">
      <formula>0</formula>
    </cfRule>
  </conditionalFormatting>
  <conditionalFormatting sqref="S53:AD53">
    <cfRule type="cellIs" priority="102" operator="greaterThan" aboveAverage="0" equalAverage="0" bottom="0" percent="0" rank="0" text="" dxfId="110">
      <formula>0</formula>
    </cfRule>
  </conditionalFormatting>
  <conditionalFormatting sqref="S53:AD53">
    <cfRule type="cellIs" priority="103" operator="greaterThan" aboveAverage="0" equalAverage="0" bottom="0" percent="0" rank="0" text="" dxfId="111">
      <formula>0</formula>
    </cfRule>
  </conditionalFormatting>
  <conditionalFormatting sqref="AE53:AP53">
    <cfRule type="cellIs" priority="104" operator="greaterThan" aboveAverage="0" equalAverage="0" bottom="0" percent="0" rank="0" text="" dxfId="112">
      <formula>0</formula>
    </cfRule>
  </conditionalFormatting>
  <conditionalFormatting sqref="AQ60:BB60">
    <cfRule type="cellIs" priority="105" operator="greaterThan" aboveAverage="0" equalAverage="0" bottom="0" percent="0" rank="0" text="" dxfId="113">
      <formula>0</formula>
    </cfRule>
  </conditionalFormatting>
  <conditionalFormatting sqref="S60:AD60">
    <cfRule type="cellIs" priority="106" operator="greaterThan" aboveAverage="0" equalAverage="0" bottom="0" percent="0" rank="0" text="" dxfId="114">
      <formula>0</formula>
    </cfRule>
  </conditionalFormatting>
  <conditionalFormatting sqref="S60:AD60">
    <cfRule type="cellIs" priority="107" operator="greaterThan" aboveAverage="0" equalAverage="0" bottom="0" percent="0" rank="0" text="" dxfId="115">
      <formula>0</formula>
    </cfRule>
  </conditionalFormatting>
  <conditionalFormatting sqref="AE60:AP60">
    <cfRule type="cellIs" priority="108" operator="greaterThan" aboveAverage="0" equalAverage="0" bottom="0" percent="0" rank="0" text="" dxfId="116">
      <formula>0</formula>
    </cfRule>
  </conditionalFormatting>
  <conditionalFormatting sqref="AQ59:BB59">
    <cfRule type="cellIs" priority="109" operator="greaterThan" aboveAverage="0" equalAverage="0" bottom="0" percent="0" rank="0" text="" dxfId="117">
      <formula>0</formula>
    </cfRule>
  </conditionalFormatting>
  <conditionalFormatting sqref="S59:AD59">
    <cfRule type="cellIs" priority="110" operator="greaterThan" aboveAverage="0" equalAverage="0" bottom="0" percent="0" rank="0" text="" dxfId="118">
      <formula>0</formula>
    </cfRule>
  </conditionalFormatting>
  <conditionalFormatting sqref="S59:AD59">
    <cfRule type="cellIs" priority="111" operator="greaterThan" aboveAverage="0" equalAverage="0" bottom="0" percent="0" rank="0" text="" dxfId="119">
      <formula>0</formula>
    </cfRule>
  </conditionalFormatting>
  <conditionalFormatting sqref="AE59:AP59">
    <cfRule type="cellIs" priority="112" operator="greaterThan" aboveAverage="0" equalAverage="0" bottom="0" percent="0" rank="0" text="" dxfId="120">
      <formula>0</formula>
    </cfRule>
  </conditionalFormatting>
  <conditionalFormatting sqref="AQ63:BB63">
    <cfRule type="cellIs" priority="113" operator="greaterThan" aboveAverage="0" equalAverage="0" bottom="0" percent="0" rank="0" text="" dxfId="121">
      <formula>0</formula>
    </cfRule>
  </conditionalFormatting>
  <conditionalFormatting sqref="S63:AD63">
    <cfRule type="cellIs" priority="114" operator="greaterThan" aboveAverage="0" equalAverage="0" bottom="0" percent="0" rank="0" text="" dxfId="122">
      <formula>0</formula>
    </cfRule>
  </conditionalFormatting>
  <conditionalFormatting sqref="AE63:AP63">
    <cfRule type="cellIs" priority="115" operator="greaterThan" aboveAverage="0" equalAverage="0" bottom="0" percent="0" rank="0" text="" dxfId="123">
      <formula>0</formula>
    </cfRule>
  </conditionalFormatting>
  <conditionalFormatting sqref="AQ66:BB66">
    <cfRule type="cellIs" priority="116" operator="greaterThan" aboveAverage="0" equalAverage="0" bottom="0" percent="0" rank="0" text="" dxfId="124">
      <formula>0</formula>
    </cfRule>
  </conditionalFormatting>
  <conditionalFormatting sqref="AQ66:BB66">
    <cfRule type="cellIs" priority="117" operator="greaterThan" aboveAverage="0" equalAverage="0" bottom="0" percent="0" rank="0" text="" dxfId="125">
      <formula>0</formula>
    </cfRule>
  </conditionalFormatting>
  <conditionalFormatting sqref="S66:AD66">
    <cfRule type="cellIs" priority="118" operator="greaterThan" aboveAverage="0" equalAverage="0" bottom="0" percent="0" rank="0" text="" dxfId="126">
      <formula>0</formula>
    </cfRule>
  </conditionalFormatting>
  <conditionalFormatting sqref="S66:AD66">
    <cfRule type="cellIs" priority="119" operator="greaterThan" aboveAverage="0" equalAverage="0" bottom="0" percent="0" rank="0" text="" dxfId="127">
      <formula>0</formula>
    </cfRule>
  </conditionalFormatting>
  <conditionalFormatting sqref="S66:AD66">
    <cfRule type="cellIs" priority="120" operator="greaterThan" aboveAverage="0" equalAverage="0" bottom="0" percent="0" rank="0" text="" dxfId="128">
      <formula>0</formula>
    </cfRule>
  </conditionalFormatting>
  <conditionalFormatting sqref="S66:AD66">
    <cfRule type="cellIs" priority="121" operator="greaterThan" aboveAverage="0" equalAverage="0" bottom="0" percent="0" rank="0" text="" dxfId="129">
      <formula>0</formula>
    </cfRule>
  </conditionalFormatting>
  <conditionalFormatting sqref="S66:AD66">
    <cfRule type="cellIs" priority="122" operator="greaterThan" aboveAverage="0" equalAverage="0" bottom="0" percent="0" rank="0" text="" dxfId="130">
      <formula>0</formula>
    </cfRule>
  </conditionalFormatting>
  <conditionalFormatting sqref="S66:AD66">
    <cfRule type="cellIs" priority="123" operator="greaterThan" aboveAverage="0" equalAverage="0" bottom="0" percent="0" rank="0" text="" dxfId="131">
      <formula>0</formula>
    </cfRule>
  </conditionalFormatting>
  <conditionalFormatting sqref="AE66:AP66">
    <cfRule type="cellIs" priority="124" operator="greaterThan" aboveAverage="0" equalAverage="0" bottom="0" percent="0" rank="0" text="" dxfId="132">
      <formula>0</formula>
    </cfRule>
  </conditionalFormatting>
  <conditionalFormatting sqref="AE66:AP66">
    <cfRule type="cellIs" priority="125" operator="greaterThan" aboveAverage="0" equalAverage="0" bottom="0" percent="0" rank="0" text="" dxfId="133">
      <formula>0</formula>
    </cfRule>
  </conditionalFormatting>
  <conditionalFormatting sqref="AQ67:BB67">
    <cfRule type="cellIs" priority="126" operator="greaterThan" aboveAverage="0" equalAverage="0" bottom="0" percent="0" rank="0" text="" dxfId="134">
      <formula>0</formula>
    </cfRule>
  </conditionalFormatting>
  <conditionalFormatting sqref="S67:AD67">
    <cfRule type="cellIs" priority="127" operator="greaterThan" aboveAverage="0" equalAverage="0" bottom="0" percent="0" rank="0" text="" dxfId="135">
      <formula>0</formula>
    </cfRule>
  </conditionalFormatting>
  <conditionalFormatting sqref="AE67:AP67">
    <cfRule type="cellIs" priority="128" operator="greaterThan" aboveAverage="0" equalAverage="0" bottom="0" percent="0" rank="0" text="" dxfId="136">
      <formula>0</formula>
    </cfRule>
  </conditionalFormatting>
  <conditionalFormatting sqref="AE71:BB71">
    <cfRule type="cellIs" priority="129" operator="greaterThan" aboveAverage="0" equalAverage="0" bottom="0" percent="0" rank="0" text="" dxfId="137">
      <formula>0</formula>
    </cfRule>
  </conditionalFormatting>
  <conditionalFormatting sqref="S71:AD71">
    <cfRule type="cellIs" priority="130" operator="greaterThan" aboveAverage="0" equalAverage="0" bottom="0" percent="0" rank="0" text="" dxfId="138">
      <formula>0</formula>
    </cfRule>
  </conditionalFormatting>
  <conditionalFormatting sqref="AQ73:BB73">
    <cfRule type="cellIs" priority="131" operator="greaterThan" aboveAverage="0" equalAverage="0" bottom="0" percent="0" rank="0" text="" dxfId="139">
      <formula>0</formula>
    </cfRule>
  </conditionalFormatting>
  <conditionalFormatting sqref="S73:AD73">
    <cfRule type="cellIs" priority="132" operator="greaterThan" aboveAverage="0" equalAverage="0" bottom="0" percent="0" rank="0" text="" dxfId="140">
      <formula>0</formula>
    </cfRule>
  </conditionalFormatting>
  <conditionalFormatting sqref="AE73:AP73">
    <cfRule type="cellIs" priority="133" operator="greaterThan" aboveAverage="0" equalAverage="0" bottom="0" percent="0" rank="0" text="" dxfId="141">
      <formula>0</formula>
    </cfRule>
  </conditionalFormatting>
  <conditionalFormatting sqref="AQ75:BB75">
    <cfRule type="cellIs" priority="134" operator="greaterThan" aboveAverage="0" equalAverage="0" bottom="0" percent="0" rank="0" text="" dxfId="142">
      <formula>0</formula>
    </cfRule>
  </conditionalFormatting>
  <conditionalFormatting sqref="S75:AD75">
    <cfRule type="cellIs" priority="135" operator="greaterThan" aboveAverage="0" equalAverage="0" bottom="0" percent="0" rank="0" text="" dxfId="143">
      <formula>0</formula>
    </cfRule>
  </conditionalFormatting>
  <conditionalFormatting sqref="AE75:AP75">
    <cfRule type="cellIs" priority="136" operator="greaterThan" aboveAverage="0" equalAverage="0" bottom="0" percent="0" rank="0" text="" dxfId="144">
      <formula>0</formula>
    </cfRule>
  </conditionalFormatting>
  <conditionalFormatting sqref="AE79:BB79">
    <cfRule type="cellIs" priority="137" operator="greaterThan" aboveAverage="0" equalAverage="0" bottom="0" percent="0" rank="0" text="" dxfId="145">
      <formula>0</formula>
    </cfRule>
  </conditionalFormatting>
  <conditionalFormatting sqref="S79:AD79">
    <cfRule type="cellIs" priority="138" operator="greaterThan" aboveAverage="0" equalAverage="0" bottom="0" percent="0" rank="0" text="" dxfId="146">
      <formula>0</formula>
    </cfRule>
  </conditionalFormatting>
  <dataValidations count="8">
    <dataValidation allowBlank="true" errorStyle="stop" operator="between" showDropDown="false" showErrorMessage="true" showInputMessage="true" sqref="P391:P490 P596:P695" type="list">
      <formula1>mssd445</formula1>
      <formula2>0</formula2>
    </dataValidation>
    <dataValidation allowBlank="true" errorStyle="stop" operator="between" showDropDown="false" showErrorMessage="true" showInputMessage="true" sqref="O252 N253:O253 O356:O372 O375:O376 O380 O385" type="list">
      <formula1>Roles</formula1>
      <formula2>0</formula2>
    </dataValidation>
    <dataValidation allowBlank="true" errorStyle="stop" operator="between" showDropDown="false" showErrorMessage="true" showInputMessage="true" sqref="C14:C37 C50:C251" type="list">
      <formula1>Domain</formula1>
      <formula2>0</formula2>
    </dataValidation>
    <dataValidation allowBlank="true" errorStyle="stop" operator="between" showDropDown="false" showErrorMessage="true" showInputMessage="true" sqref="P39" type="list">
      <formula1>$B$13:$B$37</formula1>
      <formula2>0</formula2>
    </dataValidation>
    <dataValidation allowBlank="true" errorStyle="stop" operator="between" showDropDown="false" showErrorMessage="true" showInputMessage="true" sqref="P43 P50:P251" type="list">
      <formula1>Member</formula1>
      <formula2>0</formula2>
    </dataValidation>
    <dataValidation allowBlank="true" errorStyle="stop" operator="between" showDropDown="false" showErrorMessage="true" showInputMessage="true" sqref="E14:E37 E50:E251" type="list">
      <formula1>Running</formula1>
      <formula2>0</formula2>
    </dataValidation>
    <dataValidation allowBlank="true" errorStyle="stop" operator="between" showDropDown="false" showErrorMessage="true" showInputMessage="true" sqref="F43" type="list">
      <formula1>yn_dropdown</formula1>
      <formula2>0</formula2>
    </dataValidation>
    <dataValidation allowBlank="true" errorStyle="stop" operator="between" showDropDown="false" showErrorMessage="true" showInputMessage="true" sqref="D50:D251" type="list">
      <formula1>OrderType</formula1>
      <formula2>0</formula2>
    </dataValidation>
  </dataValidations>
  <printOptions headings="false" gridLines="false" gridLinesSet="true" horizontalCentered="false" verticalCentered="false"/>
  <pageMargins left="0.118055555555556" right="0.196527777777778" top="0.905555555555556" bottom="0.590277777777778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404">
              <controlPr defaultSize="0" print="false" autoFill="0" autoPict="0" macro="Modul1.Sort2Projects">
                <anchor moveWithCells="true" sizeWithCells="false">
                  <from>
                    <xdr:col>1</xdr:col>
                    <xdr:colOff>104760</xdr:colOff>
                    <xdr:row>44</xdr:row>
                    <xdr:rowOff>66600</xdr:rowOff>
                  </from>
                  <to>
                    <xdr:col>2</xdr:col>
                    <xdr:colOff>-2536200</xdr:colOff>
                    <xdr:row>45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405">
              <controlPr defaultSize="0" print="false" autoFill="0" autoPict="0" macro="Modul1.Sort2Members">
                <anchor moveWithCells="true" sizeWithCells="false">
                  <from>
                    <xdr:col>1</xdr:col>
                    <xdr:colOff>1285560</xdr:colOff>
                    <xdr:row>44</xdr:row>
                    <xdr:rowOff>47520</xdr:rowOff>
                  </from>
                  <to>
                    <xdr:col>2</xdr:col>
                    <xdr:colOff>-1346040</xdr:colOff>
                    <xdr:row>45</xdr:row>
                    <xdr:rowOff>180720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utton 411">
              <controlPr defaultSize="0" print="false" autoFill="0" autoPict="0" macro="Modul1.Sort2Rank">
                <anchor moveWithCells="true" sizeWithCells="false">
                  <from>
                    <xdr:col>1</xdr:col>
                    <xdr:colOff>2514240</xdr:colOff>
                    <xdr:row>44</xdr:row>
                    <xdr:rowOff>47520</xdr:rowOff>
                  </from>
                  <to>
                    <xdr:col>2</xdr:col>
                    <xdr:colOff>-241200</xdr:colOff>
                    <xdr:row>45</xdr:row>
                    <xdr:rowOff>180720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<documentManagement><Status xmlns="$ListId:Shared Documents1;">Standard</Status><Description xmlns="8d4e1409-8a4a-40ef-9e6f-fe79b79c0da2" xsi:nil="true"/></documentManagement>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924EBAF02FEF449F27AA0D7754DF81" ma:contentTypeVersion="0" ma:contentTypeDescription="Create a new document." ma:contentTypeScope="" ma:versionID="13c9dc49be4703a4eb648362d139bde2">
<xsd:schema xmlns:xsd="http://www.w3.org/2001/XMLSchema" xmlns:xs="http://www.w3.org/2001/XMLSchema" xmlns:p="http://schemas.microsoft.com/office/2006/metadata/properties" xmlns:ns2="8d4e1409-8a4a-40ef-9e6f-fe79b79c0da2" xmlns:ns3="$ListId:Shared Documents1;" targetNamespace="http://schemas.microsoft.com/office/2006/metadata/properties" ma:root="true" ma:fieldsID="2fd8e0f314e585cf0bb67fe635d2c19f" ns2:_="" ns3:_="">
<xsd:import namespace="8d4e1409-8a4a-40ef-9e6f-fe79b79c0da2"/>
<xsd:import namespace="$ListId:Shared Documents1;"/>
<xsd:element name="properties">
<xsd:complexType>
<xsd:sequence>
<xsd:element name="documentManagement">
<xsd:complexType>
<xsd:all>
<xsd:element ref="ns2:Description" minOccurs="0"/>
<xsd:element ref="ns3:Status" minOccurs="0"/>
</xsd:all>
</xsd:complexType>
</xsd:element>
</xsd:sequence>
</xsd:complexType>
</xsd:element>
</xsd:schema>
<xsd:schema xmlns:xsd="http://www.w3.org/2001/XMLSchema" xmlns:xs="http://www.w3.org/2001/XMLSchema" xmlns:dms="http://schemas.microsoft.com/office/2006/documentManagement/types" xmlns:pc="http://schemas.microsoft.com/office/infopath/2007/PartnerControls" targetNamespace="8d4e1409-8a4a-40ef-9e6f-fe79b79c0da2" elementFormDefault="qualified">
<xsd:import namespace="http://schemas.microsoft.com/office/2006/documentManagement/types"/>
<xsd:import namespace="http://schemas.microsoft.com/office/infopath/2007/PartnerControls"/>
<xsd:element name="Description" ma:index="8" nillable="true" ma:displayName="Description" ma:internalName="Description">
<xsd:simpleType>
<xsd:restriction base="dms:Text">
<xsd:maxLength value="255"/>
</xsd:restriction>
</xsd:simpleType>
</xsd:element>
</xsd:schema>
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Shared Documents1;" elementFormDefault="qualified">
<xsd:import namespace="http://schemas.microsoft.com/office/2006/documentManagement/types"/>
<xsd:import namespace="http://schemas.microsoft.com/office/infopath/2007/PartnerControls"/>
<xsd:element name="Status" ma:index="9" nillable="true" ma:displayName="Status" ma:default="Standard" ma:format="Dropdown" ma:internalName="Status">
<xsd:simpleType>
<xsd:restriction base="dms:Choice">
<xsd:enumeration value="Standard"/>
<xsd:enumeration value="Important"/>
</xsd:restriction>
</xsd:simpleType>
</xsd:element>
</xsd:schema>
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<xsd:import namespace="http://purl.org/dc/elements/1.1/" schemaLocation="http://dublincore.org/schemas/xmls/qdc/2003/04/02/dc.xsd"/>
<xsd:import namespace="http://purl.org/dc/terms/" schemaLocation="http://dublincore.org/schemas/xmls/qdc/2003/04/02/dcterms.xsd"/>
<xsd:element name="coreProperties" type="CT_coreProperties"/>
<xsd:complexType name="CT_coreProperties">
<xsd:all>
<xsd:element ref="dc:creator" minOccurs="0" maxOccurs="1"/>
<xsd:element ref="dcterms:created" minOccurs="0" maxOccurs="1"/>
<xsd:element ref="dc:identifier" minOccurs="0" maxOccurs="1"/>
<xsd:element name="contentType" minOccurs="0" maxOccurs="1" type="xsd:string" ma:index="0" ma:displayName="Content Type"/>
<xsd:element ref="dc:title" minOccurs="0" maxOccurs="1" ma:index="4" ma:displayName="Title"/>
<xsd:element ref="dc:subject" minOccurs="0" maxOccurs="1"/>
<xsd:element ref="dc:description" minOccurs="0" maxOccurs="1"/>
<xsd:element name="keywords" minOccurs="0" maxOccurs="1" type="xsd:string"/>
<xsd:element ref="dc:language" minOccurs="0" maxOccurs="1"/>
<xsd:element name="category" minOccurs="0" maxOccurs="1" type="xsd:string"/>
<xsd:element name="version" minOccurs="0" maxOccurs="1" type="xsd:string"/>
<xsd:element name="revision" minOccurs="0" maxOccurs="1" type="xsd:string">
<xsd:annotation>
<xsd:documentation>
                        This value indicates the number of saves or revisions. The application is responsible for updating this value after each revision.
                    </xsd:documentation>
</xsd:annotation>
</xsd:element>
<xsd:element name="lastModifiedBy" minOccurs="0" maxOccurs="1" type="xsd:string"/>
<xsd:element ref="dcterms:modified" minOccurs="0" maxOccurs="1"/>
<xsd:element name="contentStatus" minOccurs="0" maxOccurs="1" type="xsd:string"/>
</xsd:all>
</xsd:complexType>
</xsd:schema>
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<xs:element name="Person">
<xs:complexType>
<xs:sequence>
<xs:element ref="pc:DisplayName" minOccurs="0"/>
<xs:element ref="pc:AccountId" minOccurs="0"/>
<xs:element ref="pc:AccountType" minOccurs="0"/>
</xs:sequence>
</xs:complexType>
</xs:element>
<xs:element name="DisplayName" type="xs:string"/>
<xs:element name="AccountId" type="xs:string"/>
<xs:element name="AccountType" type="xs:string"/>
<xs:element name="BDCAssociatedEntity">
<xs:complexType>
<xs:sequence>
<xs:element ref="pc:BDCEntity" minOccurs="0" maxOccurs="unbounded"/>
</xs:sequence>
<xs:attribute ref="pc:EntityNamespace"/>
<xs:attribute ref="pc:EntityName"/>
<xs:attribute ref="pc:SystemInstanceName"/>
<xs:attribute ref="pc:AssociationName"/>
</xs:complexType>
</xs:element>
<xs:attribute name="EntityNamespace" type="xs:string"/>
<xs:attribute name="EntityName" type="xs:string"/>
<xs:attribute name="SystemInstanceName" type="xs:string"/>
<xs:attribute name="AssociationName" type="xs:string"/>
<xs:element name="BDCEntity">
<xs:complexType>
<xs:sequence>
<xs:element ref="pc:EntityDisplayName" minOccurs="0"/>
<xs:element ref="pc:EntityInstanceReference" minOccurs="0"/>
<xs:element ref="pc:EntityId1" minOccurs="0"/>
<xs:element ref="pc:EntityId2" minOccurs="0"/>
<xs:element ref="pc:EntityId3" minOccurs="0"/>
<xs:element ref="pc:EntityId4" minOccurs="0"/>
<xs:element ref="pc:EntityId5" minOccurs="0"/>
</xs:sequence>
</xs:complexType>
</xs:element>
<xs:element name="EntityDisplayName" type="xs:string"/>
<xs:element name="EntityInstanceReference" type="xs:string"/>
<xs:element name="EntityId1" type="xs:string"/>
<xs:element name="EntityId2" type="xs:string"/>
<xs:element name="EntityId3" type="xs:string"/>
<xs:element name="EntityId4" type="xs:string"/>
<xs:element name="EntityId5" type="xs:string"/>
<xs:element name="Terms">
<xs:complexType>
<xs:sequence>
<xs:element ref="pc:TermInfo" minOccurs="0" maxOccurs="unbounded"/>
</xs:sequence>
</xs:complexType>
</xs:element>
<xs:element name="TermInfo">
<xs:complexType>
<xs:sequence>
<xs:element ref="pc:TermName" minOccurs="0"/>
<xs:element ref="pc:TermId" minOccurs="0"/>
</xs:sequence>
</xs:complexType>
</xs:element>
<xs:element name="TermName" type="xs:string"/>
<xs:element name="TermId" type="xs:string"/>
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FA99BF-FF52-4980-AAD5-A4792FB0B34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8d4e1409-8a4a-40ef-9e6f-fe79b79c0da2"/>
    <ds:schemaRef ds:uri="http://purl.org/dc/terms/"/>
    <ds:schemaRef ds:uri="http://schemas.openxmlformats.org/package/2006/metadata/core-properties"/>
    <ds:schemaRef ds:uri="$ListId:Shared Documents1;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2D36B2B-72DF-47FC-A725-ACD0176B42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4e1409-8a4a-40ef-9e6f-fe79b79c0da2"/>
    <ds:schemaRef ds:uri="$ListId:Shared Documents1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110C6C-3B31-4B44-B648-E9D2255DCD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LibreOffice/7.4.5.1$Linux_X86_64 LibreOffice_project/40$Build-1</Application>
  <AppVersion>15.0000</AppVersion>
  <DocSecurity>1</DocSecurit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2023-04-03T12:31:30Z</dcterms:created>
  <dc:creator>Törnroth Jonas</dc:creator>
  <dc:description/>
  <dc:language>en-US</dc:language>
  <cp:lastModifiedBy/>
  <dcterms:modified xsi:type="dcterms:W3CDTF">2023-05-10T13:37:16Z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